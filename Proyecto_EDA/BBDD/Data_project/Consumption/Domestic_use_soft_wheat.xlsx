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BBDD\"/>
    </mc:Choice>
  </mc:AlternateContent>
  <xr:revisionPtr revIDLastSave="0" documentId="13_ncr:1_{F0F22E67-0EE2-4FD4-B1A8-09C039158E2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nálisis" sheetId="2" r:id="rId1"/>
    <sheet name="Soft_Wheat" sheetId="1" r:id="rId2"/>
  </sheets>
  <calcPr calcId="124519"/>
  <pivotCaches>
    <pivotCache cacheId="59" r:id="rId3"/>
  </pivotCaches>
</workbook>
</file>

<file path=xl/sharedStrings.xml><?xml version="1.0" encoding="utf-8"?>
<sst xmlns="http://schemas.openxmlformats.org/spreadsheetml/2006/main" count="89" uniqueCount="66">
  <si>
    <t>Metric</t>
  </si>
  <si>
    <t>Marketing Year</t>
  </si>
  <si>
    <t xml:space="preserve">2005/2006 </t>
  </si>
  <si>
    <t xml:space="preserve">2006/2007 </t>
  </si>
  <si>
    <t xml:space="preserve">2007/2008 </t>
  </si>
  <si>
    <t xml:space="preserve">2008/2009 </t>
  </si>
  <si>
    <t xml:space="preserve">2009/2010 </t>
  </si>
  <si>
    <t xml:space="preserve">2010/2011 </t>
  </si>
  <si>
    <t xml:space="preserve">2011/2012 </t>
  </si>
  <si>
    <t xml:space="preserve">2012/2013 </t>
  </si>
  <si>
    <t xml:space="preserve">2013/2014 </t>
  </si>
  <si>
    <t xml:space="preserve">2014/2015 </t>
  </si>
  <si>
    <t xml:space="preserve">2015/2016 </t>
  </si>
  <si>
    <t xml:space="preserve">2016/2017 </t>
  </si>
  <si>
    <t xml:space="preserve">2017/2018 </t>
  </si>
  <si>
    <t xml:space="preserve">2018/2019 </t>
  </si>
  <si>
    <t xml:space="preserve">2019/2020 </t>
  </si>
  <si>
    <t xml:space="preserve">2020/2021 </t>
  </si>
  <si>
    <t xml:space="preserve">2021/2022 </t>
  </si>
  <si>
    <t xml:space="preserve">2022/2023 </t>
  </si>
  <si>
    <t xml:space="preserve">2023/2024 </t>
  </si>
  <si>
    <t>Area</t>
  </si>
  <si>
    <t>Yield</t>
  </si>
  <si>
    <t>Beginning stocks</t>
  </si>
  <si>
    <t>Gross production</t>
  </si>
  <si>
    <t>Usable production</t>
  </si>
  <si>
    <t>Imports</t>
  </si>
  <si>
    <t>Availability</t>
  </si>
  <si>
    <t>Domestic use</t>
  </si>
  <si>
    <t>Domestic use - Human</t>
  </si>
  <si>
    <t>Domestic use - Seed</t>
  </si>
  <si>
    <t>Domestic use - Industrial</t>
  </si>
  <si>
    <t>Domestic use - Industrial, of which bioethanol/biofuel</t>
  </si>
  <si>
    <t>Domestic use - Animal feed</t>
  </si>
  <si>
    <t>Losses (excl. on-farm)</t>
  </si>
  <si>
    <t>Exports</t>
  </si>
  <si>
    <t>Total use</t>
  </si>
  <si>
    <t>Ending stocks</t>
  </si>
  <si>
    <t>Ending stocks - Market</t>
  </si>
  <si>
    <t>Ending stocks - Intervention</t>
  </si>
  <si>
    <t>Self-sufficiency rate (%)</t>
  </si>
  <si>
    <t>2024/2025</t>
  </si>
  <si>
    <t>2025/2026</t>
  </si>
  <si>
    <t xml:space="preserve">Suma de 2005/2006 </t>
  </si>
  <si>
    <t xml:space="preserve">Suma de 2006/2007 </t>
  </si>
  <si>
    <t xml:space="preserve">Suma de 2007/2008 </t>
  </si>
  <si>
    <t xml:space="preserve">Suma de 2008/2009 </t>
  </si>
  <si>
    <t xml:space="preserve">Suma de 2009/2010 </t>
  </si>
  <si>
    <t xml:space="preserve">Suma de 2010/2011 </t>
  </si>
  <si>
    <t xml:space="preserve">Suma de 2011/2012 </t>
  </si>
  <si>
    <t xml:space="preserve">Suma de 2012/2013 </t>
  </si>
  <si>
    <t xml:space="preserve">Suma de 2013/2014 </t>
  </si>
  <si>
    <t xml:space="preserve">Suma de 2014/2015 </t>
  </si>
  <si>
    <t xml:space="preserve">Suma de 2019/2020 </t>
  </si>
  <si>
    <t xml:space="preserve">Suma de 2020/2021 </t>
  </si>
  <si>
    <t xml:space="preserve">Suma de 2021/2022 </t>
  </si>
  <si>
    <t xml:space="preserve">Suma de 2022/2023 </t>
  </si>
  <si>
    <t xml:space="preserve">Suma de 2023/2024 </t>
  </si>
  <si>
    <t>Suma de 2024/2025</t>
  </si>
  <si>
    <t>Suma de 2025/2026</t>
  </si>
  <si>
    <t xml:space="preserve">Suma de 2015/2016 </t>
  </si>
  <si>
    <t xml:space="preserve">Suma de 2016/2017 </t>
  </si>
  <si>
    <t xml:space="preserve">Suma de 2017/2018 </t>
  </si>
  <si>
    <t xml:space="preserve">Suma de 2018/2019 </t>
  </si>
  <si>
    <t>Year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</si>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</sst>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pivotButton="1"/>
    <xf numFmtId="0" fontId="1" fillId="2" borderId="1" xfId="0" applyFont="1" applyFill="1" applyBorder="1"/>
  </cellXfs>
  <cellStyles count="1">
    <cellStyle name="Normal" xfId="0" builtinId="0"/>
  </cellStyles>
  <dxfs count="23">
    <dxf>
      <numFmt numFmtId="164" formatCode="#,##0.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Análisis!$A$7:$A$27</c:f>
              <c:strCache>
                <c:ptCount val="21"/>
                <c:pt idx="0">
                  <c:v>Suma de 2005/2006 </c:v>
                </c:pt>
                <c:pt idx="1">
                  <c:v>Suma de 2006/2007 </c:v>
                </c:pt>
                <c:pt idx="2">
                  <c:v>Suma de 2007/2008 </c:v>
                </c:pt>
                <c:pt idx="3">
                  <c:v>Suma de 2008/2009 </c:v>
                </c:pt>
                <c:pt idx="4">
                  <c:v>Suma de 2009/2010 </c:v>
                </c:pt>
                <c:pt idx="5">
                  <c:v>Suma de 2010/2011 </c:v>
                </c:pt>
                <c:pt idx="6">
                  <c:v>Suma de 2011/2012 </c:v>
                </c:pt>
                <c:pt idx="7">
                  <c:v>Suma de 2012/2013 </c:v>
                </c:pt>
                <c:pt idx="8">
                  <c:v>Suma de 2013/2014 </c:v>
                </c:pt>
                <c:pt idx="9">
                  <c:v>Suma de 2014/2015 </c:v>
                </c:pt>
                <c:pt idx="10">
                  <c:v>Suma de 2015/2016 </c:v>
                </c:pt>
                <c:pt idx="11">
                  <c:v>Suma de 2016/2017 </c:v>
                </c:pt>
                <c:pt idx="12">
                  <c:v>Suma de 2017/2018 </c:v>
                </c:pt>
                <c:pt idx="13">
                  <c:v>Suma de 2018/2019 </c:v>
                </c:pt>
                <c:pt idx="14">
                  <c:v>Suma de 2019/2020 </c:v>
                </c:pt>
                <c:pt idx="15">
                  <c:v>Suma de 2020/2021 </c:v>
                </c:pt>
                <c:pt idx="16">
                  <c:v>Suma de 2021/2022 </c:v>
                </c:pt>
                <c:pt idx="17">
                  <c:v>Suma de 2022/2023 </c:v>
                </c:pt>
                <c:pt idx="18">
                  <c:v>Suma de 2023/2024 </c:v>
                </c:pt>
                <c:pt idx="19">
                  <c:v>Suma de 2024/2025</c:v>
                </c:pt>
                <c:pt idx="20">
                  <c:v>Suma de 2025/2026</c:v>
                </c:pt>
              </c:strCache>
            </c:strRef>
          </c:cat>
          <c:val>
            <c:numRef>
              <c:f>Análisis!$B$7:$B$27</c:f>
              <c:numCache>
                <c:formatCode>#,##0.0</c:formatCode>
                <c:ptCount val="21"/>
                <c:pt idx="0">
                  <c:v>39.973999999999997</c:v>
                </c:pt>
                <c:pt idx="1">
                  <c:v>40.103000000000002</c:v>
                </c:pt>
                <c:pt idx="2">
                  <c:v>40.232999999999997</c:v>
                </c:pt>
                <c:pt idx="3">
                  <c:v>40.371000000000002</c:v>
                </c:pt>
                <c:pt idx="4">
                  <c:v>40.491999999999997</c:v>
                </c:pt>
                <c:pt idx="5">
                  <c:v>40.548999999999999</c:v>
                </c:pt>
                <c:pt idx="6">
                  <c:v>40.582999999999998</c:v>
                </c:pt>
                <c:pt idx="7">
                  <c:v>40.738999999999997</c:v>
                </c:pt>
                <c:pt idx="8">
                  <c:v>40.853999999999999</c:v>
                </c:pt>
                <c:pt idx="9">
                  <c:v>41.033999999999999</c:v>
                </c:pt>
                <c:pt idx="10">
                  <c:v>41.226999999999997</c:v>
                </c:pt>
                <c:pt idx="11">
                  <c:v>41.442</c:v>
                </c:pt>
                <c:pt idx="12">
                  <c:v>41.518000000000001</c:v>
                </c:pt>
                <c:pt idx="13">
                  <c:v>41.613</c:v>
                </c:pt>
                <c:pt idx="14">
                  <c:v>41.2</c:v>
                </c:pt>
                <c:pt idx="15">
                  <c:v>41</c:v>
                </c:pt>
                <c:pt idx="16">
                  <c:v>41.218000000000004</c:v>
                </c:pt>
                <c:pt idx="17">
                  <c:v>41.55</c:v>
                </c:pt>
                <c:pt idx="18">
                  <c:v>41.76</c:v>
                </c:pt>
                <c:pt idx="19">
                  <c:v>41.878999999999998</c:v>
                </c:pt>
                <c:pt idx="20">
                  <c:v>41.972999999999999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FC-4F45-8D17-F9D6E807A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0726848"/>
        <c:axId val="1820735488"/>
      </c:lineChart>
      <c:catAx>
        <c:axId val="182072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20735488"/>
        <c:crosses val="autoZero"/>
        <c:auto val="1"/>
        <c:lblAlgn val="ctr"/>
        <c:lblOffset val="100"/>
        <c:noMultiLvlLbl val="0"/>
      </c:catAx>
      <c:valAx>
        <c:axId val="182073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20726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1242060</xdr:colOff>
      <xdr:row>5</xdr:row>
      <xdr:rowOff>171450</xdr:rowOff>
    </xdr:from>
    <xdr:to>
      <xdr:col>9</xdr:col>
      <xdr:colOff>60960</xdr:colOff>
      <xdr:row>27</xdr:row>
      <xdr:rowOff>160020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EE8006D-3866-0063-724B-22E9B985DC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31</xdr:row>
      <xdr:rowOff>0</xdr:rowOff>
    </xdr:from>
    <xdr:to>
      <xdr:col>15</xdr:col>
      <xdr:colOff>118695</xdr:colOff>
      <xdr:row>51</xdr:row>
      <xdr:rowOff>38616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88215FE-8101-BD57-168D-1940079C2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9680" y="5669280"/>
          <a:ext cx="17842815" cy="3696216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967.822538078704" createdVersion="8" refreshedVersion="8" minRefreshableVersion="3" recordCount="20" xr:uid="{253DD726-71F6-4F6A-91A4-964B7ADB4E51}">
  <cacheSource type="worksheet">
    <worksheetSource name="Tabla1"/>
  </cacheSource>
  <cacheFields count="23">
    <cacheField name="Metric" numFmtId="0">
      <sharedItems count="20">
        <s v="Area"/>
        <s v="Yield"/>
        <s v="Beginning stocks"/>
        <s v="Gross production"/>
        <s v="Usable production"/>
        <s v="Imports"/>
        <s v="Availability"/>
        <s v="Domestic use"/>
        <s v="Domestic use - Human"/>
        <s v="Domestic use - Seed"/>
        <s v="Domestic use - Industrial"/>
        <s v="Domestic use - Industrial, of which bioethanol/biofuel"/>
        <s v="Domestic use - Animal feed"/>
        <s v="Losses (excl. on-farm)"/>
        <s v="Exports"/>
        <s v="Total use"/>
        <s v="Ending stocks"/>
        <s v="Ending stocks - Market"/>
        <s v="Ending stocks - Intervention"/>
        <s v="Self-sufficiency rate (%)"/>
      </sharedItems>
    </cacheField>
    <cacheField name="Marketing Year" numFmtId="0">
      <sharedItems containsNonDate="0" containsString="0" containsBlank="1"/>
    </cacheField>
    <cacheField name="2005/2006 " numFmtId="164">
      <sharedItems containsSemiMixedTypes="0" containsString="0" containsNumber="1" minValue="0.7" maxValue="21082.377"/>
    </cacheField>
    <cacheField name="2006/2007 " numFmtId="164">
      <sharedItems containsSemiMixedTypes="0" containsString="0" containsNumber="1" minValue="0.2" maxValue="20181.398000000001"/>
    </cacheField>
    <cacheField name="2007/2008 " numFmtId="164">
      <sharedItems containsSemiMixedTypes="0" containsString="0" containsNumber="1" minValue="0" maxValue="20337.849999999999"/>
    </cacheField>
    <cacheField name="2008/2009 " numFmtId="164">
      <sharedItems containsSemiMixedTypes="0" containsString="0" containsNumber="1" minValue="7.6999999999999999E-2" maxValue="21504.6"/>
    </cacheField>
    <cacheField name="2009/2010 " numFmtId="164">
      <sharedItems containsSemiMixedTypes="0" containsString="0" containsNumber="1" minValue="0.27300000000000002" maxValue="21161.45"/>
    </cacheField>
    <cacheField name="2010/2011 " numFmtId="164">
      <sharedItems containsSemiMixedTypes="0" containsString="0" containsNumber="1" minValue="4.1000000000000002E-2" maxValue="21206.33"/>
    </cacheField>
    <cacheField name="2011/2012 " numFmtId="164">
      <sharedItems containsSemiMixedTypes="0" containsString="0" containsNumber="1" minValue="0" maxValue="21738.52"/>
    </cacheField>
    <cacheField name="2012/2013 " numFmtId="164">
      <sharedItems containsSemiMixedTypes="0" containsString="0" containsNumber="1" minValue="0" maxValue="21279.41"/>
    </cacheField>
    <cacheField name="2013/2014 " numFmtId="164">
      <sharedItems containsSemiMixedTypes="0" containsString="0" containsNumber="1" minValue="0" maxValue="21790.74"/>
    </cacheField>
    <cacheField name="2014/2015 " numFmtId="164">
      <sharedItems containsSemiMixedTypes="0" containsString="0" containsNumber="1" minValue="0" maxValue="22483.31"/>
    </cacheField>
    <cacheField name="2015/2016 " numFmtId="164">
      <sharedItems containsSemiMixedTypes="0" containsString="0" containsNumber="1" minValue="0" maxValue="22495.11"/>
    </cacheField>
    <cacheField name="2016/2017 " numFmtId="164">
      <sharedItems containsSemiMixedTypes="0" containsString="0" containsNumber="1" minValue="0" maxValue="22432.28"/>
    </cacheField>
    <cacheField name="2017/2018 " numFmtId="164">
      <sharedItems containsSemiMixedTypes="0" containsString="0" containsNumber="1" minValue="0" maxValue="21593.84"/>
    </cacheField>
    <cacheField name="2018/2019 " numFmtId="164">
      <sharedItems containsSemiMixedTypes="0" containsString="0" containsNumber="1" minValue="0" maxValue="21271.119999999999"/>
    </cacheField>
    <cacheField name="2019/2020 " numFmtId="164">
      <sharedItems containsSemiMixedTypes="0" containsString="0" containsNumber="1" minValue="0" maxValue="22067.63"/>
    </cacheField>
    <cacheField name="2020/2021 " numFmtId="164">
      <sharedItems containsSemiMixedTypes="0" containsString="0" containsNumber="1" minValue="0" maxValue="20663.89"/>
    </cacheField>
    <cacheField name="2021/2022 " numFmtId="164">
      <sharedItems containsSemiMixedTypes="0" containsString="0" containsNumber="1" minValue="0" maxValue="21816.21"/>
    </cacheField>
    <cacheField name="2022/2023 " numFmtId="164">
      <sharedItems containsSemiMixedTypes="0" containsString="0" containsNumber="1" minValue="0" maxValue="21929.083999999999"/>
    </cacheField>
    <cacheField name="2023/2024 " numFmtId="164">
      <sharedItems containsSemiMixedTypes="0" containsString="0" containsNumber="1" minValue="0" maxValue="21915.637999999999"/>
    </cacheField>
    <cacheField name="2024/2025" numFmtId="164">
      <sharedItems containsSemiMixedTypes="0" containsString="0" containsNumber="1" minValue="0" maxValue="20202.587"/>
    </cacheField>
    <cacheField name="2025/2026" numFmtId="164">
      <sharedItems containsSemiMixedTypes="0" containsString="0" containsNumber="1" minValue="0" maxValue="21213.3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m/>
    <n v="21082.377"/>
    <n v="20181.398000000001"/>
    <n v="20337.849999999999"/>
    <n v="21504.6"/>
    <n v="21161.45"/>
    <n v="21206.33"/>
    <n v="21738.52"/>
    <n v="21279.41"/>
    <n v="21790.74"/>
    <n v="22483.31"/>
    <n v="22495.11"/>
    <n v="22432.28"/>
    <n v="21593.84"/>
    <n v="21271.119999999999"/>
    <n v="22067.63"/>
    <n v="20663.89"/>
    <n v="21816.21"/>
    <n v="21929.083999999999"/>
    <n v="21915.637999999999"/>
    <n v="20202.587"/>
    <n v="21213.306"/>
  </r>
  <r>
    <x v="1"/>
    <m/>
    <n v="5.3070000000000004"/>
    <n v="5.1280000000000001"/>
    <n v="4.8890000000000002"/>
    <n v="5.7709999999999999"/>
    <n v="5.4969999999999999"/>
    <n v="5.327"/>
    <n v="5.3310000000000004"/>
    <n v="5.2939999999999996"/>
    <n v="5.7039999999999997"/>
    <n v="5.9169999999999998"/>
    <n v="6.05"/>
    <n v="5.3780000000000001"/>
    <n v="5.9420000000000002"/>
    <n v="5.4420000000000002"/>
    <n v="5.9889999999999999"/>
    <n v="5.76"/>
    <n v="5.96"/>
    <n v="5.782"/>
    <n v="5.7569999999999997"/>
    <n v="5.5709999999999997"/>
    <n v="6.0910000000000002"/>
  </r>
  <r>
    <x v="2"/>
    <m/>
    <n v="25.233000000000001"/>
    <n v="22.155000000000001"/>
    <n v="16.38"/>
    <n v="13.51"/>
    <n v="17.824999999999999"/>
    <n v="12.493"/>
    <n v="7.484"/>
    <n v="9.3680000000000003"/>
    <n v="7.7789999999999999"/>
    <n v="9.3439999999999994"/>
    <n v="9.6660000000000004"/>
    <n v="11.98"/>
    <n v="8.5399999999999991"/>
    <n v="15.242000000000001"/>
    <n v="9.4019999999999992"/>
    <n v="9.5830000000000002"/>
    <n v="8.6989999999999998"/>
    <n v="15.478"/>
    <n v="19.463999999999999"/>
    <n v="16.765999999999998"/>
    <n v="9.8810000000000002"/>
  </r>
  <r>
    <x v="3"/>
    <m/>
    <n v="111.131"/>
    <n v="102.682"/>
    <n v="98.634"/>
    <n v="123.258"/>
    <n v="115.389"/>
    <n v="112.295"/>
    <n v="115.11499999999999"/>
    <n v="112.652"/>
    <n v="124.3"/>
    <n v="133.042"/>
    <n v="136.107"/>
    <n v="120.64100000000001"/>
    <n v="128.30600000000001"/>
    <n v="115.751"/>
    <n v="132.15600000000001"/>
    <n v="119.02800000000001"/>
    <n v="130.023"/>
    <n v="126.803"/>
    <n v="126.169"/>
    <n v="112.556"/>
    <n v="129.21700000000001"/>
  </r>
  <r>
    <x v="4"/>
    <m/>
    <n v="110.264"/>
    <n v="101.88200000000001"/>
    <n v="97.864000000000004"/>
    <n v="122.29600000000001"/>
    <n v="114.489"/>
    <n v="111.419"/>
    <n v="114.217"/>
    <n v="110.78700000000001"/>
    <n v="123.33"/>
    <n v="132.005"/>
    <n v="135.04499999999999"/>
    <n v="119.7"/>
    <n v="127.30500000000001"/>
    <n v="114.848"/>
    <n v="131.126"/>
    <n v="118.099"/>
    <n v="129.00899999999999"/>
    <n v="125.81399999999999"/>
    <n v="125.185"/>
    <n v="111.678"/>
    <n v="128.209"/>
  </r>
  <r>
    <x v="5"/>
    <m/>
    <n v="6.2039999999999997"/>
    <n v="4.952"/>
    <n v="5.0990000000000002"/>
    <n v="8.3930000000000007"/>
    <n v="4.6539999999999999"/>
    <n v="4.0869999999999997"/>
    <n v="6.9630000000000001"/>
    <n v="4.0199999999999996"/>
    <n v="1.831"/>
    <n v="3.5670000000000002"/>
    <n v="5.7489999999999997"/>
    <n v="4.1029999999999998"/>
    <n v="4.0960000000000001"/>
    <n v="3.968"/>
    <n v="2.73"/>
    <n v="2.0209999999999999"/>
    <n v="2.819"/>
    <n v="9.6639999999999997"/>
    <n v="9.6029999999999998"/>
    <n v="7.8"/>
    <n v="3"/>
  </r>
  <r>
    <x v="6"/>
    <m/>
    <n v="141.70099999999999"/>
    <n v="128.989"/>
    <n v="119.343"/>
    <n v="144.19900000000001"/>
    <n v="136.96700000000001"/>
    <n v="127.999"/>
    <n v="128.66399999999999"/>
    <n v="124.176"/>
    <n v="132.94"/>
    <n v="144.91499999999999"/>
    <n v="150.46"/>
    <n v="135.78299999999999"/>
    <n v="139.941"/>
    <n v="134.05699999999999"/>
    <n v="143.25800000000001"/>
    <n v="129.70400000000001"/>
    <n v="140.52799999999999"/>
    <n v="150.95500000000001"/>
    <n v="154.25200000000001"/>
    <n v="136.244"/>
    <n v="141.09"/>
  </r>
  <r>
    <x v="7"/>
    <m/>
    <n v="104.06"/>
    <n v="99.028000000000006"/>
    <n v="93.343000000000004"/>
    <n v="101.736"/>
    <n v="102.408"/>
    <n v="98.974999999999994"/>
    <n v="103.58199999999999"/>
    <n v="92.84"/>
    <n v="90.995999999999995"/>
    <n v="100.59399999999999"/>
    <n v="104.468"/>
    <n v="100.655"/>
    <n v="101.39400000000001"/>
    <n v="101.392"/>
    <n v="96.016999999999996"/>
    <n v="92.9"/>
    <n v="95.018000000000001"/>
    <n v="98.05"/>
    <n v="101.36"/>
    <n v="101.693"/>
    <n v="102.20099999999999"/>
  </r>
  <r>
    <x v="8"/>
    <m/>
    <n v="39.973999999999997"/>
    <n v="40.103000000000002"/>
    <n v="40.232999999999997"/>
    <n v="40.371000000000002"/>
    <n v="40.491999999999997"/>
    <n v="40.548999999999999"/>
    <n v="40.582999999999998"/>
    <n v="40.738999999999997"/>
    <n v="40.853999999999999"/>
    <n v="41.033999999999999"/>
    <n v="41.226999999999997"/>
    <n v="41.442"/>
    <n v="41.518000000000001"/>
    <n v="41.613"/>
    <n v="41.2"/>
    <n v="41"/>
    <n v="41.218000000000004"/>
    <n v="41.55"/>
    <n v="41.76"/>
    <n v="41.878999999999998"/>
    <n v="41.972999999999999"/>
  </r>
  <r>
    <x v="9"/>
    <m/>
    <n v="4.101"/>
    <n v="4.1109999999999998"/>
    <n v="4.3730000000000002"/>
    <n v="4.2329999999999997"/>
    <n v="4.3230000000000004"/>
    <n v="4.32"/>
    <n v="4.2880000000000003"/>
    <n v="4.2830000000000004"/>
    <n v="4.367"/>
    <n v="4.2949999999999999"/>
    <n v="4.3179999999999996"/>
    <n v="4.32"/>
    <n v="4.59"/>
    <n v="4.5999999999999996"/>
    <n v="4.5999999999999996"/>
    <n v="4.5999999999999996"/>
    <n v="4.5999999999999996"/>
    <n v="4.5999999999999996"/>
    <n v="4.5999999999999996"/>
    <n v="4.5999999999999996"/>
    <n v="4.5999999999999996"/>
  </r>
  <r>
    <x v="10"/>
    <m/>
    <n v="5.984"/>
    <n v="6.9989999999999997"/>
    <n v="6.8949999999999996"/>
    <n v="8.0609999999999999"/>
    <n v="9.2129999999999992"/>
    <n v="9.4499999999999993"/>
    <n v="10.333"/>
    <n v="9.6660000000000004"/>
    <n v="9.5969999999999995"/>
    <n v="10.298"/>
    <n v="10.563000000000001"/>
    <n v="10.102"/>
    <n v="10.212"/>
    <n v="10.332000000000001"/>
    <n v="9.7170000000000005"/>
    <n v="9.1"/>
    <n v="9.4"/>
    <n v="8.8000000000000007"/>
    <n v="9.1999999999999993"/>
    <n v="9.1999999999999993"/>
    <n v="9.1999999999999993"/>
  </r>
  <r>
    <x v="11"/>
    <m/>
    <n v="0.7"/>
    <n v="1.8"/>
    <n v="1.7"/>
    <n v="2.1259999999999999"/>
    <n v="3.6930000000000001"/>
    <n v="3.7730000000000001"/>
    <n v="4.9939999999999998"/>
    <n v="4.2249999999999996"/>
    <n v="4.07"/>
    <n v="4.3360000000000003"/>
    <n v="4.5"/>
    <n v="3.9409999999999998"/>
    <n v="4.2"/>
    <n v="4.3490000000000002"/>
    <n v="3.74"/>
    <n v="3.1"/>
    <n v="3.4"/>
    <n v="2.8"/>
    <n v="3.4"/>
    <n v="3.4"/>
    <n v="3.4"/>
  </r>
  <r>
    <x v="12"/>
    <m/>
    <n v="54"/>
    <n v="47.814999999999998"/>
    <n v="41.843000000000004"/>
    <n v="49.070999999999998"/>
    <n v="48.378999999999998"/>
    <n v="44.655999999999999"/>
    <n v="48.378999999999998"/>
    <n v="38.152999999999999"/>
    <n v="36.177999999999997"/>
    <n v="44.966000000000001"/>
    <n v="48.359000000000002"/>
    <n v="44.790999999999997"/>
    <n v="45.073999999999998"/>
    <n v="44.845999999999997"/>
    <n v="40.5"/>
    <n v="38.200000000000003"/>
    <n v="39.799999999999997"/>
    <n v="43.1"/>
    <n v="45.8"/>
    <n v="46.014000000000003"/>
    <n v="46.427999999999997"/>
  </r>
  <r>
    <x v="13"/>
    <m/>
    <n v="0.9"/>
    <n v="0.9"/>
    <n v="0.9"/>
    <n v="0.9"/>
    <n v="0.9"/>
    <n v="0.9"/>
    <n v="0.9"/>
    <n v="0.9"/>
    <n v="0.9"/>
    <n v="0.9"/>
    <n v="0.9"/>
    <n v="0.9"/>
    <n v="0.9"/>
    <n v="0.9"/>
    <n v="0.78700000000000003"/>
    <n v="0.70899999999999996"/>
    <n v="0.77400000000000002"/>
    <n v="0.755"/>
    <n v="0.751"/>
    <n v="0.67"/>
    <n v="0.76900000000000002"/>
  </r>
  <r>
    <x v="14"/>
    <m/>
    <n v="14.587"/>
    <n v="12.68"/>
    <n v="11.59"/>
    <n v="23.738"/>
    <n v="21.166"/>
    <n v="20.64"/>
    <n v="14.813000000000001"/>
    <n v="22.657"/>
    <n v="31.701000000000001"/>
    <n v="33.755000000000003"/>
    <n v="33.112000000000002"/>
    <n v="25.689"/>
    <n v="22.405000000000001"/>
    <n v="22.364000000000001"/>
    <n v="36.871000000000002"/>
    <n v="27.396999999999998"/>
    <n v="29.257000000000001"/>
    <n v="32.686"/>
    <n v="35.374000000000002"/>
    <n v="24"/>
    <n v="29.78"/>
  </r>
  <r>
    <x v="15"/>
    <m/>
    <n v="119.54600000000001"/>
    <n v="112.60899999999999"/>
    <n v="105.834"/>
    <n v="126.374"/>
    <n v="124.474"/>
    <n v="120.51600000000001"/>
    <n v="119.295"/>
    <n v="116.39700000000001"/>
    <n v="123.59699999999999"/>
    <n v="135.249"/>
    <n v="138.47999999999999"/>
    <n v="127.24299999999999"/>
    <n v="124.699"/>
    <n v="124.65600000000001"/>
    <n v="133.67400000000001"/>
    <n v="121.005"/>
    <n v="125.05"/>
    <n v="131.49199999999999"/>
    <n v="137.48500000000001"/>
    <n v="126.363"/>
    <n v="132.75"/>
  </r>
  <r>
    <x v="16"/>
    <m/>
    <n v="22.155000000000001"/>
    <n v="16.38"/>
    <n v="13.51"/>
    <n v="17.824999999999999"/>
    <n v="12.493"/>
    <n v="7.484"/>
    <n v="9.3680000000000003"/>
    <n v="7.7789999999999999"/>
    <n v="9.3439999999999994"/>
    <n v="9.6660000000000004"/>
    <n v="11.98"/>
    <n v="8.5399999999999991"/>
    <n v="15.242000000000001"/>
    <n v="9.4019999999999992"/>
    <n v="9.5830000000000002"/>
    <n v="8.6989999999999998"/>
    <n v="15.478"/>
    <n v="19.463999999999999"/>
    <n v="16.765999999999998"/>
    <n v="9.8810000000000002"/>
    <n v="8.34"/>
  </r>
  <r>
    <x v="17"/>
    <m/>
    <n v="16.620999999999999"/>
    <n v="16.18"/>
    <n v="13.51"/>
    <n v="17.748000000000001"/>
    <n v="12.22"/>
    <n v="7.4429999999999996"/>
    <n v="9.3680000000000003"/>
    <n v="7.7789999999999999"/>
    <n v="9.3439999999999994"/>
    <n v="9.6660000000000004"/>
    <n v="11.98"/>
    <n v="8.5399999999999991"/>
    <n v="15.242000000000001"/>
    <n v="9.4019999999999992"/>
    <n v="9.5830000000000002"/>
    <n v="8.6989999999999998"/>
    <n v="15.478"/>
    <n v="19.463999999999999"/>
    <n v="16.765999999999998"/>
    <n v="9.8810000000000002"/>
    <n v="8.34"/>
  </r>
  <r>
    <x v="18"/>
    <m/>
    <n v="5.5339999999999998"/>
    <n v="0.2"/>
    <n v="0"/>
    <n v="7.6999999999999999E-2"/>
    <n v="0.27300000000000002"/>
    <n v="4.1000000000000002E-2"/>
    <n v="0"/>
    <n v="0"/>
    <n v="0"/>
    <n v="0"/>
    <n v="0"/>
    <n v="0"/>
    <n v="0"/>
    <n v="0"/>
    <n v="0"/>
    <n v="0"/>
    <n v="0"/>
    <n v="0"/>
    <n v="0"/>
    <n v="0"/>
    <n v="0"/>
  </r>
  <r>
    <x v="19"/>
    <m/>
    <n v="105.962"/>
    <n v="102.881"/>
    <n v="104.843"/>
    <n v="120.21"/>
    <n v="111.79600000000001"/>
    <n v="112.572"/>
    <n v="110.267"/>
    <n v="119.331"/>
    <n v="135.53399999999999"/>
    <n v="131.22499999999999"/>
    <n v="129.26900000000001"/>
    <n v="118.92100000000001"/>
    <n v="125.55500000000001"/>
    <n v="113.271"/>
    <n v="136.565"/>
    <n v="127.125"/>
    <n v="135.773"/>
    <n v="128.315"/>
    <n v="123.504"/>
    <n v="109.818"/>
    <n v="125.447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79F1AE-0BF9-405A-A1E5-182F51FE1721}" name="TablaDinámica16" cacheId="5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3:U4" firstHeaderRow="0" firstDataRow="1" firstDataCol="0" rowPageCount="1" colPageCount="1"/>
  <pivotFields count="23">
    <pivotField axis="axisPage" showAll="0">
      <items count="21">
        <item x="0"/>
        <item x="6"/>
        <item x="2"/>
        <item x="7"/>
        <item x="12"/>
        <item x="8"/>
        <item x="10"/>
        <item x="11"/>
        <item x="9"/>
        <item x="16"/>
        <item x="18"/>
        <item x="17"/>
        <item x="14"/>
        <item x="3"/>
        <item x="5"/>
        <item x="13"/>
        <item x="19"/>
        <item x="15"/>
        <item x="4"/>
        <item x="1"/>
        <item t="default"/>
      </items>
    </pivotField>
    <pivotField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</pivotFields>
  <rowItems count="1">
    <i/>
  </rowItems>
  <colFields count="1">
    <field x="-2"/>
  </colFields>
  <colItems count="2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</colItems>
  <pageFields count="1">
    <pageField fld="0" item="5" hier="-1"/>
  </pageFields>
  <dataFields count="21">
    <dataField name="Suma de 2005/2006 " fld="2" baseField="0" baseItem="0" numFmtId="164"/>
    <dataField name="Suma de 2006/2007 " fld="3" baseField="0" baseItem="0" numFmtId="164"/>
    <dataField name="Suma de 2007/2008 " fld="4" baseField="0" baseItem="0" numFmtId="164"/>
    <dataField name="Suma de 2008/2009 " fld="5" baseField="0" baseItem="0" numFmtId="164"/>
    <dataField name="Suma de 2009/2010 " fld="6" baseField="0" baseItem="0" numFmtId="164"/>
    <dataField name="Suma de 2010/2011 " fld="7" baseField="0" baseItem="0" numFmtId="164"/>
    <dataField name="Suma de 2011/2012 " fld="8" baseField="0" baseItem="0" numFmtId="164"/>
    <dataField name="Suma de 2012/2013 " fld="9" baseField="0" baseItem="0" numFmtId="164"/>
    <dataField name="Suma de 2013/2014 " fld="10" baseField="0" baseItem="0" numFmtId="164"/>
    <dataField name="Suma de 2014/2015 " fld="11" baseField="0" baseItem="0" numFmtId="164"/>
    <dataField name="Suma de 2019/2020 " fld="16" baseField="0" baseItem="0" numFmtId="164"/>
    <dataField name="Suma de 2020/2021 " fld="17" baseField="0" baseItem="0" numFmtId="164"/>
    <dataField name="Suma de 2021/2022 " fld="18" baseField="0" baseItem="0" numFmtId="164"/>
    <dataField name="Suma de 2022/2023 " fld="19" baseField="0" baseItem="0" numFmtId="164"/>
    <dataField name="Suma de 2023/2024 " fld="20" baseField="0" baseItem="0" numFmtId="164"/>
    <dataField name="Suma de 2024/2025" fld="21" baseField="0" baseItem="0" numFmtId="164"/>
    <dataField name="Suma de 2025/2026" fld="22" baseField="0" baseItem="0" numFmtId="164"/>
    <dataField name="Suma de 2015/2016 " fld="12" baseField="0" baseItem="0" numFmtId="164"/>
    <dataField name="Suma de 2016/2017 " fld="13" baseField="0" baseItem="0" numFmtId="164"/>
    <dataField name="Suma de 2017/2018 " fld="14" baseField="0" baseItem="0" numFmtId="164"/>
    <dataField name="Suma de 2018/2019 " fld="15" baseField="0" baseItem="0" numFmtId="164"/>
  </dataFields>
  <chartFormats count="2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10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11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12"/>
          </reference>
        </references>
      </pivotArea>
    </chartFormat>
    <chartFormat chart="2" format="13" series="1">
      <pivotArea type="data" outline="0" fieldPosition="0">
        <references count="1">
          <reference field="4294967294" count="1" selected="0">
            <x v="13"/>
          </reference>
        </references>
      </pivotArea>
    </chartFormat>
    <chartFormat chart="2" format="14" series="1">
      <pivotArea type="data" outline="0" fieldPosition="0">
        <references count="1">
          <reference field="4294967294" count="1" selected="0">
            <x v="14"/>
          </reference>
        </references>
      </pivotArea>
    </chartFormat>
    <chartFormat chart="2" format="15" series="1">
      <pivotArea type="data" outline="0" fieldPosition="0">
        <references count="1">
          <reference field="4294967294" count="1" selected="0">
            <x v="15"/>
          </reference>
        </references>
      </pivotArea>
    </chartFormat>
    <chartFormat chart="2" format="16" series="1">
      <pivotArea type="data" outline="0" fieldPosition="0">
        <references count="1">
          <reference field="4294967294" count="1" selected="0">
            <x v="16"/>
          </reference>
        </references>
      </pivotArea>
    </chartFormat>
    <chartFormat chart="2" format="17" series="1">
      <pivotArea type="data" outline="0" fieldPosition="0">
        <references count="1">
          <reference field="4294967294" count="1" selected="0">
            <x v="17"/>
          </reference>
        </references>
      </pivotArea>
    </chartFormat>
    <chartFormat chart="2" format="18" series="1">
      <pivotArea type="data" outline="0" fieldPosition="0">
        <references count="1">
          <reference field="4294967294" count="1" selected="0">
            <x v="18"/>
          </reference>
        </references>
      </pivotArea>
    </chartFormat>
    <chartFormat chart="2" format="19" series="1">
      <pivotArea type="data" outline="0" fieldPosition="0">
        <references count="1">
          <reference field="4294967294" count="1" selected="0">
            <x v="19"/>
          </reference>
        </references>
      </pivotArea>
    </chartFormat>
    <chartFormat chart="2" format="20" series="1">
      <pivotArea type="data" outline="0" fieldPosition="0">
        <references count="1">
          <reference field="4294967294" count="1" selected="0">
            <x v="2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5BCEDB-5824-4B20-BC37-4EFADF21DC08}" name="Tabla2" displayName="Tabla2" ref="A6:B27" totalsRowShown="0">
  <autoFilter ref="A6:B27" xr:uid="{E15BCEDB-5824-4B20-BC37-4EFADF21DC08}"/>
  <sortState xmlns:xlrd2="http://schemas.microsoft.com/office/spreadsheetml/2017/richdata2" ref="A7:B27">
    <sortCondition ref="A6:A27"/>
  </sortState>
  <tableColumns count="2">
    <tableColumn id="1" xr3:uid="{F6FFE359-4197-4EE7-BEF7-F9C8792D2A59}" name="Year" dataDxfId="1"/>
    <tableColumn id="2" xr3:uid="{7DBAB669-A009-43C1-A0B2-7610BCC1B523}" name="Value" dataDxfId="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D32286-C4C6-427F-9100-E86248D50516}" name="Tabla1" displayName="Tabla1" ref="A1:W21" totalsRowShown="0">
  <autoFilter ref="A1:W21" xr:uid="{8DD32286-C4C6-427F-9100-E86248D50516}"/>
  <tableColumns count="23">
    <tableColumn id="1" xr3:uid="{176DDAA3-E294-4072-88BE-F55B3294914E}" name="Metric"/>
    <tableColumn id="2" xr3:uid="{6FA69172-CDAB-429E-9846-62D072189754}" name="Marketing Year"/>
    <tableColumn id="3" xr3:uid="{DA027C92-F002-404F-9190-66C5688FBE99}" name="2005/2006 " dataDxfId="22"/>
    <tableColumn id="4" xr3:uid="{8E9B05F6-61F9-4384-B177-CAB61164F1C7}" name="2006/2007 " dataDxfId="21"/>
    <tableColumn id="5" xr3:uid="{BCEE104D-E917-4DC9-AE31-B0D5C6799441}" name="2007/2008 " dataDxfId="20"/>
    <tableColumn id="6" xr3:uid="{DF048072-DA33-4C5E-A502-3C8F5B0BD88A}" name="2008/2009 " dataDxfId="19"/>
    <tableColumn id="7" xr3:uid="{BF12EE0A-43BB-477B-B2ED-354F31B777B2}" name="2009/2010 " dataDxfId="18"/>
    <tableColumn id="8" xr3:uid="{C704E398-4E11-4F44-B2C9-5A8EDE18FF7E}" name="2010/2011 " dataDxfId="17"/>
    <tableColumn id="9" xr3:uid="{53548440-3B0F-4C07-B906-15C39B7371DA}" name="2011/2012 " dataDxfId="16"/>
    <tableColumn id="10" xr3:uid="{A988732E-A5B8-414B-BE59-327240BB7B62}" name="2012/2013 " dataDxfId="15"/>
    <tableColumn id="11" xr3:uid="{6BB32360-A9E9-462B-811F-C2F05E622853}" name="2013/2014 " dataDxfId="14"/>
    <tableColumn id="12" xr3:uid="{DF973173-8983-415D-A556-F53FFF9FCBEF}" name="2014/2015 " dataDxfId="13"/>
    <tableColumn id="13" xr3:uid="{B318E08C-E132-4050-9244-FAF93C707EF3}" name="2015/2016 " dataDxfId="12"/>
    <tableColumn id="14" xr3:uid="{7DCF1388-F1D8-4403-AF02-509690C92E83}" name="2016/2017 " dataDxfId="11"/>
    <tableColumn id="15" xr3:uid="{4C9C0A4E-7BA2-4A8F-A5D6-BA9BD620AF03}" name="2017/2018 " dataDxfId="10"/>
    <tableColumn id="16" xr3:uid="{7782D4E2-86A1-4F6D-BACC-FD41DD08AB77}" name="2018/2019 " dataDxfId="9"/>
    <tableColumn id="17" xr3:uid="{A64DC95B-C0EB-4BDC-8A54-EE5DF574A5F4}" name="2019/2020 " dataDxfId="8"/>
    <tableColumn id="18" xr3:uid="{BC16F5C4-0387-4115-90ED-4497000963A1}" name="2020/2021 " dataDxfId="7"/>
    <tableColumn id="19" xr3:uid="{470C889A-4EA4-4A2E-AEA4-32F6E51AE593}" name="2021/2022 " dataDxfId="6"/>
    <tableColumn id="20" xr3:uid="{42AA15A0-0591-44C3-BA76-F9A6742B170A}" name="2022/2023 " dataDxfId="5"/>
    <tableColumn id="21" xr3:uid="{15A4BDEA-D4B6-4B3A-9EC5-BDF8B084A9A5}" name="2023/2024 " dataDxfId="4"/>
    <tableColumn id="22" xr3:uid="{81E3FF62-B5AC-436F-9846-6731032E3AFF}" name="2024/2025" dataDxfId="3"/>
    <tableColumn id="23" xr3:uid="{43419BDA-896C-471B-9A54-32FD1070EB8C}" name="2025/2026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B92C4-0A64-42AD-AF33-1B00CFFE6D6A}">
  <dimension ref="A1:U27"/>
  <sheetViews>
    <sheetView topLeftCell="A29" workbookViewId="0">
      <selection activeCell="A54" sqref="A54"/>
    </sheetView>
  </sheetViews>
  <sheetFormatPr baseColWidth="10" defaultRowHeight="14.4" x14ac:dyDescent="0.3"/>
  <cols>
    <col min="1" max="1" width="18.21875" bestFit="1" customWidth="1"/>
    <col min="2" max="2" width="21.5546875" bestFit="1" customWidth="1"/>
    <col min="3" max="15" width="18.21875" bestFit="1" customWidth="1"/>
    <col min="16" max="17" width="17.77734375" bestFit="1" customWidth="1"/>
    <col min="18" max="21" width="18.21875" bestFit="1" customWidth="1"/>
  </cols>
  <sheetData>
    <row r="1" spans="1:21" x14ac:dyDescent="0.3">
      <c r="A1" s="2" t="s">
        <v>0</v>
      </c>
      <c r="B1" t="s">
        <v>29</v>
      </c>
    </row>
    <row r="3" spans="1:21" x14ac:dyDescent="0.3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  <c r="J3" t="s">
        <v>52</v>
      </c>
      <c r="K3" t="s">
        <v>53</v>
      </c>
      <c r="L3" t="s">
        <v>54</v>
      </c>
      <c r="M3" t="s">
        <v>55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63</v>
      </c>
    </row>
    <row r="4" spans="1:21" x14ac:dyDescent="0.3">
      <c r="A4" s="1">
        <v>39.973999999999997</v>
      </c>
      <c r="B4" s="1">
        <v>40.103000000000002</v>
      </c>
      <c r="C4" s="1">
        <v>40.232999999999997</v>
      </c>
      <c r="D4" s="1">
        <v>40.371000000000002</v>
      </c>
      <c r="E4" s="1">
        <v>40.491999999999997</v>
      </c>
      <c r="F4" s="1">
        <v>40.548999999999999</v>
      </c>
      <c r="G4" s="1">
        <v>40.582999999999998</v>
      </c>
      <c r="H4" s="1">
        <v>40.738999999999997</v>
      </c>
      <c r="I4" s="1">
        <v>40.853999999999999</v>
      </c>
      <c r="J4" s="1">
        <v>41.033999999999999</v>
      </c>
      <c r="K4" s="1">
        <v>41.2</v>
      </c>
      <c r="L4" s="1">
        <v>41</v>
      </c>
      <c r="M4" s="1">
        <v>41.218000000000004</v>
      </c>
      <c r="N4" s="1">
        <v>41.55</v>
      </c>
      <c r="O4" s="1">
        <v>41.76</v>
      </c>
      <c r="P4" s="1">
        <v>41.878999999999998</v>
      </c>
      <c r="Q4" s="1">
        <v>41.972999999999999</v>
      </c>
      <c r="R4" s="1">
        <v>41.226999999999997</v>
      </c>
      <c r="S4" s="1">
        <v>41.442</v>
      </c>
      <c r="T4" s="1">
        <v>41.518000000000001</v>
      </c>
      <c r="U4" s="1">
        <v>41.613</v>
      </c>
    </row>
    <row r="6" spans="1:21" x14ac:dyDescent="0.3">
      <c r="A6" t="s">
        <v>64</v>
      </c>
      <c r="B6" t="s">
        <v>65</v>
      </c>
    </row>
    <row r="7" spans="1:21" x14ac:dyDescent="0.3">
      <c r="A7" s="3" t="s">
        <v>43</v>
      </c>
      <c r="B7" s="1">
        <v>39.973999999999997</v>
      </c>
    </row>
    <row r="8" spans="1:21" x14ac:dyDescent="0.3">
      <c r="A8" s="3" t="s">
        <v>44</v>
      </c>
      <c r="B8" s="1">
        <v>40.103000000000002</v>
      </c>
    </row>
    <row r="9" spans="1:21" x14ac:dyDescent="0.3">
      <c r="A9" s="3" t="s">
        <v>45</v>
      </c>
      <c r="B9" s="1">
        <v>40.232999999999997</v>
      </c>
    </row>
    <row r="10" spans="1:21" x14ac:dyDescent="0.3">
      <c r="A10" s="3" t="s">
        <v>46</v>
      </c>
      <c r="B10" s="1">
        <v>40.371000000000002</v>
      </c>
    </row>
    <row r="11" spans="1:21" x14ac:dyDescent="0.3">
      <c r="A11" s="3" t="s">
        <v>47</v>
      </c>
      <c r="B11" s="1">
        <v>40.491999999999997</v>
      </c>
    </row>
    <row r="12" spans="1:21" x14ac:dyDescent="0.3">
      <c r="A12" s="3" t="s">
        <v>48</v>
      </c>
      <c r="B12" s="1">
        <v>40.548999999999999</v>
      </c>
    </row>
    <row r="13" spans="1:21" x14ac:dyDescent="0.3">
      <c r="A13" s="3" t="s">
        <v>49</v>
      </c>
      <c r="B13" s="1">
        <v>40.582999999999998</v>
      </c>
    </row>
    <row r="14" spans="1:21" x14ac:dyDescent="0.3">
      <c r="A14" s="3" t="s">
        <v>50</v>
      </c>
      <c r="B14" s="1">
        <v>40.738999999999997</v>
      </c>
    </row>
    <row r="15" spans="1:21" x14ac:dyDescent="0.3">
      <c r="A15" s="3" t="s">
        <v>51</v>
      </c>
      <c r="B15" s="1">
        <v>40.853999999999999</v>
      </c>
    </row>
    <row r="16" spans="1:21" x14ac:dyDescent="0.3">
      <c r="A16" s="3" t="s">
        <v>52</v>
      </c>
      <c r="B16" s="1">
        <v>41.033999999999999</v>
      </c>
    </row>
    <row r="17" spans="1:2" x14ac:dyDescent="0.3">
      <c r="A17" s="3" t="s">
        <v>60</v>
      </c>
      <c r="B17" s="1">
        <v>41.226999999999997</v>
      </c>
    </row>
    <row r="18" spans="1:2" x14ac:dyDescent="0.3">
      <c r="A18" s="3" t="s">
        <v>61</v>
      </c>
      <c r="B18" s="1">
        <v>41.442</v>
      </c>
    </row>
    <row r="19" spans="1:2" x14ac:dyDescent="0.3">
      <c r="A19" s="3" t="s">
        <v>62</v>
      </c>
      <c r="B19" s="1">
        <v>41.518000000000001</v>
      </c>
    </row>
    <row r="20" spans="1:2" x14ac:dyDescent="0.3">
      <c r="A20" s="3" t="s">
        <v>63</v>
      </c>
      <c r="B20" s="1">
        <v>41.613</v>
      </c>
    </row>
    <row r="21" spans="1:2" x14ac:dyDescent="0.3">
      <c r="A21" s="3" t="s">
        <v>53</v>
      </c>
      <c r="B21" s="1">
        <v>41.2</v>
      </c>
    </row>
    <row r="22" spans="1:2" x14ac:dyDescent="0.3">
      <c r="A22" s="3" t="s">
        <v>54</v>
      </c>
      <c r="B22" s="1">
        <v>41</v>
      </c>
    </row>
    <row r="23" spans="1:2" x14ac:dyDescent="0.3">
      <c r="A23" s="3" t="s">
        <v>55</v>
      </c>
      <c r="B23" s="1">
        <v>41.218000000000004</v>
      </c>
    </row>
    <row r="24" spans="1:2" x14ac:dyDescent="0.3">
      <c r="A24" s="3" t="s">
        <v>56</v>
      </c>
      <c r="B24" s="1">
        <v>41.55</v>
      </c>
    </row>
    <row r="25" spans="1:2" x14ac:dyDescent="0.3">
      <c r="A25" s="3" t="s">
        <v>57</v>
      </c>
      <c r="B25" s="1">
        <v>41.76</v>
      </c>
    </row>
    <row r="26" spans="1:2" x14ac:dyDescent="0.3">
      <c r="A26" s="3" t="s">
        <v>58</v>
      </c>
      <c r="B26" s="1">
        <v>41.878999999999998</v>
      </c>
    </row>
    <row r="27" spans="1:2" x14ac:dyDescent="0.3">
      <c r="A27" s="3" t="s">
        <v>59</v>
      </c>
      <c r="B27" s="1">
        <v>41.972999999999999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1"/>
  <sheetViews>
    <sheetView tabSelected="1" workbookViewId="0">
      <selection activeCell="K24" sqref="K24"/>
    </sheetView>
  </sheetViews>
  <sheetFormatPr baseColWidth="10" defaultColWidth="8.88671875" defaultRowHeight="14.4" x14ac:dyDescent="0.3"/>
  <cols>
    <col min="1" max="1" width="45.21875" bestFit="1" customWidth="1"/>
    <col min="2" max="2" width="16" bestFit="1" customWidth="1"/>
    <col min="3" max="21" width="12.5546875" bestFit="1" customWidth="1"/>
    <col min="22" max="23" width="12.1093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41</v>
      </c>
      <c r="W1" t="s">
        <v>42</v>
      </c>
    </row>
    <row r="2" spans="1:23" x14ac:dyDescent="0.3">
      <c r="A2" t="s">
        <v>21</v>
      </c>
      <c r="C2" s="1">
        <v>21082.377</v>
      </c>
      <c r="D2" s="1">
        <v>20181.398000000001</v>
      </c>
      <c r="E2" s="1">
        <v>20337.849999999999</v>
      </c>
      <c r="F2" s="1">
        <v>21504.6</v>
      </c>
      <c r="G2" s="1">
        <v>21161.45</v>
      </c>
      <c r="H2" s="1">
        <v>21206.33</v>
      </c>
      <c r="I2" s="1">
        <v>21738.52</v>
      </c>
      <c r="J2" s="1">
        <v>21279.41</v>
      </c>
      <c r="K2" s="1">
        <v>21790.74</v>
      </c>
      <c r="L2" s="1">
        <v>22483.31</v>
      </c>
      <c r="M2" s="1">
        <v>22495.11</v>
      </c>
      <c r="N2" s="1">
        <v>22432.28</v>
      </c>
      <c r="O2" s="1">
        <v>21593.84</v>
      </c>
      <c r="P2" s="1">
        <v>21271.119999999999</v>
      </c>
      <c r="Q2" s="1">
        <v>22067.63</v>
      </c>
      <c r="R2" s="1">
        <v>20663.89</v>
      </c>
      <c r="S2" s="1">
        <v>21816.21</v>
      </c>
      <c r="T2" s="1">
        <v>21929.083999999999</v>
      </c>
      <c r="U2" s="1">
        <v>21915.637999999999</v>
      </c>
      <c r="V2" s="1">
        <v>20202.587</v>
      </c>
      <c r="W2" s="1">
        <v>21213.306</v>
      </c>
    </row>
    <row r="3" spans="1:23" x14ac:dyDescent="0.3">
      <c r="A3" t="s">
        <v>22</v>
      </c>
      <c r="C3" s="1">
        <v>5.3070000000000004</v>
      </c>
      <c r="D3" s="1">
        <v>5.1280000000000001</v>
      </c>
      <c r="E3" s="1">
        <v>4.8890000000000002</v>
      </c>
      <c r="F3" s="1">
        <v>5.7709999999999999</v>
      </c>
      <c r="G3" s="1">
        <v>5.4969999999999999</v>
      </c>
      <c r="H3" s="1">
        <v>5.327</v>
      </c>
      <c r="I3" s="1">
        <v>5.3310000000000004</v>
      </c>
      <c r="J3" s="1">
        <v>5.2939999999999996</v>
      </c>
      <c r="K3" s="1">
        <v>5.7039999999999997</v>
      </c>
      <c r="L3" s="1">
        <v>5.9169999999999998</v>
      </c>
      <c r="M3" s="1">
        <v>6.05</v>
      </c>
      <c r="N3" s="1">
        <v>5.3780000000000001</v>
      </c>
      <c r="O3" s="1">
        <v>5.9420000000000002</v>
      </c>
      <c r="P3" s="1">
        <v>5.4420000000000002</v>
      </c>
      <c r="Q3" s="1">
        <v>5.9889999999999999</v>
      </c>
      <c r="R3" s="1">
        <v>5.76</v>
      </c>
      <c r="S3" s="1">
        <v>5.96</v>
      </c>
      <c r="T3" s="1">
        <v>5.782</v>
      </c>
      <c r="U3" s="1">
        <v>5.7569999999999997</v>
      </c>
      <c r="V3" s="1">
        <v>5.5709999999999997</v>
      </c>
      <c r="W3" s="1">
        <v>6.0910000000000002</v>
      </c>
    </row>
    <row r="4" spans="1:23" x14ac:dyDescent="0.3">
      <c r="A4" t="s">
        <v>23</v>
      </c>
      <c r="C4" s="1">
        <v>25.233000000000001</v>
      </c>
      <c r="D4" s="1">
        <v>22.155000000000001</v>
      </c>
      <c r="E4" s="1">
        <v>16.38</v>
      </c>
      <c r="F4" s="1">
        <v>13.51</v>
      </c>
      <c r="G4" s="1">
        <v>17.824999999999999</v>
      </c>
      <c r="H4" s="1">
        <v>12.493</v>
      </c>
      <c r="I4" s="1">
        <v>7.484</v>
      </c>
      <c r="J4" s="1">
        <v>9.3680000000000003</v>
      </c>
      <c r="K4" s="1">
        <v>7.7789999999999999</v>
      </c>
      <c r="L4" s="1">
        <v>9.3439999999999994</v>
      </c>
      <c r="M4" s="1">
        <v>9.6660000000000004</v>
      </c>
      <c r="N4" s="1">
        <v>11.98</v>
      </c>
      <c r="O4" s="1">
        <v>8.5399999999999991</v>
      </c>
      <c r="P4" s="1">
        <v>15.242000000000001</v>
      </c>
      <c r="Q4" s="1">
        <v>9.4019999999999992</v>
      </c>
      <c r="R4" s="1">
        <v>9.5830000000000002</v>
      </c>
      <c r="S4" s="1">
        <v>8.6989999999999998</v>
      </c>
      <c r="T4" s="1">
        <v>15.478</v>
      </c>
      <c r="U4" s="1">
        <v>19.463999999999999</v>
      </c>
      <c r="V4" s="1">
        <v>16.765999999999998</v>
      </c>
      <c r="W4" s="1">
        <v>9.8810000000000002</v>
      </c>
    </row>
    <row r="5" spans="1:23" x14ac:dyDescent="0.3">
      <c r="A5" t="s">
        <v>24</v>
      </c>
      <c r="C5" s="1">
        <v>111.131</v>
      </c>
      <c r="D5" s="1">
        <v>102.682</v>
      </c>
      <c r="E5" s="1">
        <v>98.634</v>
      </c>
      <c r="F5" s="1">
        <v>123.258</v>
      </c>
      <c r="G5" s="1">
        <v>115.389</v>
      </c>
      <c r="H5" s="1">
        <v>112.295</v>
      </c>
      <c r="I5" s="1">
        <v>115.11499999999999</v>
      </c>
      <c r="J5" s="1">
        <v>112.652</v>
      </c>
      <c r="K5" s="1">
        <v>124.3</v>
      </c>
      <c r="L5" s="1">
        <v>133.042</v>
      </c>
      <c r="M5" s="1">
        <v>136.107</v>
      </c>
      <c r="N5" s="1">
        <v>120.64100000000001</v>
      </c>
      <c r="O5" s="1">
        <v>128.30600000000001</v>
      </c>
      <c r="P5" s="1">
        <v>115.751</v>
      </c>
      <c r="Q5" s="1">
        <v>132.15600000000001</v>
      </c>
      <c r="R5" s="1">
        <v>119.02800000000001</v>
      </c>
      <c r="S5" s="1">
        <v>130.023</v>
      </c>
      <c r="T5" s="1">
        <v>126.803</v>
      </c>
      <c r="U5" s="1">
        <v>126.169</v>
      </c>
      <c r="V5" s="1">
        <v>112.556</v>
      </c>
      <c r="W5" s="1">
        <v>129.21700000000001</v>
      </c>
    </row>
    <row r="6" spans="1:23" x14ac:dyDescent="0.3">
      <c r="A6" t="s">
        <v>25</v>
      </c>
      <c r="C6" s="1">
        <v>110.264</v>
      </c>
      <c r="D6" s="1">
        <v>101.88200000000001</v>
      </c>
      <c r="E6" s="1">
        <v>97.864000000000004</v>
      </c>
      <c r="F6" s="1">
        <v>122.29600000000001</v>
      </c>
      <c r="G6" s="1">
        <v>114.489</v>
      </c>
      <c r="H6" s="1">
        <v>111.419</v>
      </c>
      <c r="I6" s="1">
        <v>114.217</v>
      </c>
      <c r="J6" s="1">
        <v>110.78700000000001</v>
      </c>
      <c r="K6" s="1">
        <v>123.33</v>
      </c>
      <c r="L6" s="1">
        <v>132.005</v>
      </c>
      <c r="M6" s="1">
        <v>135.04499999999999</v>
      </c>
      <c r="N6" s="1">
        <v>119.7</v>
      </c>
      <c r="O6" s="1">
        <v>127.30500000000001</v>
      </c>
      <c r="P6" s="1">
        <v>114.848</v>
      </c>
      <c r="Q6" s="1">
        <v>131.126</v>
      </c>
      <c r="R6" s="1">
        <v>118.099</v>
      </c>
      <c r="S6" s="1">
        <v>129.00899999999999</v>
      </c>
      <c r="T6" s="1">
        <v>125.81399999999999</v>
      </c>
      <c r="U6" s="1">
        <v>125.185</v>
      </c>
      <c r="V6" s="1">
        <v>111.678</v>
      </c>
      <c r="W6" s="1">
        <v>128.209</v>
      </c>
    </row>
    <row r="7" spans="1:23" x14ac:dyDescent="0.3">
      <c r="A7" t="s">
        <v>26</v>
      </c>
      <c r="C7" s="1">
        <v>6.2039999999999997</v>
      </c>
      <c r="D7" s="1">
        <v>4.952</v>
      </c>
      <c r="E7" s="1">
        <v>5.0990000000000002</v>
      </c>
      <c r="F7" s="1">
        <v>8.3930000000000007</v>
      </c>
      <c r="G7" s="1">
        <v>4.6539999999999999</v>
      </c>
      <c r="H7" s="1">
        <v>4.0869999999999997</v>
      </c>
      <c r="I7" s="1">
        <v>6.9630000000000001</v>
      </c>
      <c r="J7" s="1">
        <v>4.0199999999999996</v>
      </c>
      <c r="K7" s="1">
        <v>1.831</v>
      </c>
      <c r="L7" s="1">
        <v>3.5670000000000002</v>
      </c>
      <c r="M7" s="1">
        <v>5.7489999999999997</v>
      </c>
      <c r="N7" s="1">
        <v>4.1029999999999998</v>
      </c>
      <c r="O7" s="1">
        <v>4.0960000000000001</v>
      </c>
      <c r="P7" s="1">
        <v>3.968</v>
      </c>
      <c r="Q7" s="1">
        <v>2.73</v>
      </c>
      <c r="R7" s="1">
        <v>2.0209999999999999</v>
      </c>
      <c r="S7" s="1">
        <v>2.819</v>
      </c>
      <c r="T7" s="1">
        <v>9.6639999999999997</v>
      </c>
      <c r="U7" s="1">
        <v>9.6029999999999998</v>
      </c>
      <c r="V7" s="1">
        <v>7.8</v>
      </c>
      <c r="W7" s="1">
        <v>3</v>
      </c>
    </row>
    <row r="8" spans="1:23" x14ac:dyDescent="0.3">
      <c r="A8" t="s">
        <v>27</v>
      </c>
      <c r="C8" s="1">
        <v>141.70099999999999</v>
      </c>
      <c r="D8" s="1">
        <v>128.989</v>
      </c>
      <c r="E8" s="1">
        <v>119.343</v>
      </c>
      <c r="F8" s="1">
        <v>144.19900000000001</v>
      </c>
      <c r="G8" s="1">
        <v>136.96700000000001</v>
      </c>
      <c r="H8" s="1">
        <v>127.999</v>
      </c>
      <c r="I8" s="1">
        <v>128.66399999999999</v>
      </c>
      <c r="J8" s="1">
        <v>124.176</v>
      </c>
      <c r="K8" s="1">
        <v>132.94</v>
      </c>
      <c r="L8" s="1">
        <v>144.91499999999999</v>
      </c>
      <c r="M8" s="1">
        <v>150.46</v>
      </c>
      <c r="N8" s="1">
        <v>135.78299999999999</v>
      </c>
      <c r="O8" s="1">
        <v>139.941</v>
      </c>
      <c r="P8" s="1">
        <v>134.05699999999999</v>
      </c>
      <c r="Q8" s="1">
        <v>143.25800000000001</v>
      </c>
      <c r="R8" s="1">
        <v>129.70400000000001</v>
      </c>
      <c r="S8" s="1">
        <v>140.52799999999999</v>
      </c>
      <c r="T8" s="1">
        <v>150.95500000000001</v>
      </c>
      <c r="U8" s="1">
        <v>154.25200000000001</v>
      </c>
      <c r="V8" s="1">
        <v>136.244</v>
      </c>
      <c r="W8" s="1">
        <v>141.09</v>
      </c>
    </row>
    <row r="9" spans="1:23" x14ac:dyDescent="0.3">
      <c r="A9" t="s">
        <v>28</v>
      </c>
      <c r="C9" s="1">
        <v>104.06</v>
      </c>
      <c r="D9" s="1">
        <v>99.028000000000006</v>
      </c>
      <c r="E9" s="1">
        <v>93.343000000000004</v>
      </c>
      <c r="F9" s="1">
        <v>101.736</v>
      </c>
      <c r="G9" s="1">
        <v>102.408</v>
      </c>
      <c r="H9" s="1">
        <v>98.974999999999994</v>
      </c>
      <c r="I9" s="1">
        <v>103.58199999999999</v>
      </c>
      <c r="J9" s="1">
        <v>92.84</v>
      </c>
      <c r="K9" s="1">
        <v>90.995999999999995</v>
      </c>
      <c r="L9" s="1">
        <v>100.59399999999999</v>
      </c>
      <c r="M9" s="1">
        <v>104.468</v>
      </c>
      <c r="N9" s="1">
        <v>100.655</v>
      </c>
      <c r="O9" s="1">
        <v>101.39400000000001</v>
      </c>
      <c r="P9" s="1">
        <v>101.392</v>
      </c>
      <c r="Q9" s="1">
        <v>96.016999999999996</v>
      </c>
      <c r="R9" s="1">
        <v>92.9</v>
      </c>
      <c r="S9" s="1">
        <v>95.018000000000001</v>
      </c>
      <c r="T9" s="1">
        <v>98.05</v>
      </c>
      <c r="U9" s="1">
        <v>101.36</v>
      </c>
      <c r="V9" s="1">
        <v>101.693</v>
      </c>
      <c r="W9" s="1">
        <v>102.20099999999999</v>
      </c>
    </row>
    <row r="10" spans="1:23" x14ac:dyDescent="0.3">
      <c r="A10" t="s">
        <v>29</v>
      </c>
      <c r="C10" s="1">
        <v>39.973999999999997</v>
      </c>
      <c r="D10" s="1">
        <v>40.103000000000002</v>
      </c>
      <c r="E10" s="1">
        <v>40.232999999999997</v>
      </c>
      <c r="F10" s="1">
        <v>40.371000000000002</v>
      </c>
      <c r="G10" s="1">
        <v>40.491999999999997</v>
      </c>
      <c r="H10" s="1">
        <v>40.548999999999999</v>
      </c>
      <c r="I10" s="1">
        <v>40.582999999999998</v>
      </c>
      <c r="J10" s="1">
        <v>40.738999999999997</v>
      </c>
      <c r="K10" s="1">
        <v>40.853999999999999</v>
      </c>
      <c r="L10" s="1">
        <v>41.033999999999999</v>
      </c>
      <c r="M10" s="1">
        <v>41.226999999999997</v>
      </c>
      <c r="N10" s="1">
        <v>41.442</v>
      </c>
      <c r="O10" s="1">
        <v>41.518000000000001</v>
      </c>
      <c r="P10" s="1">
        <v>41.613</v>
      </c>
      <c r="Q10" s="1">
        <v>41.2</v>
      </c>
      <c r="R10" s="1">
        <v>41</v>
      </c>
      <c r="S10" s="1">
        <v>41.218000000000004</v>
      </c>
      <c r="T10" s="1">
        <v>41.55</v>
      </c>
      <c r="U10" s="1">
        <v>41.76</v>
      </c>
      <c r="V10" s="1">
        <v>41.878999999999998</v>
      </c>
      <c r="W10" s="1">
        <v>41.972999999999999</v>
      </c>
    </row>
    <row r="11" spans="1:23" x14ac:dyDescent="0.3">
      <c r="A11" t="s">
        <v>30</v>
      </c>
      <c r="C11" s="1">
        <v>4.101</v>
      </c>
      <c r="D11" s="1">
        <v>4.1109999999999998</v>
      </c>
      <c r="E11" s="1">
        <v>4.3730000000000002</v>
      </c>
      <c r="F11" s="1">
        <v>4.2329999999999997</v>
      </c>
      <c r="G11" s="1">
        <v>4.3230000000000004</v>
      </c>
      <c r="H11" s="1">
        <v>4.32</v>
      </c>
      <c r="I11" s="1">
        <v>4.2880000000000003</v>
      </c>
      <c r="J11" s="1">
        <v>4.2830000000000004</v>
      </c>
      <c r="K11" s="1">
        <v>4.367</v>
      </c>
      <c r="L11" s="1">
        <v>4.2949999999999999</v>
      </c>
      <c r="M11" s="1">
        <v>4.3179999999999996</v>
      </c>
      <c r="N11" s="1">
        <v>4.32</v>
      </c>
      <c r="O11" s="1">
        <v>4.59</v>
      </c>
      <c r="P11" s="1">
        <v>4.5999999999999996</v>
      </c>
      <c r="Q11" s="1">
        <v>4.5999999999999996</v>
      </c>
      <c r="R11" s="1">
        <v>4.5999999999999996</v>
      </c>
      <c r="S11" s="1">
        <v>4.5999999999999996</v>
      </c>
      <c r="T11" s="1">
        <v>4.5999999999999996</v>
      </c>
      <c r="U11" s="1">
        <v>4.5999999999999996</v>
      </c>
      <c r="V11" s="1">
        <v>4.5999999999999996</v>
      </c>
      <c r="W11" s="1">
        <v>4.5999999999999996</v>
      </c>
    </row>
    <row r="12" spans="1:23" x14ac:dyDescent="0.3">
      <c r="A12" t="s">
        <v>31</v>
      </c>
      <c r="C12" s="1">
        <v>5.984</v>
      </c>
      <c r="D12" s="1">
        <v>6.9989999999999997</v>
      </c>
      <c r="E12" s="1">
        <v>6.8949999999999996</v>
      </c>
      <c r="F12" s="1">
        <v>8.0609999999999999</v>
      </c>
      <c r="G12" s="1">
        <v>9.2129999999999992</v>
      </c>
      <c r="H12" s="1">
        <v>9.4499999999999993</v>
      </c>
      <c r="I12" s="1">
        <v>10.333</v>
      </c>
      <c r="J12" s="1">
        <v>9.6660000000000004</v>
      </c>
      <c r="K12" s="1">
        <v>9.5969999999999995</v>
      </c>
      <c r="L12" s="1">
        <v>10.298</v>
      </c>
      <c r="M12" s="1">
        <v>10.563000000000001</v>
      </c>
      <c r="N12" s="1">
        <v>10.102</v>
      </c>
      <c r="O12" s="1">
        <v>10.212</v>
      </c>
      <c r="P12" s="1">
        <v>10.332000000000001</v>
      </c>
      <c r="Q12" s="1">
        <v>9.7170000000000005</v>
      </c>
      <c r="R12" s="1">
        <v>9.1</v>
      </c>
      <c r="S12" s="1">
        <v>9.4</v>
      </c>
      <c r="T12" s="1">
        <v>8.8000000000000007</v>
      </c>
      <c r="U12" s="1">
        <v>9.1999999999999993</v>
      </c>
      <c r="V12" s="1">
        <v>9.1999999999999993</v>
      </c>
      <c r="W12" s="1">
        <v>9.1999999999999993</v>
      </c>
    </row>
    <row r="13" spans="1:23" x14ac:dyDescent="0.3">
      <c r="A13" t="s">
        <v>32</v>
      </c>
      <c r="C13" s="1">
        <v>0.7</v>
      </c>
      <c r="D13" s="1">
        <v>1.8</v>
      </c>
      <c r="E13" s="1">
        <v>1.7</v>
      </c>
      <c r="F13" s="1">
        <v>2.1259999999999999</v>
      </c>
      <c r="G13" s="1">
        <v>3.6930000000000001</v>
      </c>
      <c r="H13" s="1">
        <v>3.7730000000000001</v>
      </c>
      <c r="I13" s="1">
        <v>4.9939999999999998</v>
      </c>
      <c r="J13" s="1">
        <v>4.2249999999999996</v>
      </c>
      <c r="K13" s="1">
        <v>4.07</v>
      </c>
      <c r="L13" s="1">
        <v>4.3360000000000003</v>
      </c>
      <c r="M13" s="1">
        <v>4.5</v>
      </c>
      <c r="N13" s="1">
        <v>3.9409999999999998</v>
      </c>
      <c r="O13" s="1">
        <v>4.2</v>
      </c>
      <c r="P13" s="1">
        <v>4.3490000000000002</v>
      </c>
      <c r="Q13" s="1">
        <v>3.74</v>
      </c>
      <c r="R13" s="1">
        <v>3.1</v>
      </c>
      <c r="S13" s="1">
        <v>3.4</v>
      </c>
      <c r="T13" s="1">
        <v>2.8</v>
      </c>
      <c r="U13" s="1">
        <v>3.4</v>
      </c>
      <c r="V13" s="1">
        <v>3.4</v>
      </c>
      <c r="W13" s="1">
        <v>3.4</v>
      </c>
    </row>
    <row r="14" spans="1:23" x14ac:dyDescent="0.3">
      <c r="A14" t="s">
        <v>33</v>
      </c>
      <c r="C14" s="1">
        <v>54</v>
      </c>
      <c r="D14" s="1">
        <v>47.814999999999998</v>
      </c>
      <c r="E14" s="1">
        <v>41.843000000000004</v>
      </c>
      <c r="F14" s="1">
        <v>49.070999999999998</v>
      </c>
      <c r="G14" s="1">
        <v>48.378999999999998</v>
      </c>
      <c r="H14" s="1">
        <v>44.655999999999999</v>
      </c>
      <c r="I14" s="1">
        <v>48.378999999999998</v>
      </c>
      <c r="J14" s="1">
        <v>38.152999999999999</v>
      </c>
      <c r="K14" s="1">
        <v>36.177999999999997</v>
      </c>
      <c r="L14" s="1">
        <v>44.966000000000001</v>
      </c>
      <c r="M14" s="1">
        <v>48.359000000000002</v>
      </c>
      <c r="N14" s="1">
        <v>44.790999999999997</v>
      </c>
      <c r="O14" s="1">
        <v>45.073999999999998</v>
      </c>
      <c r="P14" s="1">
        <v>44.845999999999997</v>
      </c>
      <c r="Q14" s="1">
        <v>40.5</v>
      </c>
      <c r="R14" s="1">
        <v>38.200000000000003</v>
      </c>
      <c r="S14" s="1">
        <v>39.799999999999997</v>
      </c>
      <c r="T14" s="1">
        <v>43.1</v>
      </c>
      <c r="U14" s="1">
        <v>45.8</v>
      </c>
      <c r="V14" s="1">
        <v>46.014000000000003</v>
      </c>
      <c r="W14" s="1">
        <v>46.427999999999997</v>
      </c>
    </row>
    <row r="15" spans="1:23" x14ac:dyDescent="0.3">
      <c r="A15" t="s">
        <v>34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0.78700000000000003</v>
      </c>
      <c r="R15" s="1">
        <v>0.70899999999999996</v>
      </c>
      <c r="S15" s="1">
        <v>0.77400000000000002</v>
      </c>
      <c r="T15" s="1">
        <v>0.755</v>
      </c>
      <c r="U15" s="1">
        <v>0.751</v>
      </c>
      <c r="V15" s="1">
        <v>0.67</v>
      </c>
      <c r="W15" s="1">
        <v>0.76900000000000002</v>
      </c>
    </row>
    <row r="16" spans="1:23" x14ac:dyDescent="0.3">
      <c r="A16" t="s">
        <v>35</v>
      </c>
      <c r="C16" s="1">
        <v>14.587</v>
      </c>
      <c r="D16" s="1">
        <v>12.68</v>
      </c>
      <c r="E16" s="1">
        <v>11.59</v>
      </c>
      <c r="F16" s="1">
        <v>23.738</v>
      </c>
      <c r="G16" s="1">
        <v>21.166</v>
      </c>
      <c r="H16" s="1">
        <v>20.64</v>
      </c>
      <c r="I16" s="1">
        <v>14.813000000000001</v>
      </c>
      <c r="J16" s="1">
        <v>22.657</v>
      </c>
      <c r="K16" s="1">
        <v>31.701000000000001</v>
      </c>
      <c r="L16" s="1">
        <v>33.755000000000003</v>
      </c>
      <c r="M16" s="1">
        <v>33.112000000000002</v>
      </c>
      <c r="N16" s="1">
        <v>25.689</v>
      </c>
      <c r="O16" s="1">
        <v>22.405000000000001</v>
      </c>
      <c r="P16" s="1">
        <v>22.364000000000001</v>
      </c>
      <c r="Q16" s="1">
        <v>36.871000000000002</v>
      </c>
      <c r="R16" s="1">
        <v>27.396999999999998</v>
      </c>
      <c r="S16" s="1">
        <v>29.257000000000001</v>
      </c>
      <c r="T16" s="1">
        <v>32.686</v>
      </c>
      <c r="U16" s="1">
        <v>35.374000000000002</v>
      </c>
      <c r="V16" s="1">
        <v>24</v>
      </c>
      <c r="W16" s="1">
        <v>29.78</v>
      </c>
    </row>
    <row r="17" spans="1:23" x14ac:dyDescent="0.3">
      <c r="A17" t="s">
        <v>36</v>
      </c>
      <c r="C17" s="1">
        <v>119.54600000000001</v>
      </c>
      <c r="D17" s="1">
        <v>112.60899999999999</v>
      </c>
      <c r="E17" s="1">
        <v>105.834</v>
      </c>
      <c r="F17" s="1">
        <v>126.374</v>
      </c>
      <c r="G17" s="1">
        <v>124.474</v>
      </c>
      <c r="H17" s="1">
        <v>120.51600000000001</v>
      </c>
      <c r="I17" s="1">
        <v>119.295</v>
      </c>
      <c r="J17" s="1">
        <v>116.39700000000001</v>
      </c>
      <c r="K17" s="1">
        <v>123.59699999999999</v>
      </c>
      <c r="L17" s="1">
        <v>135.249</v>
      </c>
      <c r="M17" s="1">
        <v>138.47999999999999</v>
      </c>
      <c r="N17" s="1">
        <v>127.24299999999999</v>
      </c>
      <c r="O17" s="1">
        <v>124.699</v>
      </c>
      <c r="P17" s="1">
        <v>124.65600000000001</v>
      </c>
      <c r="Q17" s="1">
        <v>133.67400000000001</v>
      </c>
      <c r="R17" s="1">
        <v>121.005</v>
      </c>
      <c r="S17" s="1">
        <v>125.05</v>
      </c>
      <c r="T17" s="1">
        <v>131.49199999999999</v>
      </c>
      <c r="U17" s="1">
        <v>137.48500000000001</v>
      </c>
      <c r="V17" s="1">
        <v>126.363</v>
      </c>
      <c r="W17" s="1">
        <v>132.75</v>
      </c>
    </row>
    <row r="18" spans="1:23" x14ac:dyDescent="0.3">
      <c r="A18" t="s">
        <v>37</v>
      </c>
      <c r="C18" s="1">
        <v>22.155000000000001</v>
      </c>
      <c r="D18" s="1">
        <v>16.38</v>
      </c>
      <c r="E18" s="1">
        <v>13.51</v>
      </c>
      <c r="F18" s="1">
        <v>17.824999999999999</v>
      </c>
      <c r="G18" s="1">
        <v>12.493</v>
      </c>
      <c r="H18" s="1">
        <v>7.484</v>
      </c>
      <c r="I18" s="1">
        <v>9.3680000000000003</v>
      </c>
      <c r="J18" s="1">
        <v>7.7789999999999999</v>
      </c>
      <c r="K18" s="1">
        <v>9.3439999999999994</v>
      </c>
      <c r="L18" s="1">
        <v>9.6660000000000004</v>
      </c>
      <c r="M18" s="1">
        <v>11.98</v>
      </c>
      <c r="N18" s="1">
        <v>8.5399999999999991</v>
      </c>
      <c r="O18" s="1">
        <v>15.242000000000001</v>
      </c>
      <c r="P18" s="1">
        <v>9.4019999999999992</v>
      </c>
      <c r="Q18" s="1">
        <v>9.5830000000000002</v>
      </c>
      <c r="R18" s="1">
        <v>8.6989999999999998</v>
      </c>
      <c r="S18" s="1">
        <v>15.478</v>
      </c>
      <c r="T18" s="1">
        <v>19.463999999999999</v>
      </c>
      <c r="U18" s="1">
        <v>16.765999999999998</v>
      </c>
      <c r="V18" s="1">
        <v>9.8810000000000002</v>
      </c>
      <c r="W18" s="1">
        <v>8.34</v>
      </c>
    </row>
    <row r="19" spans="1:23" x14ac:dyDescent="0.3">
      <c r="A19" t="s">
        <v>38</v>
      </c>
      <c r="C19" s="1">
        <v>16.620999999999999</v>
      </c>
      <c r="D19" s="1">
        <v>16.18</v>
      </c>
      <c r="E19" s="1">
        <v>13.51</v>
      </c>
      <c r="F19" s="1">
        <v>17.748000000000001</v>
      </c>
      <c r="G19" s="1">
        <v>12.22</v>
      </c>
      <c r="H19" s="1">
        <v>7.4429999999999996</v>
      </c>
      <c r="I19" s="1">
        <v>9.3680000000000003</v>
      </c>
      <c r="J19" s="1">
        <v>7.7789999999999999</v>
      </c>
      <c r="K19" s="1">
        <v>9.3439999999999994</v>
      </c>
      <c r="L19" s="1">
        <v>9.6660000000000004</v>
      </c>
      <c r="M19" s="1">
        <v>11.98</v>
      </c>
      <c r="N19" s="1">
        <v>8.5399999999999991</v>
      </c>
      <c r="O19" s="1">
        <v>15.242000000000001</v>
      </c>
      <c r="P19" s="1">
        <v>9.4019999999999992</v>
      </c>
      <c r="Q19" s="1">
        <v>9.5830000000000002</v>
      </c>
      <c r="R19" s="1">
        <v>8.6989999999999998</v>
      </c>
      <c r="S19" s="1">
        <v>15.478</v>
      </c>
      <c r="T19" s="1">
        <v>19.463999999999999</v>
      </c>
      <c r="U19" s="1">
        <v>16.765999999999998</v>
      </c>
      <c r="V19" s="1">
        <v>9.8810000000000002</v>
      </c>
      <c r="W19" s="1">
        <v>8.34</v>
      </c>
    </row>
    <row r="20" spans="1:23" x14ac:dyDescent="0.3">
      <c r="A20" t="s">
        <v>39</v>
      </c>
      <c r="C20" s="1">
        <v>5.5339999999999998</v>
      </c>
      <c r="D20" s="1">
        <v>0.2</v>
      </c>
      <c r="E20" s="1">
        <v>0</v>
      </c>
      <c r="F20" s="1">
        <v>7.6999999999999999E-2</v>
      </c>
      <c r="G20" s="1">
        <v>0.27300000000000002</v>
      </c>
      <c r="H20" s="1">
        <v>4.1000000000000002E-2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</row>
    <row r="21" spans="1:23" x14ac:dyDescent="0.3">
      <c r="A21" t="s">
        <v>40</v>
      </c>
      <c r="C21" s="1">
        <v>105.962</v>
      </c>
      <c r="D21" s="1">
        <v>102.881</v>
      </c>
      <c r="E21" s="1">
        <v>104.843</v>
      </c>
      <c r="F21" s="1">
        <v>120.21</v>
      </c>
      <c r="G21" s="1">
        <v>111.79600000000001</v>
      </c>
      <c r="H21" s="1">
        <v>112.572</v>
      </c>
      <c r="I21" s="1">
        <v>110.267</v>
      </c>
      <c r="J21" s="1">
        <v>119.331</v>
      </c>
      <c r="K21" s="1">
        <v>135.53399999999999</v>
      </c>
      <c r="L21" s="1">
        <v>131.22499999999999</v>
      </c>
      <c r="M21" s="1">
        <v>129.26900000000001</v>
      </c>
      <c r="N21" s="1">
        <v>118.92100000000001</v>
      </c>
      <c r="O21" s="1">
        <v>125.55500000000001</v>
      </c>
      <c r="P21" s="1">
        <v>113.271</v>
      </c>
      <c r="Q21" s="1">
        <v>136.565</v>
      </c>
      <c r="R21" s="1">
        <v>127.125</v>
      </c>
      <c r="S21" s="1">
        <v>135.773</v>
      </c>
      <c r="T21" s="1">
        <v>128.315</v>
      </c>
      <c r="U21" s="1">
        <v>123.504</v>
      </c>
      <c r="V21" s="1">
        <v>109.818</v>
      </c>
      <c r="W21" s="1">
        <v>125.44799999999999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Análisis</vt:lpstr>
      <vt:lpstr>Soft_Wheat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 JRA</cp:lastModifiedBy>
  <dcterms:created xsi:type="dcterms:W3CDTF">2025-11-06T18:36:18Z</dcterms:created>
  <dcterms:modified xsi:type="dcterms:W3CDTF">2025-11-07T03:20:32Z</dcterms:modified>
</cp:coreProperties>
</file>