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s" sheetId="1" r:id="rId4"/>
    <sheet state="visible" name="Data" sheetId="2" r:id="rId5"/>
    <sheet state="hidden" name="Drop-down list" sheetId="3" r:id="rId6"/>
  </sheets>
  <definedNames>
    <definedName name="Latest_7days">#REF!</definedName>
    <definedName name="BE_Antwerpen__DEPPROD">#REF!</definedName>
  </definedNames>
  <calcPr/>
</workbook>
</file>

<file path=xl/sharedStrings.xml><?xml version="1.0" encoding="utf-8"?>
<sst xmlns="http://schemas.openxmlformats.org/spreadsheetml/2006/main" count="1460" uniqueCount="25">
  <si>
    <t>World export prices FOB</t>
  </si>
  <si>
    <t>Update:</t>
  </si>
  <si>
    <t>Wheat - EU Rouen (grade 1)</t>
  </si>
  <si>
    <t>Wheat - US Gulf (HRW)</t>
  </si>
  <si>
    <t>Wheat - Ukraine (milling)</t>
  </si>
  <si>
    <t>Select price from here 
(drop-down list)</t>
  </si>
  <si>
    <t>Maize - US Gulf (3YC)</t>
  </si>
  <si>
    <t>Maize - EU Bordeaux</t>
  </si>
  <si>
    <t>Maize - Black Sea (feed)</t>
  </si>
  <si>
    <t>Source: International Grains Council, France Agrimer</t>
  </si>
  <si>
    <t>Wheat prices - $/ton</t>
  </si>
  <si>
    <t>Maize prices - $/ton</t>
  </si>
  <si>
    <t>Barley prices - $/ton</t>
  </si>
  <si>
    <t>Wheat prices - €/ton</t>
  </si>
  <si>
    <t>Maize prices - €/ton</t>
  </si>
  <si>
    <t>Barley - €/ton</t>
  </si>
  <si>
    <t>Wednesday</t>
  </si>
  <si>
    <t>Wheat - US Gulf (SRW)</t>
  </si>
  <si>
    <t>Durum wheat - CA St Lawrence (CWAD)</t>
  </si>
  <si>
    <t>Durum wheat - EU Port-la-Nouvelle</t>
  </si>
  <si>
    <t>Barley - Black Sea (feed)</t>
  </si>
  <si>
    <t>Barley - EU Rouen (feed)</t>
  </si>
  <si>
    <t>Exchange rate: Spot, ECB reference - U.S. Dollar/Euro</t>
  </si>
  <si>
    <t>n.q.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</si>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</sst>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"/>
  </numFmts>
  <fonts count="22">
    <font>
      <sz val="11.0"/>
      <color theme="1"/>
      <name val="Calibri"/>
      <scheme val="minor"/>
    </font>
    <font>
      <b/>
      <sz val="38.0"/>
      <color theme="0"/>
      <name val="Calibri"/>
    </font>
    <font/>
    <font>
      <sz val="11.0"/>
      <color theme="1"/>
      <name val="Calibri"/>
    </font>
    <font>
      <sz val="11.0"/>
      <color theme="0"/>
      <name val="Calibri"/>
    </font>
    <font>
      <b/>
      <sz val="18.0"/>
      <color rgb="FF0707CB"/>
      <name val="Calibri"/>
    </font>
    <font>
      <b/>
      <sz val="16.0"/>
      <color theme="1"/>
      <name val="Calibri"/>
    </font>
    <font>
      <b/>
      <sz val="16.0"/>
      <color rgb="FFC00000"/>
      <name val="Calibri"/>
    </font>
    <font>
      <sz val="11.0"/>
      <color rgb="FFC00000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sz val="10.0"/>
      <color rgb="FF000000"/>
      <name val="Arial"/>
    </font>
    <font>
      <b/>
      <sz val="14.0"/>
      <color theme="1"/>
      <name val="Calibri"/>
    </font>
    <font>
      <b/>
      <sz val="14.0"/>
      <color theme="0"/>
      <name val="Calibri"/>
    </font>
    <font>
      <color theme="1"/>
      <name val="Calibri"/>
      <scheme val="minor"/>
    </font>
    <font>
      <b/>
      <sz val="10.0"/>
      <color theme="1"/>
      <name val="Open Sans"/>
    </font>
    <font>
      <b/>
      <sz val="10.0"/>
      <color theme="1"/>
      <name val="Arial"/>
    </font>
    <font>
      <b/>
      <sz val="10.0"/>
      <color theme="0"/>
      <name val="Open Sans"/>
    </font>
    <font>
      <b/>
      <sz val="10.0"/>
      <color theme="0"/>
      <name val="Arial"/>
    </font>
    <font>
      <sz val="8.0"/>
      <color theme="1"/>
      <name val="Arial"/>
    </font>
    <font>
      <sz val="9.0"/>
      <color theme="1"/>
      <name val="Calibri"/>
    </font>
    <font>
      <i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rgb="FF76923C"/>
        <bgColor rgb="FF76923C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088608"/>
        <bgColor rgb="FF088608"/>
      </patternFill>
    </fill>
    <fill>
      <patternFill patternType="solid">
        <fgColor rgb="FFE36C09"/>
        <bgColor rgb="FFE36C09"/>
      </patternFill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theme="1"/>
        <bgColor theme="1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theme="0"/>
      </left>
      <top/>
      <bottom style="medium">
        <color theme="0"/>
      </bottom>
    </border>
    <border>
      <top/>
      <bottom style="medium">
        <color theme="0"/>
      </bottom>
    </border>
    <border>
      <right style="medium">
        <color theme="0"/>
      </right>
      <top/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medium">
        <color theme="0"/>
      </left>
      <right style="medium">
        <color theme="0"/>
      </right>
      <top/>
      <bottom/>
    </border>
    <border>
      <left style="medium">
        <color theme="0"/>
      </left>
      <right style="medium">
        <color theme="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horizontal="right" vertical="center"/>
    </xf>
    <xf borderId="0" fillId="0" fontId="6" numFmtId="164" xfId="0" applyAlignment="1" applyFont="1" applyNumberFormat="1">
      <alignment horizontal="left" vertical="center"/>
    </xf>
    <xf borderId="0" fillId="0" fontId="8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9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left"/>
    </xf>
    <xf borderId="8" fillId="4" fontId="9" numFmtId="0" xfId="0" applyAlignment="1" applyBorder="1" applyFill="1" applyFont="1">
      <alignment horizontal="left" shrinkToFit="0" vertical="top" wrapText="1"/>
    </xf>
    <xf borderId="8" fillId="5" fontId="9" numFmtId="0" xfId="0" applyAlignment="1" applyBorder="1" applyFill="1" applyFont="1">
      <alignment horizontal="left" shrinkToFit="0" vertical="top" wrapText="1"/>
    </xf>
    <xf borderId="8" fillId="6" fontId="9" numFmtId="0" xfId="0" applyAlignment="1" applyBorder="1" applyFill="1" applyFont="1">
      <alignment horizontal="left" shrinkToFit="0" vertical="top" wrapText="1"/>
    </xf>
    <xf borderId="8" fillId="7" fontId="10" numFmtId="0" xfId="0" applyAlignment="1" applyBorder="1" applyFill="1" applyFont="1">
      <alignment horizontal="left" shrinkToFit="0" vertical="top" wrapText="1"/>
    </xf>
    <xf borderId="9" fillId="0" fontId="3" numFmtId="0" xfId="0" applyBorder="1" applyFont="1"/>
    <xf borderId="0" fillId="0" fontId="4" numFmtId="164" xfId="0" applyFont="1" applyNumberFormat="1"/>
    <xf borderId="0" fillId="0" fontId="3" numFmtId="1" xfId="0" applyFont="1" applyNumberFormat="1"/>
    <xf borderId="0" fillId="0" fontId="4" numFmtId="1" xfId="0" applyFont="1" applyNumberForma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9" numFmtId="0" xfId="0" applyAlignment="1" applyFont="1">
      <alignment horizontal="left"/>
    </xf>
    <xf borderId="0" fillId="0" fontId="11" numFmtId="49" xfId="0" applyAlignment="1" applyFont="1" applyNumberFormat="1">
      <alignment vertical="center"/>
    </xf>
    <xf borderId="0" fillId="0" fontId="1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12" numFmtId="0" xfId="0" applyFont="1"/>
    <xf borderId="13" fillId="8" fontId="12" numFmtId="0" xfId="0" applyAlignment="1" applyBorder="1" applyFill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3" fillId="7" fontId="12" numFmtId="0" xfId="0" applyAlignment="1" applyBorder="1" applyFont="1">
      <alignment horizontal="center"/>
    </xf>
    <xf borderId="13" fillId="9" fontId="12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13" fillId="10" fontId="13" numFmtId="0" xfId="0" applyAlignment="1" applyBorder="1" applyFill="1" applyFont="1">
      <alignment horizontal="center"/>
    </xf>
    <xf borderId="13" fillId="11" fontId="13" numFmtId="0" xfId="0" applyAlignment="1" applyBorder="1" applyFill="1" applyFont="1">
      <alignment horizontal="center"/>
    </xf>
    <xf borderId="13" fillId="12" fontId="13" numFmtId="0" xfId="0" applyAlignment="1" applyBorder="1" applyFill="1" applyFont="1">
      <alignment horizontal="center"/>
    </xf>
    <xf borderId="0" fillId="0" fontId="14" numFmtId="0" xfId="0" applyFont="1"/>
    <xf borderId="16" fillId="8" fontId="15" numFmtId="0" xfId="0" applyAlignment="1" applyBorder="1" applyFont="1">
      <alignment horizontal="center" shrinkToFit="0" vertical="top" wrapText="1"/>
    </xf>
    <xf borderId="16" fillId="7" fontId="15" numFmtId="0" xfId="0" applyAlignment="1" applyBorder="1" applyFont="1">
      <alignment horizontal="center" shrinkToFit="0" vertical="top" wrapText="1"/>
    </xf>
    <xf borderId="16" fillId="9" fontId="16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 shrinkToFit="0" vertical="top" wrapText="1"/>
    </xf>
    <xf borderId="16" fillId="13" fontId="15" numFmtId="0" xfId="0" applyAlignment="1" applyBorder="1" applyFill="1" applyFont="1">
      <alignment horizontal="center" shrinkToFit="0" vertical="top" wrapText="1"/>
    </xf>
    <xf borderId="17" fillId="0" fontId="3" numFmtId="0" xfId="0" applyBorder="1" applyFont="1"/>
    <xf borderId="16" fillId="10" fontId="17" numFmtId="0" xfId="0" applyAlignment="1" applyBorder="1" applyFont="1">
      <alignment horizontal="center" shrinkToFit="0" vertical="top" wrapText="1"/>
    </xf>
    <xf borderId="16" fillId="11" fontId="17" numFmtId="0" xfId="0" applyAlignment="1" applyBorder="1" applyFont="1">
      <alignment horizontal="center" shrinkToFit="0" vertical="top" wrapText="1"/>
    </xf>
    <xf borderId="16" fillId="11" fontId="18" numFmtId="0" xfId="0" applyAlignment="1" applyBorder="1" applyFont="1">
      <alignment shrinkToFit="0" vertical="top" wrapText="1"/>
    </xf>
    <xf borderId="16" fillId="12" fontId="18" numFmtId="0" xfId="0" applyAlignment="1" applyBorder="1" applyFont="1">
      <alignment horizontal="center" shrinkToFit="0" vertical="top" wrapText="1"/>
    </xf>
    <xf borderId="8" fillId="13" fontId="19" numFmtId="164" xfId="0" applyAlignment="1" applyBorder="1" applyFont="1" applyNumberFormat="1">
      <alignment horizontal="right"/>
    </xf>
    <xf borderId="18" fillId="8" fontId="3" numFmtId="1" xfId="0" applyAlignment="1" applyBorder="1" applyFont="1" applyNumberFormat="1">
      <alignment horizontal="right"/>
    </xf>
    <xf borderId="18" fillId="7" fontId="3" numFmtId="1" xfId="0" applyAlignment="1" applyBorder="1" applyFont="1" applyNumberFormat="1">
      <alignment horizontal="right"/>
    </xf>
    <xf borderId="18" fillId="14" fontId="3" numFmtId="1" xfId="0" applyAlignment="1" applyBorder="1" applyFill="1" applyFont="1" applyNumberFormat="1">
      <alignment horizontal="right"/>
    </xf>
    <xf borderId="19" fillId="0" fontId="3" numFmtId="1" xfId="0" applyAlignment="1" applyBorder="1" applyFont="1" applyNumberFormat="1">
      <alignment horizontal="right"/>
    </xf>
    <xf borderId="18" fillId="15" fontId="3" numFmtId="165" xfId="0" applyAlignment="1" applyBorder="1" applyFill="1" applyFont="1" applyNumberFormat="1">
      <alignment horizontal="right"/>
    </xf>
    <xf borderId="19" fillId="0" fontId="3" numFmtId="0" xfId="0" applyAlignment="1" applyBorder="1" applyFont="1">
      <alignment horizontal="right"/>
    </xf>
    <xf borderId="18" fillId="10" fontId="4" numFmtId="1" xfId="0" applyAlignment="1" applyBorder="1" applyFont="1" applyNumberFormat="1">
      <alignment horizontal="right"/>
    </xf>
    <xf borderId="18" fillId="11" fontId="4" numFmtId="1" xfId="0" applyAlignment="1" applyBorder="1" applyFont="1" applyNumberFormat="1">
      <alignment horizontal="right"/>
    </xf>
    <xf borderId="18" fillId="12" fontId="4" numFmtId="1" xfId="0" applyAlignment="1" applyBorder="1" applyFont="1" applyNumberFormat="1">
      <alignment horizontal="right"/>
    </xf>
    <xf borderId="8" fillId="15" fontId="19" numFmtId="164" xfId="0" applyAlignment="1" applyBorder="1" applyFont="1" applyNumberFormat="1">
      <alignment horizontal="right"/>
    </xf>
    <xf borderId="18" fillId="16" fontId="3" numFmtId="1" xfId="0" applyAlignment="1" applyBorder="1" applyFill="1" applyFont="1" applyNumberFormat="1">
      <alignment horizontal="right"/>
    </xf>
    <xf borderId="18" fillId="17" fontId="3" numFmtId="1" xfId="0" applyAlignment="1" applyBorder="1" applyFill="1" applyFont="1" applyNumberFormat="1">
      <alignment horizontal="right"/>
    </xf>
    <xf borderId="18" fillId="9" fontId="3" numFmtId="1" xfId="0" applyAlignment="1" applyBorder="1" applyFont="1" applyNumberFormat="1">
      <alignment horizontal="right"/>
    </xf>
    <xf borderId="18" fillId="18" fontId="3" numFmtId="1" xfId="0" applyAlignment="1" applyBorder="1" applyFill="1" applyFont="1" applyNumberFormat="1">
      <alignment horizontal="right"/>
    </xf>
    <xf borderId="0" fillId="0" fontId="20" numFmtId="0" xfId="0" applyFont="1"/>
    <xf borderId="0" fillId="0" fontId="21" numFmtId="0" xfId="0" applyFont="1"/>
    <xf borderId="20" fillId="19" fontId="17" numFmtId="0" xfId="0" applyAlignment="1" applyBorder="1" applyFill="1" applyFont="1">
      <alignment horizontal="center" shrinkToFit="0" vertical="top" wrapText="1"/>
    </xf>
    <xf borderId="20" fillId="8" fontId="15" numFmtId="0" xfId="0" applyAlignment="1" applyBorder="1" applyFont="1">
      <alignment horizontal="center" shrinkToFit="0" vertical="top" wrapText="1"/>
    </xf>
    <xf borderId="20" fillId="7" fontId="15" numFmtId="0" xfId="0" applyAlignment="1" applyBorder="1" applyFont="1">
      <alignment horizontal="center" shrinkToFit="0" vertical="top" wrapText="1"/>
    </xf>
    <xf borderId="20" fillId="9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b/>
        <i/>
        <color rgb="FF0707CB"/>
      </font>
      <numFmt numFmtId="0" formatCode=""/>
      <fill>
        <patternFill patternType="solid">
          <fgColor theme="0"/>
          <bgColor theme="0"/>
        </patternFill>
      </fill>
      <border>
        <left style="thin">
          <color rgb="FF0707CB"/>
        </left>
        <right style="thin">
          <color rgb="FF0707CB"/>
        </right>
        <top style="thin">
          <color rgb="FF0707CB"/>
        </top>
        <bottom style="thin">
          <color rgb="FF0707CB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World export prices (FOB) - ($/tonne)</a:t>
            </a:r>
          </a:p>
        </c:rich>
      </c:tx>
      <c:layout>
        <c:manualLayout>
          <c:xMode val="edge"/>
          <c:yMode val="edge"/>
          <c:x val="0.26176721397633657"/>
          <c:y val="0.0"/>
        </c:manualLayout>
      </c:layout>
      <c:overlay val="0"/>
    </c:title>
    <c:plotArea>
      <c:layout>
        <c:manualLayout>
          <c:xMode val="edge"/>
          <c:yMode val="edge"/>
          <c:x val="0.0670404810313924"/>
          <c:y val="0.10765821050528228"/>
          <c:w val="0.9020179281441972"/>
          <c:h val="0.7003259925807175"/>
        </c:manualLayout>
      </c:layout>
      <c:lineChart>
        <c:ser>
          <c:idx val="0"/>
          <c:order val="0"/>
          <c:tx>
            <c:v>Wheat - EU Rouen (grade 1)</c:v>
          </c:tx>
          <c:spPr>
            <a:ln cmpd="sng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Graphs!$CL$5:$CL$400</c:f>
              <c:numCache/>
            </c:numRef>
          </c:val>
          <c:smooth val="0"/>
        </c:ser>
        <c:ser>
          <c:idx val="1"/>
          <c:order val="1"/>
          <c:tx>
            <c:v>Wheat - US Gulf (HRW)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Graphs!$CM$5:$CM$400</c:f>
              <c:numCache/>
            </c:numRef>
          </c:val>
          <c:smooth val="0"/>
        </c:ser>
        <c:ser>
          <c:idx val="2"/>
          <c:order val="2"/>
          <c:tx>
            <c:v>Wheat - Ukraine (milling)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Graphs!$CN$5:$CN$400</c:f>
              <c:numCache/>
            </c:numRef>
          </c:val>
          <c:smooth val="0"/>
        </c:ser>
        <c:axId val="1003639755"/>
        <c:axId val="1363894751"/>
      </c:lineChart>
      <c:catAx>
        <c:axId val="1003639755"/>
        <c:scaling>
          <c:orientation val="minMax"/>
          <c:min val="4346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\-yy" sourceLinked="0"/>
        <c:majorTickMark val="out"/>
        <c:minorTickMark val="none"/>
        <c:spPr/>
        <c:txPr>
          <a:bodyPr rot="-1860000"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363894751"/>
      </c:catAx>
      <c:valAx>
        <c:axId val="1363894751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0363975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World export prices (€/tonne)</a:t>
            </a:r>
          </a:p>
        </c:rich>
      </c:tx>
      <c:layout>
        <c:manualLayout>
          <c:xMode val="edge"/>
          <c:yMode val="edge"/>
          <c:x val="0.3289728874863667"/>
          <c:y val="0.0"/>
        </c:manualLayout>
      </c:layout>
      <c:overlay val="0"/>
    </c:title>
    <c:plotArea>
      <c:layout>
        <c:manualLayout>
          <c:xMode val="edge"/>
          <c:yMode val="edge"/>
          <c:x val="0.0670404810313924"/>
          <c:y val="0.10765821050528228"/>
          <c:w val="0.9020179281441972"/>
          <c:h val="0.7003259925807175"/>
        </c:manualLayout>
      </c:layout>
      <c:lineChart>
        <c:ser>
          <c:idx val="0"/>
          <c:order val="0"/>
          <c:tx>
            <c:v>Maize - US Gulf (3YC)</c:v>
          </c:tx>
          <c:spPr>
            <a:ln cmpd="sng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Graphs!$CR$5:$CR$400</c:f>
              <c:numCache/>
            </c:numRef>
          </c:val>
          <c:smooth val="0"/>
        </c:ser>
        <c:ser>
          <c:idx val="1"/>
          <c:order val="1"/>
          <c:tx>
            <c:v>Maize - EU Bordeaux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Graphs!$CS$5:$CS$400</c:f>
              <c:numCache/>
            </c:numRef>
          </c:val>
          <c:smooth val="0"/>
        </c:ser>
        <c:ser>
          <c:idx val="2"/>
          <c:order val="2"/>
          <c:tx>
            <c:v>Maize - Black Sea (feed)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Graphs!$CK$5:$CK$400</c:f>
            </c:strRef>
          </c:cat>
          <c:val>
            <c:numRef>
              <c:f>Graphs!$CT$5:$CT$400</c:f>
              <c:numCache/>
            </c:numRef>
          </c:val>
          <c:smooth val="0"/>
        </c:ser>
        <c:axId val="1333997110"/>
        <c:axId val="447155977"/>
      </c:lineChart>
      <c:catAx>
        <c:axId val="1333997110"/>
        <c:scaling>
          <c:orientation val="minMax"/>
          <c:min val="4346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\-mmm\-yy" sourceLinked="0"/>
        <c:majorTickMark val="out"/>
        <c:minorTickMark val="none"/>
        <c:spPr/>
        <c:txPr>
          <a:bodyPr rot="-1860000"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447155977"/>
      </c:catAx>
      <c:valAx>
        <c:axId val="447155977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33399711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5</xdr:row>
      <xdr:rowOff>19050</xdr:rowOff>
    </xdr:from>
    <xdr:ext cx="7800975" cy="4095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581025</xdr:colOff>
      <xdr:row>5</xdr:row>
      <xdr:rowOff>19050</xdr:rowOff>
    </xdr:from>
    <xdr:ext cx="7800975" cy="40957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0.71"/>
    <col customWidth="1" min="3" max="3" width="24.29"/>
    <col customWidth="1" min="4" max="4" width="0.71"/>
    <col customWidth="1" min="5" max="5" width="24.29"/>
    <col customWidth="1" min="6" max="6" width="0.71"/>
    <col customWidth="1" min="7" max="7" width="24.29"/>
    <col customWidth="1" min="8" max="8" width="0.71"/>
    <col customWidth="1" min="9" max="9" width="24.29"/>
    <col customWidth="1" min="10" max="10" width="0.71"/>
    <col customWidth="1" min="11" max="11" width="24.29"/>
    <col customWidth="1" min="12" max="12" width="0.71"/>
    <col customWidth="1" min="13" max="13" width="4.0"/>
    <col customWidth="1" min="14" max="14" width="0.71"/>
    <col customWidth="1" min="15" max="15" width="24.29"/>
    <col customWidth="1" min="16" max="16" width="0.71"/>
    <col customWidth="1" min="17" max="17" width="24.29"/>
    <col customWidth="1" min="18" max="18" width="0.71"/>
    <col customWidth="1" min="19" max="19" width="24.29"/>
    <col customWidth="1" min="20" max="20" width="0.71"/>
    <col customWidth="1" min="21" max="21" width="24.29"/>
    <col customWidth="1" min="22" max="22" width="0.71"/>
    <col customWidth="1" min="23" max="23" width="24.29"/>
    <col customWidth="1" min="24" max="24" width="0.71"/>
    <col customWidth="1" min="25" max="25" width="4.0"/>
    <col customWidth="1" min="26" max="88" width="9.29"/>
    <col customWidth="1" min="89" max="89" width="12.0"/>
    <col customWidth="1" min="90" max="100" width="9.29"/>
  </cols>
  <sheetData>
    <row r="1" ht="41.25" customHeight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 ht="37.5" customHeight="1">
      <c r="B2" s="6"/>
      <c r="C2" s="7" t="s">
        <v>1</v>
      </c>
      <c r="D2" s="8"/>
      <c r="E2" s="9">
        <f>Data!$A$4+1</f>
        <v>45967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 ht="4.5" customHeight="1"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N3" s="11"/>
      <c r="O3" s="12"/>
      <c r="P3" s="12"/>
      <c r="Q3" s="12"/>
      <c r="R3" s="12"/>
      <c r="S3" s="12"/>
      <c r="T3" s="12"/>
      <c r="U3" s="12"/>
      <c r="V3" s="12"/>
      <c r="W3" s="12"/>
      <c r="X3" s="1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 ht="53.25" customHeight="1">
      <c r="B4" s="14"/>
      <c r="C4" s="15" t="s">
        <v>2</v>
      </c>
      <c r="D4" s="16"/>
      <c r="E4" s="17" t="s">
        <v>3</v>
      </c>
      <c r="F4" s="16"/>
      <c r="G4" s="18" t="s">
        <v>4</v>
      </c>
      <c r="H4" s="16"/>
      <c r="I4" s="19" t="s">
        <v>5</v>
      </c>
      <c r="J4" s="16"/>
      <c r="K4" s="20" t="s">
        <v>5</v>
      </c>
      <c r="L4" s="21"/>
      <c r="N4" s="14"/>
      <c r="O4" s="15" t="s">
        <v>6</v>
      </c>
      <c r="P4" s="16"/>
      <c r="Q4" s="17" t="s">
        <v>7</v>
      </c>
      <c r="R4" s="16"/>
      <c r="S4" s="18" t="s">
        <v>8</v>
      </c>
      <c r="T4" s="16"/>
      <c r="U4" s="19" t="s">
        <v>5</v>
      </c>
      <c r="V4" s="16"/>
      <c r="W4" s="20" t="s">
        <v>5</v>
      </c>
      <c r="X4" s="21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5"/>
      <c r="CK4" s="22"/>
      <c r="CL4" s="5" t="str">
        <f>C4</f>
        <v>Wheat - EU Rouen (grade 1)</v>
      </c>
      <c r="CM4" s="5" t="str">
        <f>E4</f>
        <v>Wheat - US Gulf (HRW)</v>
      </c>
      <c r="CN4" s="5" t="str">
        <f>G4</f>
        <v>Wheat - Ukraine (milling)</v>
      </c>
      <c r="CO4" s="5" t="str">
        <f>I4</f>
        <v>Select price from here 
(drop-down list)</v>
      </c>
      <c r="CP4" s="5" t="str">
        <f>K4</f>
        <v>Select price from here 
(drop-down list)</v>
      </c>
      <c r="CQ4" s="5"/>
      <c r="CR4" s="5" t="str">
        <f>O4</f>
        <v>Maize - US Gulf (3YC)</v>
      </c>
      <c r="CS4" s="5" t="str">
        <f>Q4</f>
        <v>Maize - EU Bordeaux</v>
      </c>
      <c r="CT4" s="5" t="str">
        <f>S4</f>
        <v>Maize - Black Sea (feed)</v>
      </c>
      <c r="CU4" s="5" t="str">
        <f>U4</f>
        <v>Select price from here 
(drop-down list)</v>
      </c>
      <c r="CV4" s="5" t="str">
        <f>W4</f>
        <v>Select price from here 
(drop-down list)</v>
      </c>
    </row>
    <row r="5" ht="12.0" customHeight="1">
      <c r="B5" s="14"/>
      <c r="C5" s="4"/>
      <c r="D5" s="4"/>
      <c r="E5" s="4"/>
      <c r="F5" s="4"/>
      <c r="G5" s="4"/>
      <c r="H5" s="4"/>
      <c r="I5" s="4"/>
      <c r="J5" s="4"/>
      <c r="K5" s="4"/>
      <c r="L5" s="21"/>
      <c r="N5" s="14"/>
      <c r="O5" s="4"/>
      <c r="P5" s="4"/>
      <c r="Q5" s="4"/>
      <c r="R5" s="4"/>
      <c r="S5" s="4"/>
      <c r="T5" s="4"/>
      <c r="U5" s="4"/>
      <c r="V5" s="4"/>
      <c r="W5" s="4"/>
      <c r="X5" s="21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4"/>
      <c r="CG5" s="4"/>
      <c r="CH5" s="4"/>
      <c r="CI5" s="4"/>
      <c r="CJ5" s="5"/>
      <c r="CK5" s="22">
        <f>Data!A4</f>
        <v>45966</v>
      </c>
      <c r="CL5" s="24">
        <f t="array" ref="CL5">IF(INDEX(Data!$B$4:$L$947,MATCH(Graphs!$CK5,Data!$A$4:$A$947,0),MATCH(Graphs!CL$4,Data!$B$3:$L$3,0))="n.q.",NA(),INDEX(Data!$B$4:$L$947,MATCH(Graphs!$CK5,Data!$A$4:$A$947,0),MATCH(Graphs!CL$4,Data!$B$3:$L$3,0)))</f>
        <v>231.41</v>
      </c>
      <c r="CM5" s="24">
        <f t="array" ref="CM5">IF(INDEX(Data!$B$4:$L$947,MATCH(Graphs!$CK5,Data!$A$4:$A$947,0),MATCH(Graphs!CM$4,Data!$B$3:$L$3,0))="n.q.",NA(),INDEX(Data!$B$4:$L$947,MATCH(Graphs!$CK5,Data!$A$4:$A$947,0),MATCH(Graphs!CM$4,Data!$B$3:$L$3,0)))</f>
        <v>249.86</v>
      </c>
      <c r="CN5" s="24">
        <f t="array" ref="CN5">IF(INDEX(Data!$B$4:$L$947,MATCH(Graphs!$CK5,Data!$A$4:$A$947,0),MATCH(Graphs!CN$4,Data!$B$3:$L$3,0))="n.q.",NA(),INDEX(Data!$B$4:$L$947,MATCH(Graphs!$CK5,Data!$A$4:$A$947,0),MATCH(Graphs!CN$4,Data!$B$3:$L$3,0)))</f>
        <v>220</v>
      </c>
      <c r="CO5" s="24" t="str">
        <f t="array" ref="CO5">IF(INDEX(Data!$B$4:$L$947,MATCH(Graphs!$CK5,Data!$A$4:$A$947,0),MATCH(Graphs!CO$4,Data!$B$3:$L$3,0))="n.q.",NA(),INDEX(Data!$B$4:$L$947,MATCH(Graphs!$CK5,Data!$A$4:$A$947,0),MATCH(Graphs!CO$4,Data!$B$3:$L$3,0)))</f>
        <v>#N/A</v>
      </c>
      <c r="CP5" s="24" t="str">
        <f t="array" ref="CP5">IF(INDEX(Data!$B$4:$L$947,MATCH(Graphs!$CK5,Data!$A$4:$A$947,0),MATCH(Graphs!CP$4,Data!$B$3:$L$3,0))="n.q.",NA(),INDEX(Data!$B$4:$L$947,MATCH(Graphs!$CK5,Data!$A$4:$A$947,0),MATCH(Graphs!CP$4,Data!$B$3:$L$3,0)))</f>
        <v>#N/A</v>
      </c>
      <c r="CQ5" s="5"/>
      <c r="CR5" s="24">
        <f t="array" ref="CR5">IF(INDEX(Data!$P$4:$Z$947,MATCH(Graphs!$CK5,Data!$A$4:$A$947,0),MATCH(Graphs!CR$4,Data!$P$3:$Z$3,0))="n.q.",NA(),INDEX(Data!$P$4:$Z$947,MATCH(Graphs!$CK5,Data!$A$4:$A$947,0),MATCH(Graphs!CR$4,Data!$P$3:$Z$3,0)))</f>
        <v>181.1771813</v>
      </c>
      <c r="CS5" s="24" t="str">
        <f t="array" ref="CS5">IF(INDEX(Data!$P$4:$Z$947,MATCH(Graphs!$CK5,Data!$A$4:$A$947,0),MATCH(Graphs!CS$4,Data!$P$3:$Z$3,0))="n.q.",NA(),INDEX(Data!$P$4:$Z$947,MATCH(Graphs!$CK5,Data!$A$4:$A$947,0),MATCH(Graphs!CS$4,Data!$P$3:$Z$3,0)))</f>
        <v>#N/A</v>
      </c>
      <c r="CT5" s="24">
        <f t="array" ref="CT5">IF(INDEX(Data!$P$4:$Z$947,MATCH(Graphs!$CK5,Data!$A$4:$A$947,0),MATCH(Graphs!CT$4,Data!$P$3:$Z$3,0))="n.q.",NA(),INDEX(Data!$P$4:$Z$947,MATCH(Graphs!$CK5,Data!$A$4:$A$947,0),MATCH(Graphs!CT$4,Data!$P$3:$Z$3,0)))</f>
        <v>188.1418831</v>
      </c>
      <c r="CU5" s="24" t="str">
        <f t="array" ref="CU5">IF(INDEX(Data!$P$4:$Z$947,MATCH(Graphs!$CK5,Data!$A$4:$A$947,0),MATCH(Graphs!CU$4,Data!$P$3:$Z$3,0))="n.q.",NA(),INDEX(Data!$P$4:$Z$947,MATCH(Graphs!$CK5,Data!$A$4:$A$947,0),MATCH(Graphs!CU$4,Data!$P$3:$Z$3,0)))</f>
        <v>#N/A</v>
      </c>
      <c r="CV5" s="24" t="str">
        <f t="array" ref="CV5">IF(INDEX(Data!$P$4:$Z$947,MATCH(Graphs!$CK5,Data!$A$4:$A$947,0),MATCH(Graphs!CV$4,Data!$P$3:$Z$3,0))="n.q.",NA(),INDEX(Data!$P$4:$Z$947,MATCH(Graphs!$CK5,Data!$A$4:$A$947,0),MATCH(Graphs!CV$4,Data!$P$3:$Z$3,0)))</f>
        <v>#N/A</v>
      </c>
    </row>
    <row r="6" ht="15.75" customHeight="1">
      <c r="B6" s="14"/>
      <c r="C6" s="4"/>
      <c r="D6" s="4"/>
      <c r="E6" s="4"/>
      <c r="F6" s="4"/>
      <c r="G6" s="4"/>
      <c r="H6" s="4"/>
      <c r="I6" s="4"/>
      <c r="J6" s="4"/>
      <c r="K6" s="4"/>
      <c r="L6" s="21"/>
      <c r="N6" s="14"/>
      <c r="O6" s="4"/>
      <c r="P6" s="4"/>
      <c r="Q6" s="4"/>
      <c r="R6" s="4"/>
      <c r="S6" s="4"/>
      <c r="T6" s="4"/>
      <c r="U6" s="4"/>
      <c r="V6" s="4"/>
      <c r="W6" s="4"/>
      <c r="X6" s="21"/>
      <c r="Z6" s="4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4"/>
      <c r="CG6" s="4"/>
      <c r="CH6" s="4"/>
      <c r="CI6" s="4"/>
      <c r="CJ6" s="5"/>
      <c r="CK6" s="22">
        <f>Data!A5</f>
        <v>45959</v>
      </c>
      <c r="CL6" s="24">
        <f t="array" ref="CL6">IF(INDEX(Data!$B$4:$L$947,MATCH(Graphs!$CK6,Data!$A$4:$A$947,0),MATCH(Graphs!CL$4,Data!$B$3:$L$3,0))="n.q.",NA(),INDEX(Data!$B$4:$L$947,MATCH(Graphs!$CK6,Data!$A$4:$A$947,0),MATCH(Graphs!CL$4,Data!$B$3:$L$3,0)))</f>
        <v>230.31</v>
      </c>
      <c r="CM6" s="24">
        <f t="array" ref="CM6">IF(INDEX(Data!$B$4:$L$947,MATCH(Graphs!$CK6,Data!$A$4:$A$947,0),MATCH(Graphs!CM$4,Data!$B$3:$L$3,0))="n.q.",NA(),INDEX(Data!$B$4:$L$947,MATCH(Graphs!$CK6,Data!$A$4:$A$947,0),MATCH(Graphs!CM$4,Data!$B$3:$L$3,0)))</f>
        <v>241.68</v>
      </c>
      <c r="CN6" s="24">
        <f t="array" ref="CN6">IF(INDEX(Data!$B$4:$L$947,MATCH(Graphs!$CK6,Data!$A$4:$A$947,0),MATCH(Graphs!CN$4,Data!$B$3:$L$3,0))="n.q.",NA(),INDEX(Data!$B$4:$L$947,MATCH(Graphs!$CK6,Data!$A$4:$A$947,0),MATCH(Graphs!CN$4,Data!$B$3:$L$3,0)))</f>
        <v>219</v>
      </c>
      <c r="CO6" s="24" t="str">
        <f t="array" ref="CO6">IF(INDEX(Data!$B$4:$L$947,MATCH(Graphs!$CK6,Data!$A$4:$A$947,0),MATCH(Graphs!CO$4,Data!$B$3:$L$3,0))="n.q.",NA(),INDEX(Data!$B$4:$L$947,MATCH(Graphs!$CK6,Data!$A$4:$A$947,0),MATCH(Graphs!CO$4,Data!$B$3:$L$3,0)))</f>
        <v>#N/A</v>
      </c>
      <c r="CP6" s="24" t="str">
        <f t="array" ref="CP6">IF(INDEX(Data!$B$4:$L$947,MATCH(Graphs!$CK6,Data!$A$4:$A$947,0),MATCH(Graphs!CP$4,Data!$B$3:$L$3,0))="n.q.",NA(),INDEX(Data!$B$4:$L$947,MATCH(Graphs!$CK6,Data!$A$4:$A$947,0),MATCH(Graphs!CP$4,Data!$B$3:$L$3,0)))</f>
        <v>#N/A</v>
      </c>
      <c r="CQ6" s="5"/>
      <c r="CR6" s="24">
        <f t="array" ref="CR6">IF(INDEX(Data!$P$4:$Z$947,MATCH(Graphs!$CK6,Data!$A$4:$A$947,0),MATCH(Graphs!CR$4,Data!$P$3:$Z$3,0))="n.q.",NA(),INDEX(Data!$P$4:$Z$947,MATCH(Graphs!$CK6,Data!$A$4:$A$947,0),MATCH(Graphs!CR$4,Data!$P$3:$Z$3,0)))</f>
        <v>178.5148856</v>
      </c>
      <c r="CS6" s="24" t="str">
        <f t="array" ref="CS6">IF(INDEX(Data!$P$4:$Z$947,MATCH(Graphs!$CK6,Data!$A$4:$A$947,0),MATCH(Graphs!CS$4,Data!$P$3:$Z$3,0))="n.q.",NA(),INDEX(Data!$P$4:$Z$947,MATCH(Graphs!$CK6,Data!$A$4:$A$947,0),MATCH(Graphs!CS$4,Data!$P$3:$Z$3,0)))</f>
        <v>#N/A</v>
      </c>
      <c r="CT6" s="24">
        <f t="array" ref="CT6">IF(INDEX(Data!$P$4:$Z$947,MATCH(Graphs!$CK6,Data!$A$4:$A$947,0),MATCH(Graphs!CT$4,Data!$P$3:$Z$3,0))="n.q.",NA(),INDEX(Data!$P$4:$Z$947,MATCH(Graphs!$CK6,Data!$A$4:$A$947,0),MATCH(Graphs!CT$4,Data!$P$3:$Z$3,0)))</f>
        <v>184.9939769</v>
      </c>
      <c r="CU6" s="24" t="str">
        <f t="array" ref="CU6">IF(INDEX(Data!$P$4:$Z$947,MATCH(Graphs!$CK6,Data!$A$4:$A$947,0),MATCH(Graphs!CU$4,Data!$P$3:$Z$3,0))="n.q.",NA(),INDEX(Data!$P$4:$Z$947,MATCH(Graphs!$CK6,Data!$A$4:$A$947,0),MATCH(Graphs!CU$4,Data!$P$3:$Z$3,0)))</f>
        <v>#N/A</v>
      </c>
      <c r="CV6" s="24" t="str">
        <f t="array" ref="CV6">IF(INDEX(Data!$P$4:$Z$947,MATCH(Graphs!$CK6,Data!$A$4:$A$947,0),MATCH(Graphs!CV$4,Data!$P$3:$Z$3,0))="n.q.",NA(),INDEX(Data!$P$4:$Z$947,MATCH(Graphs!$CK6,Data!$A$4:$A$947,0),MATCH(Graphs!CV$4,Data!$P$3:$Z$3,0)))</f>
        <v>#N/A</v>
      </c>
    </row>
    <row r="7" ht="15.75" customHeight="1">
      <c r="B7" s="14"/>
      <c r="C7" s="4"/>
      <c r="D7" s="4"/>
      <c r="E7" s="4"/>
      <c r="F7" s="4"/>
      <c r="G7" s="4"/>
      <c r="H7" s="4"/>
      <c r="I7" s="4"/>
      <c r="J7" s="4"/>
      <c r="K7" s="4"/>
      <c r="L7" s="21"/>
      <c r="N7" s="14"/>
      <c r="O7" s="4"/>
      <c r="P7" s="4"/>
      <c r="Q7" s="4"/>
      <c r="R7" s="4"/>
      <c r="S7" s="4"/>
      <c r="T7" s="4"/>
      <c r="U7" s="4"/>
      <c r="V7" s="4"/>
      <c r="W7" s="4"/>
      <c r="X7" s="21"/>
      <c r="Z7" s="4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4"/>
      <c r="CG7" s="4"/>
      <c r="CH7" s="4"/>
      <c r="CI7" s="4"/>
      <c r="CJ7" s="5"/>
      <c r="CK7" s="22">
        <f>Data!A6</f>
        <v>45952</v>
      </c>
      <c r="CL7" s="24">
        <f t="array" ref="CL7">IF(INDEX(Data!$B$4:$L$947,MATCH(Graphs!$CK7,Data!$A$4:$A$947,0),MATCH(Graphs!CL$4,Data!$B$3:$L$3,0))="n.q.",NA(),INDEX(Data!$B$4:$L$947,MATCH(Graphs!$CK7,Data!$A$4:$A$947,0),MATCH(Graphs!CL$4,Data!$B$3:$L$3,0)))</f>
        <v>227.1</v>
      </c>
      <c r="CM7" s="24">
        <f t="array" ref="CM7">IF(INDEX(Data!$B$4:$L$947,MATCH(Graphs!$CK7,Data!$A$4:$A$947,0),MATCH(Graphs!CM$4,Data!$B$3:$L$3,0))="n.q.",NA(),INDEX(Data!$B$4:$L$947,MATCH(Graphs!$CK7,Data!$A$4:$A$947,0),MATCH(Graphs!CM$4,Data!$B$3:$L$3,0)))</f>
        <v>227.26</v>
      </c>
      <c r="CN7" s="24">
        <f t="array" ref="CN7">IF(INDEX(Data!$B$4:$L$947,MATCH(Graphs!$CK7,Data!$A$4:$A$947,0),MATCH(Graphs!CN$4,Data!$B$3:$L$3,0))="n.q.",NA(),INDEX(Data!$B$4:$L$947,MATCH(Graphs!$CK7,Data!$A$4:$A$947,0),MATCH(Graphs!CN$4,Data!$B$3:$L$3,0)))</f>
        <v>219</v>
      </c>
      <c r="CO7" s="24" t="str">
        <f t="array" ref="CO7">IF(INDEX(Data!$B$4:$L$947,MATCH(Graphs!$CK7,Data!$A$4:$A$947,0),MATCH(Graphs!CO$4,Data!$B$3:$L$3,0))="n.q.",NA(),INDEX(Data!$B$4:$L$947,MATCH(Graphs!$CK7,Data!$A$4:$A$947,0),MATCH(Graphs!CO$4,Data!$B$3:$L$3,0)))</f>
        <v>#N/A</v>
      </c>
      <c r="CP7" s="24" t="str">
        <f t="array" ref="CP7">IF(INDEX(Data!$B$4:$L$947,MATCH(Graphs!$CK7,Data!$A$4:$A$947,0),MATCH(Graphs!CP$4,Data!$B$3:$L$3,0))="n.q.",NA(),INDEX(Data!$B$4:$L$947,MATCH(Graphs!$CK7,Data!$A$4:$A$947,0),MATCH(Graphs!CP$4,Data!$B$3:$L$3,0)))</f>
        <v>#N/A</v>
      </c>
      <c r="CQ7" s="5"/>
      <c r="CR7" s="24" t="str">
        <f t="array" ref="CR7">IF(INDEX(Data!$P$4:$Z$947,MATCH(Graphs!$CK7,Data!$A$4:$A$947,0),MATCH(Graphs!CR$4,Data!$P$3:$Z$3,0))="n.q.",NA(),INDEX(Data!$P$4:$Z$947,MATCH(Graphs!$CK7,Data!$A$4:$A$947,0),MATCH(Graphs!CR$4,Data!$P$3:$Z$3,0)))</f>
        <v>#N/A</v>
      </c>
      <c r="CS7" s="24" t="str">
        <f t="array" ref="CS7">IF(INDEX(Data!$P$4:$Z$947,MATCH(Graphs!$CK7,Data!$A$4:$A$947,0),MATCH(Graphs!CS$4,Data!$P$3:$Z$3,0))="n.q.",NA(),INDEX(Data!$P$4:$Z$947,MATCH(Graphs!$CK7,Data!$A$4:$A$947,0),MATCH(Graphs!CS$4,Data!$P$3:$Z$3,0)))</f>
        <v>#N/A</v>
      </c>
      <c r="CT7" s="24" t="str">
        <f t="array" ref="CT7">IF(INDEX(Data!$P$4:$Z$947,MATCH(Graphs!$CK7,Data!$A$4:$A$947,0),MATCH(Graphs!CT$4,Data!$P$3:$Z$3,0))="n.q.",NA(),INDEX(Data!$P$4:$Z$947,MATCH(Graphs!$CK7,Data!$A$4:$A$947,0),MATCH(Graphs!CT$4,Data!$P$3:$Z$3,0)))</f>
        <v>#N/A</v>
      </c>
      <c r="CU7" s="24" t="str">
        <f t="array" ref="CU7">IF(INDEX(Data!$P$4:$Z$947,MATCH(Graphs!$CK7,Data!$A$4:$A$947,0),MATCH(Graphs!CU$4,Data!$P$3:$Z$3,0))="n.q.",NA(),INDEX(Data!$P$4:$Z$947,MATCH(Graphs!$CK7,Data!$A$4:$A$947,0),MATCH(Graphs!CU$4,Data!$P$3:$Z$3,0)))</f>
        <v>#N/A</v>
      </c>
      <c r="CV7" s="24" t="str">
        <f t="array" ref="CV7">IF(INDEX(Data!$P$4:$Z$947,MATCH(Graphs!$CK7,Data!$A$4:$A$947,0),MATCH(Graphs!CV$4,Data!$P$3:$Z$3,0))="n.q.",NA(),INDEX(Data!$P$4:$Z$947,MATCH(Graphs!$CK7,Data!$A$4:$A$947,0),MATCH(Graphs!CV$4,Data!$P$3:$Z$3,0)))</f>
        <v>#N/A</v>
      </c>
    </row>
    <row r="8" ht="15.75" customHeight="1">
      <c r="B8" s="14"/>
      <c r="C8" s="4"/>
      <c r="D8" s="4"/>
      <c r="E8" s="4"/>
      <c r="F8" s="4"/>
      <c r="G8" s="4"/>
      <c r="H8" s="4"/>
      <c r="I8" s="4"/>
      <c r="J8" s="4"/>
      <c r="K8" s="4"/>
      <c r="L8" s="21"/>
      <c r="N8" s="14"/>
      <c r="O8" s="4"/>
      <c r="P8" s="4"/>
      <c r="Q8" s="4"/>
      <c r="R8" s="4"/>
      <c r="S8" s="4"/>
      <c r="T8" s="4"/>
      <c r="U8" s="4"/>
      <c r="V8" s="4"/>
      <c r="W8" s="4"/>
      <c r="X8" s="21"/>
      <c r="Z8" s="4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4"/>
      <c r="CG8" s="4"/>
      <c r="CH8" s="4"/>
      <c r="CI8" s="4"/>
      <c r="CJ8" s="5"/>
      <c r="CK8" s="22">
        <f>Data!A7</f>
        <v>45945</v>
      </c>
      <c r="CL8" s="24">
        <f t="array" ref="CL8">IF(INDEX(Data!$B$4:$L$947,MATCH(Graphs!$CK8,Data!$A$4:$A$947,0),MATCH(Graphs!CL$4,Data!$B$3:$L$3,0))="n.q.",NA(),INDEX(Data!$B$4:$L$947,MATCH(Graphs!$CK8,Data!$A$4:$A$947,0),MATCH(Graphs!CL$4,Data!$B$3:$L$3,0)))</f>
        <v>226.42</v>
      </c>
      <c r="CM8" s="24">
        <f t="array" ref="CM8">IF(INDEX(Data!$B$4:$L$947,MATCH(Graphs!$CK8,Data!$A$4:$A$947,0),MATCH(Graphs!CM$4,Data!$B$3:$L$3,0))="n.q.",NA(),INDEX(Data!$B$4:$L$947,MATCH(Graphs!$CK8,Data!$A$4:$A$947,0),MATCH(Graphs!CM$4,Data!$B$3:$L$3,0)))</f>
        <v>227.17</v>
      </c>
      <c r="CN8" s="24">
        <f t="array" ref="CN8">IF(INDEX(Data!$B$4:$L$947,MATCH(Graphs!$CK8,Data!$A$4:$A$947,0),MATCH(Graphs!CN$4,Data!$B$3:$L$3,0))="n.q.",NA(),INDEX(Data!$B$4:$L$947,MATCH(Graphs!$CK8,Data!$A$4:$A$947,0),MATCH(Graphs!CN$4,Data!$B$3:$L$3,0)))</f>
        <v>219</v>
      </c>
      <c r="CO8" s="24" t="str">
        <f t="array" ref="CO8">IF(INDEX(Data!$B$4:$L$947,MATCH(Graphs!$CK8,Data!$A$4:$A$947,0),MATCH(Graphs!CO$4,Data!$B$3:$L$3,0))="n.q.",NA(),INDEX(Data!$B$4:$L$947,MATCH(Graphs!$CK8,Data!$A$4:$A$947,0),MATCH(Graphs!CO$4,Data!$B$3:$L$3,0)))</f>
        <v>#N/A</v>
      </c>
      <c r="CP8" s="24" t="str">
        <f t="array" ref="CP8">IF(INDEX(Data!$B$4:$L$947,MATCH(Graphs!$CK8,Data!$A$4:$A$947,0),MATCH(Graphs!CP$4,Data!$B$3:$L$3,0))="n.q.",NA(),INDEX(Data!$B$4:$L$947,MATCH(Graphs!$CK8,Data!$A$4:$A$947,0),MATCH(Graphs!CP$4,Data!$B$3:$L$3,0)))</f>
        <v>#N/A</v>
      </c>
      <c r="CQ8" s="5"/>
      <c r="CR8" s="24" t="str">
        <f t="array" ref="CR8">IF(INDEX(Data!$P$4:$Z$947,MATCH(Graphs!$CK8,Data!$A$4:$A$947,0),MATCH(Graphs!CR$4,Data!$P$3:$Z$3,0))="n.q.",NA(),INDEX(Data!$P$4:$Z$947,MATCH(Graphs!$CK8,Data!$A$4:$A$947,0),MATCH(Graphs!CR$4,Data!$P$3:$Z$3,0)))</f>
        <v>#N/A</v>
      </c>
      <c r="CS8" s="24" t="str">
        <f t="array" ref="CS8">IF(INDEX(Data!$P$4:$Z$947,MATCH(Graphs!$CK8,Data!$A$4:$A$947,0),MATCH(Graphs!CS$4,Data!$P$3:$Z$3,0))="n.q.",NA(),INDEX(Data!$P$4:$Z$947,MATCH(Graphs!$CK8,Data!$A$4:$A$947,0),MATCH(Graphs!CS$4,Data!$P$3:$Z$3,0)))</f>
        <v>#N/A</v>
      </c>
      <c r="CT8" s="24" t="str">
        <f t="array" ref="CT8">IF(INDEX(Data!$P$4:$Z$947,MATCH(Graphs!$CK8,Data!$A$4:$A$947,0),MATCH(Graphs!CT$4,Data!$P$3:$Z$3,0))="n.q.",NA(),INDEX(Data!$P$4:$Z$947,MATCH(Graphs!$CK8,Data!$A$4:$A$947,0),MATCH(Graphs!CT$4,Data!$P$3:$Z$3,0)))</f>
        <v>#N/A</v>
      </c>
      <c r="CU8" s="24" t="str">
        <f t="array" ref="CU8">IF(INDEX(Data!$P$4:$Z$947,MATCH(Graphs!$CK8,Data!$A$4:$A$947,0),MATCH(Graphs!CU$4,Data!$P$3:$Z$3,0))="n.q.",NA(),INDEX(Data!$P$4:$Z$947,MATCH(Graphs!$CK8,Data!$A$4:$A$947,0),MATCH(Graphs!CU$4,Data!$P$3:$Z$3,0)))</f>
        <v>#N/A</v>
      </c>
      <c r="CV8" s="24" t="str">
        <f t="array" ref="CV8">IF(INDEX(Data!$P$4:$Z$947,MATCH(Graphs!$CK8,Data!$A$4:$A$947,0),MATCH(Graphs!CV$4,Data!$P$3:$Z$3,0))="n.q.",NA(),INDEX(Data!$P$4:$Z$947,MATCH(Graphs!$CK8,Data!$A$4:$A$947,0),MATCH(Graphs!CV$4,Data!$P$3:$Z$3,0)))</f>
        <v>#N/A</v>
      </c>
    </row>
    <row r="9" ht="15.75" customHeight="1">
      <c r="B9" s="14"/>
      <c r="C9" s="4"/>
      <c r="D9" s="4"/>
      <c r="E9" s="4"/>
      <c r="F9" s="4"/>
      <c r="G9" s="4"/>
      <c r="H9" s="4"/>
      <c r="I9" s="4"/>
      <c r="J9" s="4"/>
      <c r="K9" s="4"/>
      <c r="L9" s="21"/>
      <c r="N9" s="14"/>
      <c r="O9" s="4"/>
      <c r="P9" s="4"/>
      <c r="Q9" s="4"/>
      <c r="R9" s="4"/>
      <c r="S9" s="4"/>
      <c r="T9" s="4"/>
      <c r="U9" s="4"/>
      <c r="V9" s="4"/>
      <c r="W9" s="4"/>
      <c r="X9" s="21"/>
      <c r="Z9" s="4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4"/>
      <c r="CG9" s="4"/>
      <c r="CH9" s="4"/>
      <c r="CI9" s="4"/>
      <c r="CJ9" s="5"/>
      <c r="CK9" s="22">
        <f>Data!A8</f>
        <v>45938</v>
      </c>
      <c r="CL9" s="24">
        <f t="array" ref="CL9">IF(INDEX(Data!$B$4:$L$947,MATCH(Graphs!$CK9,Data!$A$4:$A$947,0),MATCH(Graphs!CL$4,Data!$B$3:$L$3,0))="n.q.",NA(),INDEX(Data!$B$4:$L$947,MATCH(Graphs!$CK9,Data!$A$4:$A$947,0),MATCH(Graphs!CL$4,Data!$B$3:$L$3,0)))</f>
        <v>224.68</v>
      </c>
      <c r="CM9" s="24">
        <f t="array" ref="CM9">IF(INDEX(Data!$B$4:$L$947,MATCH(Graphs!$CK9,Data!$A$4:$A$947,0),MATCH(Graphs!CM$4,Data!$B$3:$L$3,0))="n.q.",NA(),INDEX(Data!$B$4:$L$947,MATCH(Graphs!$CK9,Data!$A$4:$A$947,0),MATCH(Graphs!CM$4,Data!$B$3:$L$3,0)))</f>
        <v>229.01</v>
      </c>
      <c r="CN9" s="24">
        <f t="array" ref="CN9">IF(INDEX(Data!$B$4:$L$947,MATCH(Graphs!$CK9,Data!$A$4:$A$947,0),MATCH(Graphs!CN$4,Data!$B$3:$L$3,0))="n.q.",NA(),INDEX(Data!$B$4:$L$947,MATCH(Graphs!$CK9,Data!$A$4:$A$947,0),MATCH(Graphs!CN$4,Data!$B$3:$L$3,0)))</f>
        <v>217</v>
      </c>
      <c r="CO9" s="24" t="str">
        <f t="array" ref="CO9">IF(INDEX(Data!$B$4:$L$947,MATCH(Graphs!$CK9,Data!$A$4:$A$947,0),MATCH(Graphs!CO$4,Data!$B$3:$L$3,0))="n.q.",NA(),INDEX(Data!$B$4:$L$947,MATCH(Graphs!$CK9,Data!$A$4:$A$947,0),MATCH(Graphs!CO$4,Data!$B$3:$L$3,0)))</f>
        <v>#N/A</v>
      </c>
      <c r="CP9" s="24" t="str">
        <f t="array" ref="CP9">IF(INDEX(Data!$B$4:$L$947,MATCH(Graphs!$CK9,Data!$A$4:$A$947,0),MATCH(Graphs!CP$4,Data!$B$3:$L$3,0))="n.q.",NA(),INDEX(Data!$B$4:$L$947,MATCH(Graphs!$CK9,Data!$A$4:$A$947,0),MATCH(Graphs!CP$4,Data!$B$3:$L$3,0)))</f>
        <v>#N/A</v>
      </c>
      <c r="CQ9" s="5"/>
      <c r="CR9" s="24">
        <f t="array" ref="CR9">IF(INDEX(Data!$P$4:$Z$947,MATCH(Graphs!$CK9,Data!$A$4:$A$947,0),MATCH(Graphs!CR$4,Data!$P$3:$Z$3,0))="n.q.",NA(),INDEX(Data!$P$4:$Z$947,MATCH(Graphs!$CK9,Data!$A$4:$A$947,0),MATCH(Graphs!CR$4,Data!$P$3:$Z$3,0)))</f>
        <v>173.6991485</v>
      </c>
      <c r="CS9" s="24" t="str">
        <f t="array" ref="CS9">IF(INDEX(Data!$P$4:$Z$947,MATCH(Graphs!$CK9,Data!$A$4:$A$947,0),MATCH(Graphs!CS$4,Data!$P$3:$Z$3,0))="n.q.",NA(),INDEX(Data!$P$4:$Z$947,MATCH(Graphs!$CK9,Data!$A$4:$A$947,0),MATCH(Graphs!CS$4,Data!$P$3:$Z$3,0)))</f>
        <v>#N/A</v>
      </c>
      <c r="CT9" s="24">
        <f t="array" ref="CT9">IF(INDEX(Data!$P$4:$Z$947,MATCH(Graphs!$CK9,Data!$A$4:$A$947,0),MATCH(Graphs!CT$4,Data!$P$3:$Z$3,0))="n.q.",NA(),INDEX(Data!$P$4:$Z$947,MATCH(Graphs!$CK9,Data!$A$4:$A$947,0),MATCH(Graphs!CT$4,Data!$P$3:$Z$3,0)))</f>
        <v>184.0543562</v>
      </c>
      <c r="CU9" s="24" t="str">
        <f t="array" ref="CU9">IF(INDEX(Data!$P$4:$Z$947,MATCH(Graphs!$CK9,Data!$A$4:$A$947,0),MATCH(Graphs!CU$4,Data!$P$3:$Z$3,0))="n.q.",NA(),INDEX(Data!$P$4:$Z$947,MATCH(Graphs!$CK9,Data!$A$4:$A$947,0),MATCH(Graphs!CU$4,Data!$P$3:$Z$3,0)))</f>
        <v>#N/A</v>
      </c>
      <c r="CV9" s="24" t="str">
        <f t="array" ref="CV9">IF(INDEX(Data!$P$4:$Z$947,MATCH(Graphs!$CK9,Data!$A$4:$A$947,0),MATCH(Graphs!CV$4,Data!$P$3:$Z$3,0))="n.q.",NA(),INDEX(Data!$P$4:$Z$947,MATCH(Graphs!$CK9,Data!$A$4:$A$947,0),MATCH(Graphs!CV$4,Data!$P$3:$Z$3,0)))</f>
        <v>#N/A</v>
      </c>
    </row>
    <row r="10" ht="15.75" customHeight="1">
      <c r="B10" s="14"/>
      <c r="C10" s="4"/>
      <c r="D10" s="4"/>
      <c r="E10" s="4"/>
      <c r="F10" s="4"/>
      <c r="G10" s="4"/>
      <c r="H10" s="4"/>
      <c r="I10" s="4"/>
      <c r="J10" s="4"/>
      <c r="K10" s="4"/>
      <c r="L10" s="21"/>
      <c r="N10" s="14"/>
      <c r="O10" s="4"/>
      <c r="P10" s="4"/>
      <c r="Q10" s="4"/>
      <c r="R10" s="4"/>
      <c r="S10" s="4"/>
      <c r="T10" s="4"/>
      <c r="U10" s="4"/>
      <c r="V10" s="4"/>
      <c r="W10" s="4"/>
      <c r="X10" s="21"/>
      <c r="Z10" s="4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4"/>
      <c r="CG10" s="4"/>
      <c r="CH10" s="4"/>
      <c r="CI10" s="4"/>
      <c r="CJ10" s="5"/>
      <c r="CK10" s="22">
        <f>Data!A9</f>
        <v>45931</v>
      </c>
      <c r="CL10" s="24">
        <f t="array" ref="CL10">IF(INDEX(Data!$B$4:$L$947,MATCH(Graphs!$CK10,Data!$A$4:$A$947,0),MATCH(Graphs!CL$4,Data!$B$3:$L$3,0))="n.q.",NA(),INDEX(Data!$B$4:$L$947,MATCH(Graphs!$CK10,Data!$A$4:$A$947,0),MATCH(Graphs!CL$4,Data!$B$3:$L$3,0)))</f>
        <v>225.77</v>
      </c>
      <c r="CM10" s="24">
        <f t="array" ref="CM10">IF(INDEX(Data!$B$4:$L$947,MATCH(Graphs!$CK10,Data!$A$4:$A$947,0),MATCH(Graphs!CM$4,Data!$B$3:$L$3,0))="n.q.",NA(),INDEX(Data!$B$4:$L$947,MATCH(Graphs!$CK10,Data!$A$4:$A$947,0),MATCH(Graphs!CM$4,Data!$B$3:$L$3,0)))</f>
        <v>227.99</v>
      </c>
      <c r="CN10" s="24">
        <f t="array" ref="CN10">IF(INDEX(Data!$B$4:$L$947,MATCH(Graphs!$CK10,Data!$A$4:$A$947,0),MATCH(Graphs!CN$4,Data!$B$3:$L$3,0))="n.q.",NA(),INDEX(Data!$B$4:$L$947,MATCH(Graphs!$CK10,Data!$A$4:$A$947,0),MATCH(Graphs!CN$4,Data!$B$3:$L$3,0)))</f>
        <v>216</v>
      </c>
      <c r="CO10" s="24" t="str">
        <f t="array" ref="CO10">IF(INDEX(Data!$B$4:$L$947,MATCH(Graphs!$CK10,Data!$A$4:$A$947,0),MATCH(Graphs!CO$4,Data!$B$3:$L$3,0))="n.q.",NA(),INDEX(Data!$B$4:$L$947,MATCH(Graphs!$CK10,Data!$A$4:$A$947,0),MATCH(Graphs!CO$4,Data!$B$3:$L$3,0)))</f>
        <v>#N/A</v>
      </c>
      <c r="CP10" s="24" t="str">
        <f t="array" ref="CP10">IF(INDEX(Data!$B$4:$L$947,MATCH(Graphs!$CK10,Data!$A$4:$A$947,0),MATCH(Graphs!CP$4,Data!$B$3:$L$3,0))="n.q.",NA(),INDEX(Data!$B$4:$L$947,MATCH(Graphs!$CK10,Data!$A$4:$A$947,0),MATCH(Graphs!CP$4,Data!$B$3:$L$3,0)))</f>
        <v>#N/A</v>
      </c>
      <c r="CQ10" s="5"/>
      <c r="CR10" s="24">
        <f t="array" ref="CR10">IF(INDEX(Data!$P$4:$Z$947,MATCH(Graphs!$CK10,Data!$A$4:$A$947,0),MATCH(Graphs!CR$4,Data!$P$3:$Z$3,0))="n.q.",NA(),INDEX(Data!$P$4:$Z$947,MATCH(Graphs!$CK10,Data!$A$4:$A$947,0),MATCH(Graphs!CR$4,Data!$P$3:$Z$3,0)))</f>
        <v>171.4176049</v>
      </c>
      <c r="CS10" s="24" t="str">
        <f t="array" ref="CS10">IF(INDEX(Data!$P$4:$Z$947,MATCH(Graphs!$CK10,Data!$A$4:$A$947,0),MATCH(Graphs!CS$4,Data!$P$3:$Z$3,0))="n.q.",NA(),INDEX(Data!$P$4:$Z$947,MATCH(Graphs!$CK10,Data!$A$4:$A$947,0),MATCH(Graphs!CS$4,Data!$P$3:$Z$3,0)))</f>
        <v>#N/A</v>
      </c>
      <c r="CT10" s="24">
        <f t="array" ref="CT10">IF(INDEX(Data!$P$4:$Z$947,MATCH(Graphs!$CK10,Data!$A$4:$A$947,0),MATCH(Graphs!CT$4,Data!$P$3:$Z$3,0))="n.q.",NA(),INDEX(Data!$P$4:$Z$947,MATCH(Graphs!$CK10,Data!$A$4:$A$947,0),MATCH(Graphs!CT$4,Data!$P$3:$Z$3,0)))</f>
        <v>182.5315592</v>
      </c>
      <c r="CU10" s="24" t="str">
        <f t="array" ref="CU10">IF(INDEX(Data!$P$4:$Z$947,MATCH(Graphs!$CK10,Data!$A$4:$A$947,0),MATCH(Graphs!CU$4,Data!$P$3:$Z$3,0))="n.q.",NA(),INDEX(Data!$P$4:$Z$947,MATCH(Graphs!$CK10,Data!$A$4:$A$947,0),MATCH(Graphs!CU$4,Data!$P$3:$Z$3,0)))</f>
        <v>#N/A</v>
      </c>
      <c r="CV10" s="24" t="str">
        <f t="array" ref="CV10">IF(INDEX(Data!$P$4:$Z$947,MATCH(Graphs!$CK10,Data!$A$4:$A$947,0),MATCH(Graphs!CV$4,Data!$P$3:$Z$3,0))="n.q.",NA(),INDEX(Data!$P$4:$Z$947,MATCH(Graphs!$CK10,Data!$A$4:$A$947,0),MATCH(Graphs!CV$4,Data!$P$3:$Z$3,0)))</f>
        <v>#N/A</v>
      </c>
    </row>
    <row r="11" ht="15.75" customHeight="1">
      <c r="B11" s="14"/>
      <c r="C11" s="4"/>
      <c r="D11" s="4"/>
      <c r="E11" s="4"/>
      <c r="F11" s="4"/>
      <c r="G11" s="4"/>
      <c r="H11" s="4"/>
      <c r="I11" s="4"/>
      <c r="J11" s="4"/>
      <c r="K11" s="4"/>
      <c r="L11" s="21"/>
      <c r="N11" s="14"/>
      <c r="O11" s="4"/>
      <c r="P11" s="4"/>
      <c r="Q11" s="4"/>
      <c r="R11" s="4"/>
      <c r="S11" s="4"/>
      <c r="T11" s="4"/>
      <c r="U11" s="4"/>
      <c r="V11" s="4"/>
      <c r="W11" s="4"/>
      <c r="X11" s="21"/>
      <c r="Z11" s="4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4"/>
      <c r="CG11" s="4"/>
      <c r="CH11" s="4"/>
      <c r="CI11" s="4"/>
      <c r="CJ11" s="5"/>
      <c r="CK11" s="22">
        <f>Data!A10</f>
        <v>45924</v>
      </c>
      <c r="CL11" s="24">
        <f t="array" ref="CL11">IF(INDEX(Data!$B$4:$L$947,MATCH(Graphs!$CK11,Data!$A$4:$A$947,0),MATCH(Graphs!CL$4,Data!$B$3:$L$3,0))="n.q.",NA(),INDEX(Data!$B$4:$L$947,MATCH(Graphs!$CK11,Data!$A$4:$A$947,0),MATCH(Graphs!CL$4,Data!$B$3:$L$3,0)))</f>
        <v>229.72</v>
      </c>
      <c r="CM11" s="24">
        <f t="array" ref="CM11">IF(INDEX(Data!$B$4:$L$947,MATCH(Graphs!$CK11,Data!$A$4:$A$947,0),MATCH(Graphs!CM$4,Data!$B$3:$L$3,0))="n.q.",NA(),INDEX(Data!$B$4:$L$947,MATCH(Graphs!$CK11,Data!$A$4:$A$947,0),MATCH(Graphs!CM$4,Data!$B$3:$L$3,0)))</f>
        <v>233.97</v>
      </c>
      <c r="CN11" s="24">
        <f t="array" ref="CN11">IF(INDEX(Data!$B$4:$L$947,MATCH(Graphs!$CK11,Data!$A$4:$A$947,0),MATCH(Graphs!CN$4,Data!$B$3:$L$3,0))="n.q.",NA(),INDEX(Data!$B$4:$L$947,MATCH(Graphs!$CK11,Data!$A$4:$A$947,0),MATCH(Graphs!CN$4,Data!$B$3:$L$3,0)))</f>
        <v>216</v>
      </c>
      <c r="CO11" s="24" t="str">
        <f t="array" ref="CO11">IF(INDEX(Data!$B$4:$L$947,MATCH(Graphs!$CK11,Data!$A$4:$A$947,0),MATCH(Graphs!CO$4,Data!$B$3:$L$3,0))="n.q.",NA(),INDEX(Data!$B$4:$L$947,MATCH(Graphs!$CK11,Data!$A$4:$A$947,0),MATCH(Graphs!CO$4,Data!$B$3:$L$3,0)))</f>
        <v>#N/A</v>
      </c>
      <c r="CP11" s="24" t="str">
        <f t="array" ref="CP11">IF(INDEX(Data!$B$4:$L$947,MATCH(Graphs!$CK11,Data!$A$4:$A$947,0),MATCH(Graphs!CP$4,Data!$B$3:$L$3,0))="n.q.",NA(),INDEX(Data!$B$4:$L$947,MATCH(Graphs!$CK11,Data!$A$4:$A$947,0),MATCH(Graphs!CP$4,Data!$B$3:$L$3,0)))</f>
        <v>#N/A</v>
      </c>
      <c r="CQ11" s="5"/>
      <c r="CR11" s="24">
        <f t="array" ref="CR11">IF(INDEX(Data!$P$4:$Z$947,MATCH(Graphs!$CK11,Data!$A$4:$A$947,0),MATCH(Graphs!CR$4,Data!$P$3:$Z$3,0))="n.q.",NA(),INDEX(Data!$P$4:$Z$947,MATCH(Graphs!$CK11,Data!$A$4:$A$947,0),MATCH(Graphs!CR$4,Data!$P$3:$Z$3,0)))</f>
        <v>174.2174209</v>
      </c>
      <c r="CS11" s="24" t="str">
        <f t="array" ref="CS11">IF(INDEX(Data!$P$4:$Z$947,MATCH(Graphs!$CK11,Data!$A$4:$A$947,0),MATCH(Graphs!CS$4,Data!$P$3:$Z$3,0))="n.q.",NA(),INDEX(Data!$P$4:$Z$947,MATCH(Graphs!$CK11,Data!$A$4:$A$947,0),MATCH(Graphs!CS$4,Data!$P$3:$Z$3,0)))</f>
        <v>#N/A</v>
      </c>
      <c r="CT11" s="24">
        <f t="array" ref="CT11">IF(INDEX(Data!$P$4:$Z$947,MATCH(Graphs!$CK11,Data!$A$4:$A$947,0),MATCH(Graphs!CT$4,Data!$P$3:$Z$3,0))="n.q.",NA(),INDEX(Data!$P$4:$Z$947,MATCH(Graphs!$CK11,Data!$A$4:$A$947,0),MATCH(Graphs!CT$4,Data!$P$3:$Z$3,0)))</f>
        <v>187.1384825</v>
      </c>
      <c r="CU11" s="24" t="str">
        <f t="array" ref="CU11">IF(INDEX(Data!$P$4:$Z$947,MATCH(Graphs!$CK11,Data!$A$4:$A$947,0),MATCH(Graphs!CU$4,Data!$P$3:$Z$3,0))="n.q.",NA(),INDEX(Data!$P$4:$Z$947,MATCH(Graphs!$CK11,Data!$A$4:$A$947,0),MATCH(Graphs!CU$4,Data!$P$3:$Z$3,0)))</f>
        <v>#N/A</v>
      </c>
      <c r="CV11" s="24" t="str">
        <f t="array" ref="CV11">IF(INDEX(Data!$P$4:$Z$947,MATCH(Graphs!$CK11,Data!$A$4:$A$947,0),MATCH(Graphs!CV$4,Data!$P$3:$Z$3,0))="n.q.",NA(),INDEX(Data!$P$4:$Z$947,MATCH(Graphs!$CK11,Data!$A$4:$A$947,0),MATCH(Graphs!CV$4,Data!$P$3:$Z$3,0)))</f>
        <v>#N/A</v>
      </c>
    </row>
    <row r="12" ht="15.75" customHeight="1">
      <c r="B12" s="14"/>
      <c r="C12" s="4"/>
      <c r="D12" s="4"/>
      <c r="E12" s="4"/>
      <c r="F12" s="4"/>
      <c r="G12" s="4"/>
      <c r="H12" s="4"/>
      <c r="I12" s="4"/>
      <c r="J12" s="4"/>
      <c r="K12" s="4"/>
      <c r="L12" s="21"/>
      <c r="N12" s="14"/>
      <c r="O12" s="4"/>
      <c r="P12" s="4"/>
      <c r="Q12" s="4"/>
      <c r="R12" s="4"/>
      <c r="S12" s="4"/>
      <c r="T12" s="4"/>
      <c r="U12" s="4"/>
      <c r="V12" s="4"/>
      <c r="W12" s="4"/>
      <c r="X12" s="21"/>
      <c r="Z12" s="4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4"/>
      <c r="CG12" s="4"/>
      <c r="CH12" s="4"/>
      <c r="CI12" s="4"/>
      <c r="CJ12" s="5"/>
      <c r="CK12" s="22">
        <f>Data!A11</f>
        <v>45917</v>
      </c>
      <c r="CL12" s="24">
        <f t="array" ref="CL12">IF(INDEX(Data!$B$4:$L$947,MATCH(Graphs!$CK12,Data!$A$4:$A$947,0),MATCH(Graphs!CL$4,Data!$B$3:$L$3,0))="n.q.",NA(),INDEX(Data!$B$4:$L$947,MATCH(Graphs!$CK12,Data!$A$4:$A$947,0),MATCH(Graphs!CL$4,Data!$B$3:$L$3,0)))</f>
        <v>232.33</v>
      </c>
      <c r="CM12" s="24">
        <f t="array" ref="CM12">IF(INDEX(Data!$B$4:$L$947,MATCH(Graphs!$CK12,Data!$A$4:$A$947,0),MATCH(Graphs!CM$4,Data!$B$3:$L$3,0))="n.q.",NA(),INDEX(Data!$B$4:$L$947,MATCH(Graphs!$CK12,Data!$A$4:$A$947,0),MATCH(Graphs!CM$4,Data!$B$3:$L$3,0)))</f>
        <v>237.46</v>
      </c>
      <c r="CN12" s="24">
        <f t="array" ref="CN12">IF(INDEX(Data!$B$4:$L$947,MATCH(Graphs!$CK12,Data!$A$4:$A$947,0),MATCH(Graphs!CN$4,Data!$B$3:$L$3,0))="n.q.",NA(),INDEX(Data!$B$4:$L$947,MATCH(Graphs!$CK12,Data!$A$4:$A$947,0),MATCH(Graphs!CN$4,Data!$B$3:$L$3,0)))</f>
        <v>217</v>
      </c>
      <c r="CO12" s="24" t="str">
        <f t="array" ref="CO12">IF(INDEX(Data!$B$4:$L$947,MATCH(Graphs!$CK12,Data!$A$4:$A$947,0),MATCH(Graphs!CO$4,Data!$B$3:$L$3,0))="n.q.",NA(),INDEX(Data!$B$4:$L$947,MATCH(Graphs!$CK12,Data!$A$4:$A$947,0),MATCH(Graphs!CO$4,Data!$B$3:$L$3,0)))</f>
        <v>#N/A</v>
      </c>
      <c r="CP12" s="24" t="str">
        <f t="array" ref="CP12">IF(INDEX(Data!$B$4:$L$947,MATCH(Graphs!$CK12,Data!$A$4:$A$947,0),MATCH(Graphs!CP$4,Data!$B$3:$L$3,0))="n.q.",NA(),INDEX(Data!$B$4:$L$947,MATCH(Graphs!$CK12,Data!$A$4:$A$947,0),MATCH(Graphs!CP$4,Data!$B$3:$L$3,0)))</f>
        <v>#N/A</v>
      </c>
      <c r="CQ12" s="5"/>
      <c r="CR12" s="24">
        <f t="array" ref="CR12">IF(INDEX(Data!$P$4:$Z$947,MATCH(Graphs!$CK12,Data!$A$4:$A$947,0),MATCH(Graphs!CR$4,Data!$P$3:$Z$3,0))="n.q.",NA(),INDEX(Data!$P$4:$Z$947,MATCH(Graphs!$CK12,Data!$A$4:$A$947,0),MATCH(Graphs!CR$4,Data!$P$3:$Z$3,0)))</f>
        <v>175.1879699</v>
      </c>
      <c r="CS12" s="24" t="str">
        <f t="array" ref="CS12">IF(INDEX(Data!$P$4:$Z$947,MATCH(Graphs!$CK12,Data!$A$4:$A$947,0),MATCH(Graphs!CS$4,Data!$P$3:$Z$3,0))="n.q.",NA(),INDEX(Data!$P$4:$Z$947,MATCH(Graphs!$CK12,Data!$A$4:$A$947,0),MATCH(Graphs!CS$4,Data!$P$3:$Z$3,0)))</f>
        <v>#N/A</v>
      </c>
      <c r="CT12" s="24">
        <f t="array" ref="CT12">IF(INDEX(Data!$P$4:$Z$947,MATCH(Graphs!$CK12,Data!$A$4:$A$947,0),MATCH(Graphs!CT$4,Data!$P$3:$Z$3,0))="n.q.",NA(),INDEX(Data!$P$4:$Z$947,MATCH(Graphs!$CK12,Data!$A$4:$A$947,0),MATCH(Graphs!CT$4,Data!$P$3:$Z$3,0)))</f>
        <v>184.1682859</v>
      </c>
      <c r="CU12" s="24" t="str">
        <f t="array" ref="CU12">IF(INDEX(Data!$P$4:$Z$947,MATCH(Graphs!$CK12,Data!$A$4:$A$947,0),MATCH(Graphs!CU$4,Data!$P$3:$Z$3,0))="n.q.",NA(),INDEX(Data!$P$4:$Z$947,MATCH(Graphs!$CK12,Data!$A$4:$A$947,0),MATCH(Graphs!CU$4,Data!$P$3:$Z$3,0)))</f>
        <v>#N/A</v>
      </c>
      <c r="CV12" s="24" t="str">
        <f t="array" ref="CV12">IF(INDEX(Data!$P$4:$Z$947,MATCH(Graphs!$CK12,Data!$A$4:$A$947,0),MATCH(Graphs!CV$4,Data!$P$3:$Z$3,0))="n.q.",NA(),INDEX(Data!$P$4:$Z$947,MATCH(Graphs!$CK12,Data!$A$4:$A$947,0),MATCH(Graphs!CV$4,Data!$P$3:$Z$3,0)))</f>
        <v>#N/A</v>
      </c>
    </row>
    <row r="13" ht="15.75" customHeight="1">
      <c r="B13" s="14"/>
      <c r="C13" s="4"/>
      <c r="D13" s="4"/>
      <c r="E13" s="4"/>
      <c r="F13" s="4"/>
      <c r="G13" s="4"/>
      <c r="H13" s="4"/>
      <c r="I13" s="4"/>
      <c r="J13" s="4"/>
      <c r="K13" s="4"/>
      <c r="L13" s="21"/>
      <c r="N13" s="14"/>
      <c r="O13" s="4"/>
      <c r="P13" s="4"/>
      <c r="Q13" s="4"/>
      <c r="R13" s="4"/>
      <c r="S13" s="4"/>
      <c r="T13" s="4"/>
      <c r="U13" s="4"/>
      <c r="V13" s="4"/>
      <c r="W13" s="4"/>
      <c r="X13" s="21"/>
      <c r="Z13" s="4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4"/>
      <c r="CG13" s="4"/>
      <c r="CH13" s="4"/>
      <c r="CI13" s="4"/>
      <c r="CJ13" s="5"/>
      <c r="CK13" s="22">
        <f>Data!A12</f>
        <v>45910</v>
      </c>
      <c r="CL13" s="24">
        <f t="array" ref="CL13">IF(INDEX(Data!$B$4:$L$947,MATCH(Graphs!$CK13,Data!$A$4:$A$947,0),MATCH(Graphs!CL$4,Data!$B$3:$L$3,0))="n.q.",NA(),INDEX(Data!$B$4:$L$947,MATCH(Graphs!$CK13,Data!$A$4:$A$947,0),MATCH(Graphs!CL$4,Data!$B$3:$L$3,0)))</f>
        <v>224.51</v>
      </c>
      <c r="CM13" s="24">
        <f t="array" ref="CM13">IF(INDEX(Data!$B$4:$L$947,MATCH(Graphs!$CK13,Data!$A$4:$A$947,0),MATCH(Graphs!CM$4,Data!$B$3:$L$3,0))="n.q.",NA(),INDEX(Data!$B$4:$L$947,MATCH(Graphs!$CK13,Data!$A$4:$A$947,0),MATCH(Graphs!CM$4,Data!$B$3:$L$3,0)))</f>
        <v>234.06</v>
      </c>
      <c r="CN13" s="24">
        <f t="array" ref="CN13">IF(INDEX(Data!$B$4:$L$947,MATCH(Graphs!$CK13,Data!$A$4:$A$947,0),MATCH(Graphs!CN$4,Data!$B$3:$L$3,0))="n.q.",NA(),INDEX(Data!$B$4:$L$947,MATCH(Graphs!$CK13,Data!$A$4:$A$947,0),MATCH(Graphs!CN$4,Data!$B$3:$L$3,0)))</f>
        <v>215</v>
      </c>
      <c r="CO13" s="24" t="str">
        <f t="array" ref="CO13">IF(INDEX(Data!$B$4:$L$947,MATCH(Graphs!$CK13,Data!$A$4:$A$947,0),MATCH(Graphs!CO$4,Data!$B$3:$L$3,0))="n.q.",NA(),INDEX(Data!$B$4:$L$947,MATCH(Graphs!$CK13,Data!$A$4:$A$947,0),MATCH(Graphs!CO$4,Data!$B$3:$L$3,0)))</f>
        <v>#N/A</v>
      </c>
      <c r="CP13" s="24" t="str">
        <f t="array" ref="CP13">IF(INDEX(Data!$B$4:$L$947,MATCH(Graphs!$CK13,Data!$A$4:$A$947,0),MATCH(Graphs!CP$4,Data!$B$3:$L$3,0))="n.q.",NA(),INDEX(Data!$B$4:$L$947,MATCH(Graphs!$CK13,Data!$A$4:$A$947,0),MATCH(Graphs!CP$4,Data!$B$3:$L$3,0)))</f>
        <v>#N/A</v>
      </c>
      <c r="CQ13" s="5"/>
      <c r="CR13" s="24">
        <f t="array" ref="CR13">IF(INDEX(Data!$P$4:$Z$947,MATCH(Graphs!$CK13,Data!$A$4:$A$947,0),MATCH(Graphs!CR$4,Data!$P$3:$Z$3,0))="n.q.",NA(),INDEX(Data!$P$4:$Z$947,MATCH(Graphs!$CK13,Data!$A$4:$A$947,0),MATCH(Graphs!CR$4,Data!$P$3:$Z$3,0)))</f>
        <v>172.8453062</v>
      </c>
      <c r="CS13" s="24" t="str">
        <f t="array" ref="CS13">IF(INDEX(Data!$P$4:$Z$947,MATCH(Graphs!$CK13,Data!$A$4:$A$947,0),MATCH(Graphs!CS$4,Data!$P$3:$Z$3,0))="n.q.",NA(),INDEX(Data!$P$4:$Z$947,MATCH(Graphs!$CK13,Data!$A$4:$A$947,0),MATCH(Graphs!CS$4,Data!$P$3:$Z$3,0)))</f>
        <v>#N/A</v>
      </c>
      <c r="CT13" s="24">
        <f t="array" ref="CT13">IF(INDEX(Data!$P$4:$Z$947,MATCH(Graphs!$CK13,Data!$A$4:$A$947,0),MATCH(Graphs!CT$4,Data!$P$3:$Z$3,0))="n.q.",NA(),INDEX(Data!$P$4:$Z$947,MATCH(Graphs!$CK13,Data!$A$4:$A$947,0),MATCH(Graphs!CT$4,Data!$P$3:$Z$3,0)))</f>
        <v>184.504997</v>
      </c>
      <c r="CU13" s="24" t="str">
        <f t="array" ref="CU13">IF(INDEX(Data!$P$4:$Z$947,MATCH(Graphs!$CK13,Data!$A$4:$A$947,0),MATCH(Graphs!CU$4,Data!$P$3:$Z$3,0))="n.q.",NA(),INDEX(Data!$P$4:$Z$947,MATCH(Graphs!$CK13,Data!$A$4:$A$947,0),MATCH(Graphs!CU$4,Data!$P$3:$Z$3,0)))</f>
        <v>#N/A</v>
      </c>
      <c r="CV13" s="24" t="str">
        <f t="array" ref="CV13">IF(INDEX(Data!$P$4:$Z$947,MATCH(Graphs!$CK13,Data!$A$4:$A$947,0),MATCH(Graphs!CV$4,Data!$P$3:$Z$3,0))="n.q.",NA(),INDEX(Data!$P$4:$Z$947,MATCH(Graphs!$CK13,Data!$A$4:$A$947,0),MATCH(Graphs!CV$4,Data!$P$3:$Z$3,0)))</f>
        <v>#N/A</v>
      </c>
    </row>
    <row r="14" ht="15.75" customHeight="1">
      <c r="B14" s="14"/>
      <c r="C14" s="4"/>
      <c r="D14" s="4"/>
      <c r="E14" s="4"/>
      <c r="F14" s="4"/>
      <c r="G14" s="4"/>
      <c r="H14" s="4"/>
      <c r="I14" s="4"/>
      <c r="J14" s="4"/>
      <c r="K14" s="4"/>
      <c r="L14" s="21"/>
      <c r="N14" s="14"/>
      <c r="O14" s="4"/>
      <c r="P14" s="4"/>
      <c r="Q14" s="4"/>
      <c r="R14" s="4"/>
      <c r="S14" s="4"/>
      <c r="T14" s="4"/>
      <c r="U14" s="4"/>
      <c r="V14" s="4"/>
      <c r="W14" s="4"/>
      <c r="X14" s="21"/>
      <c r="Z14" s="4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4"/>
      <c r="CG14" s="4"/>
      <c r="CH14" s="4"/>
      <c r="CI14" s="4"/>
      <c r="CJ14" s="5"/>
      <c r="CK14" s="22">
        <f>Data!A13</f>
        <v>45903</v>
      </c>
      <c r="CL14" s="24">
        <f t="array" ref="CL14">IF(INDEX(Data!$B$4:$L$947,MATCH(Graphs!$CK14,Data!$A$4:$A$947,0),MATCH(Graphs!CL$4,Data!$B$3:$L$3,0))="n.q.",NA(),INDEX(Data!$B$4:$L$947,MATCH(Graphs!$CK14,Data!$A$4:$A$947,0),MATCH(Graphs!CL$4,Data!$B$3:$L$3,0)))</f>
        <v>224.93</v>
      </c>
      <c r="CM14" s="24">
        <f t="array" ref="CM14">IF(INDEX(Data!$B$4:$L$947,MATCH(Graphs!$CK14,Data!$A$4:$A$947,0),MATCH(Graphs!CM$4,Data!$B$3:$L$3,0))="n.q.",NA(),INDEX(Data!$B$4:$L$947,MATCH(Graphs!$CK14,Data!$A$4:$A$947,0),MATCH(Graphs!CM$4,Data!$B$3:$L$3,0)))</f>
        <v>226.98</v>
      </c>
      <c r="CN14" s="24">
        <f t="array" ref="CN14">IF(INDEX(Data!$B$4:$L$947,MATCH(Graphs!$CK14,Data!$A$4:$A$947,0),MATCH(Graphs!CN$4,Data!$B$3:$L$3,0))="n.q.",NA(),INDEX(Data!$B$4:$L$947,MATCH(Graphs!$CK14,Data!$A$4:$A$947,0),MATCH(Graphs!CN$4,Data!$B$3:$L$3,0)))</f>
        <v>211</v>
      </c>
      <c r="CO14" s="24" t="str">
        <f t="array" ref="CO14">IF(INDEX(Data!$B$4:$L$947,MATCH(Graphs!$CK14,Data!$A$4:$A$947,0),MATCH(Graphs!CO$4,Data!$B$3:$L$3,0))="n.q.",NA(),INDEX(Data!$B$4:$L$947,MATCH(Graphs!$CK14,Data!$A$4:$A$947,0),MATCH(Graphs!CO$4,Data!$B$3:$L$3,0)))</f>
        <v>#N/A</v>
      </c>
      <c r="CP14" s="24" t="str">
        <f t="array" ref="CP14">IF(INDEX(Data!$B$4:$L$947,MATCH(Graphs!$CK14,Data!$A$4:$A$947,0),MATCH(Graphs!CP$4,Data!$B$3:$L$3,0))="n.q.",NA(),INDEX(Data!$B$4:$L$947,MATCH(Graphs!$CK14,Data!$A$4:$A$947,0),MATCH(Graphs!CP$4,Data!$B$3:$L$3,0)))</f>
        <v>#N/A</v>
      </c>
      <c r="CQ14" s="5"/>
      <c r="CR14" s="24">
        <f t="array" ref="CR14">IF(INDEX(Data!$P$4:$Z$947,MATCH(Graphs!$CK14,Data!$A$4:$A$947,0),MATCH(Graphs!CR$4,Data!$P$3:$Z$3,0))="n.q.",NA(),INDEX(Data!$P$4:$Z$947,MATCH(Graphs!$CK14,Data!$A$4:$A$947,0),MATCH(Graphs!CR$4,Data!$P$3:$Z$3,0)))</f>
        <v>178.0399897</v>
      </c>
      <c r="CS14" s="24" t="str">
        <f t="array" ref="CS14">IF(INDEX(Data!$P$4:$Z$947,MATCH(Graphs!$CK14,Data!$A$4:$A$947,0),MATCH(Graphs!CS$4,Data!$P$3:$Z$3,0))="n.q.",NA(),INDEX(Data!$P$4:$Z$947,MATCH(Graphs!$CK14,Data!$A$4:$A$947,0),MATCH(Graphs!CS$4,Data!$P$3:$Z$3,0)))</f>
        <v>#N/A</v>
      </c>
      <c r="CT14" s="24">
        <f t="array" ref="CT14">IF(INDEX(Data!$P$4:$Z$947,MATCH(Graphs!$CK14,Data!$A$4:$A$947,0),MATCH(Graphs!CT$4,Data!$P$3:$Z$3,0))="n.q.",NA(),INDEX(Data!$P$4:$Z$947,MATCH(Graphs!$CK14,Data!$A$4:$A$947,0),MATCH(Graphs!CT$4,Data!$P$3:$Z$3,0)))</f>
        <v>197.3740668</v>
      </c>
      <c r="CU14" s="24" t="str">
        <f t="array" ref="CU14">IF(INDEX(Data!$P$4:$Z$947,MATCH(Graphs!$CK14,Data!$A$4:$A$947,0),MATCH(Graphs!CU$4,Data!$P$3:$Z$3,0))="n.q.",NA(),INDEX(Data!$P$4:$Z$947,MATCH(Graphs!$CK14,Data!$A$4:$A$947,0),MATCH(Graphs!CU$4,Data!$P$3:$Z$3,0)))</f>
        <v>#N/A</v>
      </c>
      <c r="CV14" s="24" t="str">
        <f t="array" ref="CV14">IF(INDEX(Data!$P$4:$Z$947,MATCH(Graphs!$CK14,Data!$A$4:$A$947,0),MATCH(Graphs!CV$4,Data!$P$3:$Z$3,0))="n.q.",NA(),INDEX(Data!$P$4:$Z$947,MATCH(Graphs!$CK14,Data!$A$4:$A$947,0),MATCH(Graphs!CV$4,Data!$P$3:$Z$3,0)))</f>
        <v>#N/A</v>
      </c>
    </row>
    <row r="15" ht="15.75" customHeight="1">
      <c r="B15" s="14"/>
      <c r="C15" s="4"/>
      <c r="D15" s="4"/>
      <c r="E15" s="4"/>
      <c r="F15" s="4"/>
      <c r="G15" s="4"/>
      <c r="H15" s="4"/>
      <c r="I15" s="4"/>
      <c r="J15" s="4"/>
      <c r="K15" s="4"/>
      <c r="L15" s="21"/>
      <c r="N15" s="14"/>
      <c r="O15" s="4"/>
      <c r="P15" s="4"/>
      <c r="Q15" s="4"/>
      <c r="R15" s="4"/>
      <c r="S15" s="4"/>
      <c r="T15" s="4"/>
      <c r="U15" s="4"/>
      <c r="V15" s="4"/>
      <c r="W15" s="4"/>
      <c r="X15" s="21"/>
      <c r="Z15" s="4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4"/>
      <c r="CG15" s="4"/>
      <c r="CH15" s="4"/>
      <c r="CI15" s="4"/>
      <c r="CJ15" s="5"/>
      <c r="CK15" s="22">
        <f>Data!A14</f>
        <v>45896</v>
      </c>
      <c r="CL15" s="24">
        <f t="array" ref="CL15">IF(INDEX(Data!$B$4:$L$947,MATCH(Graphs!$CK15,Data!$A$4:$A$947,0),MATCH(Graphs!CL$4,Data!$B$3:$L$3,0))="n.q.",NA(),INDEX(Data!$B$4:$L$947,MATCH(Graphs!$CK15,Data!$A$4:$A$947,0),MATCH(Graphs!CL$4,Data!$B$3:$L$3,0)))</f>
        <v>230.15</v>
      </c>
      <c r="CM15" s="24">
        <f t="array" ref="CM15">IF(INDEX(Data!$B$4:$L$947,MATCH(Graphs!$CK15,Data!$A$4:$A$947,0),MATCH(Graphs!CM$4,Data!$B$3:$L$3,0))="n.q.",NA(),INDEX(Data!$B$4:$L$947,MATCH(Graphs!$CK15,Data!$A$4:$A$947,0),MATCH(Graphs!CM$4,Data!$B$3:$L$3,0)))</f>
        <v>226.16</v>
      </c>
      <c r="CN15" s="24">
        <f t="array" ref="CN15">IF(INDEX(Data!$B$4:$L$947,MATCH(Graphs!$CK15,Data!$A$4:$A$947,0),MATCH(Graphs!CN$4,Data!$B$3:$L$3,0))="n.q.",NA(),INDEX(Data!$B$4:$L$947,MATCH(Graphs!$CK15,Data!$A$4:$A$947,0),MATCH(Graphs!CN$4,Data!$B$3:$L$3,0)))</f>
        <v>213</v>
      </c>
      <c r="CO15" s="24" t="str">
        <f t="array" ref="CO15">IF(INDEX(Data!$B$4:$L$947,MATCH(Graphs!$CK15,Data!$A$4:$A$947,0),MATCH(Graphs!CO$4,Data!$B$3:$L$3,0))="n.q.",NA(),INDEX(Data!$B$4:$L$947,MATCH(Graphs!$CK15,Data!$A$4:$A$947,0),MATCH(Graphs!CO$4,Data!$B$3:$L$3,0)))</f>
        <v>#N/A</v>
      </c>
      <c r="CP15" s="24" t="str">
        <f t="array" ref="CP15">IF(INDEX(Data!$B$4:$L$947,MATCH(Graphs!$CK15,Data!$A$4:$A$947,0),MATCH(Graphs!CP$4,Data!$B$3:$L$3,0))="n.q.",NA(),INDEX(Data!$B$4:$L$947,MATCH(Graphs!$CK15,Data!$A$4:$A$947,0),MATCH(Graphs!CP$4,Data!$B$3:$L$3,0)))</f>
        <v>#N/A</v>
      </c>
      <c r="CQ15" s="5"/>
      <c r="CR15" s="24">
        <f t="array" ref="CR15">IF(INDEX(Data!$P$4:$Z$947,MATCH(Graphs!$CK15,Data!$A$4:$A$947,0),MATCH(Graphs!CR$4,Data!$P$3:$Z$3,0))="n.q.",NA(),INDEX(Data!$P$4:$Z$947,MATCH(Graphs!$CK15,Data!$A$4:$A$947,0),MATCH(Graphs!CR$4,Data!$P$3:$Z$3,0)))</f>
        <v>174.381092</v>
      </c>
      <c r="CS15" s="24" t="str">
        <f t="array" ref="CS15">IF(INDEX(Data!$P$4:$Z$947,MATCH(Graphs!$CK15,Data!$A$4:$A$947,0),MATCH(Graphs!CS$4,Data!$P$3:$Z$3,0))="n.q.",NA(),INDEX(Data!$P$4:$Z$947,MATCH(Graphs!$CK15,Data!$A$4:$A$947,0),MATCH(Graphs!CS$4,Data!$P$3:$Z$3,0)))</f>
        <v>#N/A</v>
      </c>
      <c r="CT15" s="24">
        <f t="array" ref="CT15">IF(INDEX(Data!$P$4:$Z$947,MATCH(Graphs!$CK15,Data!$A$4:$A$947,0),MATCH(Graphs!CT$4,Data!$P$3:$Z$3,0))="n.q.",NA(),INDEX(Data!$P$4:$Z$947,MATCH(Graphs!$CK15,Data!$A$4:$A$947,0),MATCH(Graphs!CT$4,Data!$P$3:$Z$3,0)))</f>
        <v>209.609247</v>
      </c>
      <c r="CU15" s="24" t="str">
        <f t="array" ref="CU15">IF(INDEX(Data!$P$4:$Z$947,MATCH(Graphs!$CK15,Data!$A$4:$A$947,0),MATCH(Graphs!CU$4,Data!$P$3:$Z$3,0))="n.q.",NA(),INDEX(Data!$P$4:$Z$947,MATCH(Graphs!$CK15,Data!$A$4:$A$947,0),MATCH(Graphs!CU$4,Data!$P$3:$Z$3,0)))</f>
        <v>#N/A</v>
      </c>
      <c r="CV15" s="24" t="str">
        <f t="array" ref="CV15">IF(INDEX(Data!$P$4:$Z$947,MATCH(Graphs!$CK15,Data!$A$4:$A$947,0),MATCH(Graphs!CV$4,Data!$P$3:$Z$3,0))="n.q.",NA(),INDEX(Data!$P$4:$Z$947,MATCH(Graphs!$CK15,Data!$A$4:$A$947,0),MATCH(Graphs!CV$4,Data!$P$3:$Z$3,0)))</f>
        <v>#N/A</v>
      </c>
    </row>
    <row r="16" ht="15.75" customHeight="1">
      <c r="B16" s="14"/>
      <c r="C16" s="4"/>
      <c r="D16" s="4"/>
      <c r="E16" s="4"/>
      <c r="F16" s="4"/>
      <c r="G16" s="4"/>
      <c r="H16" s="4"/>
      <c r="I16" s="4"/>
      <c r="J16" s="4"/>
      <c r="K16" s="4"/>
      <c r="L16" s="21"/>
      <c r="N16" s="14"/>
      <c r="O16" s="4"/>
      <c r="P16" s="4"/>
      <c r="Q16" s="4"/>
      <c r="R16" s="4"/>
      <c r="S16" s="4"/>
      <c r="T16" s="4"/>
      <c r="U16" s="4"/>
      <c r="V16" s="4"/>
      <c r="W16" s="4"/>
      <c r="X16" s="21"/>
      <c r="Z16" s="4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4"/>
      <c r="CG16" s="4"/>
      <c r="CH16" s="4"/>
      <c r="CI16" s="4"/>
      <c r="CJ16" s="5"/>
      <c r="CK16" s="22">
        <f>Data!A15</f>
        <v>45889</v>
      </c>
      <c r="CL16" s="24">
        <f t="array" ref="CL16">IF(INDEX(Data!$B$4:$L$947,MATCH(Graphs!$CK16,Data!$A$4:$A$947,0),MATCH(Graphs!CL$4,Data!$B$3:$L$3,0))="n.q.",NA(),INDEX(Data!$B$4:$L$947,MATCH(Graphs!$CK16,Data!$A$4:$A$947,0),MATCH(Graphs!CL$4,Data!$B$3:$L$3,0)))</f>
        <v>232.63</v>
      </c>
      <c r="CM16" s="24">
        <f t="array" ref="CM16">IF(INDEX(Data!$B$4:$L$947,MATCH(Graphs!$CK16,Data!$A$4:$A$947,0),MATCH(Graphs!CM$4,Data!$B$3:$L$3,0))="n.q.",NA(),INDEX(Data!$B$4:$L$947,MATCH(Graphs!$CK16,Data!$A$4:$A$947,0),MATCH(Graphs!CM$4,Data!$B$3:$L$3,0)))</f>
        <v>231.76</v>
      </c>
      <c r="CN16" s="24">
        <f t="array" ref="CN16">IF(INDEX(Data!$B$4:$L$947,MATCH(Graphs!$CK16,Data!$A$4:$A$947,0),MATCH(Graphs!CN$4,Data!$B$3:$L$3,0))="n.q.",NA(),INDEX(Data!$B$4:$L$947,MATCH(Graphs!$CK16,Data!$A$4:$A$947,0),MATCH(Graphs!CN$4,Data!$B$3:$L$3,0)))</f>
        <v>215</v>
      </c>
      <c r="CO16" s="24" t="str">
        <f t="array" ref="CO16">IF(INDEX(Data!$B$4:$L$947,MATCH(Graphs!$CK16,Data!$A$4:$A$947,0),MATCH(Graphs!CO$4,Data!$B$3:$L$3,0))="n.q.",NA(),INDEX(Data!$B$4:$L$947,MATCH(Graphs!$CK16,Data!$A$4:$A$947,0),MATCH(Graphs!CO$4,Data!$B$3:$L$3,0)))</f>
        <v>#N/A</v>
      </c>
      <c r="CP16" s="24" t="str">
        <f t="array" ref="CP16">IF(INDEX(Data!$B$4:$L$947,MATCH(Graphs!$CK16,Data!$A$4:$A$947,0),MATCH(Graphs!CP$4,Data!$B$3:$L$3,0))="n.q.",NA(),INDEX(Data!$B$4:$L$947,MATCH(Graphs!$CK16,Data!$A$4:$A$947,0),MATCH(Graphs!CP$4,Data!$B$3:$L$3,0)))</f>
        <v>#N/A</v>
      </c>
      <c r="CQ16" s="5"/>
      <c r="CR16" s="24">
        <f t="array" ref="CR16">IF(INDEX(Data!$P$4:$Z$947,MATCH(Graphs!$CK16,Data!$A$4:$A$947,0),MATCH(Graphs!CR$4,Data!$P$3:$Z$3,0))="n.q.",NA(),INDEX(Data!$P$4:$Z$947,MATCH(Graphs!$CK16,Data!$A$4:$A$947,0),MATCH(Graphs!CR$4,Data!$P$3:$Z$3,0)))</f>
        <v>172.6632907</v>
      </c>
      <c r="CS16" s="24" t="str">
        <f t="array" ref="CS16">IF(INDEX(Data!$P$4:$Z$947,MATCH(Graphs!$CK16,Data!$A$4:$A$947,0),MATCH(Graphs!CS$4,Data!$P$3:$Z$3,0))="n.q.",NA(),INDEX(Data!$P$4:$Z$947,MATCH(Graphs!$CK16,Data!$A$4:$A$947,0),MATCH(Graphs!CS$4,Data!$P$3:$Z$3,0)))</f>
        <v>#N/A</v>
      </c>
      <c r="CT16" s="24">
        <f t="array" ref="CT16">IF(INDEX(Data!$P$4:$Z$947,MATCH(Graphs!$CK16,Data!$A$4:$A$947,0),MATCH(Graphs!CT$4,Data!$P$3:$Z$3,0))="n.q.",NA(),INDEX(Data!$P$4:$Z$947,MATCH(Graphs!$CK16,Data!$A$4:$A$947,0),MATCH(Graphs!CT$4,Data!$P$3:$Z$3,0)))</f>
        <v>208.5657883</v>
      </c>
      <c r="CU16" s="24" t="str">
        <f t="array" ref="CU16">IF(INDEX(Data!$P$4:$Z$947,MATCH(Graphs!$CK16,Data!$A$4:$A$947,0),MATCH(Graphs!CU$4,Data!$P$3:$Z$3,0))="n.q.",NA(),INDEX(Data!$P$4:$Z$947,MATCH(Graphs!$CK16,Data!$A$4:$A$947,0),MATCH(Graphs!CU$4,Data!$P$3:$Z$3,0)))</f>
        <v>#N/A</v>
      </c>
      <c r="CV16" s="24" t="str">
        <f t="array" ref="CV16">IF(INDEX(Data!$P$4:$Z$947,MATCH(Graphs!$CK16,Data!$A$4:$A$947,0),MATCH(Graphs!CV$4,Data!$P$3:$Z$3,0))="n.q.",NA(),INDEX(Data!$P$4:$Z$947,MATCH(Graphs!$CK16,Data!$A$4:$A$947,0),MATCH(Graphs!CV$4,Data!$P$3:$Z$3,0)))</f>
        <v>#N/A</v>
      </c>
    </row>
    <row r="17" ht="15.75" customHeight="1">
      <c r="B17" s="14"/>
      <c r="C17" s="4"/>
      <c r="D17" s="4"/>
      <c r="E17" s="4"/>
      <c r="F17" s="4"/>
      <c r="G17" s="4"/>
      <c r="H17" s="4"/>
      <c r="I17" s="4"/>
      <c r="J17" s="4"/>
      <c r="K17" s="4"/>
      <c r="L17" s="21"/>
      <c r="N17" s="14"/>
      <c r="O17" s="4"/>
      <c r="P17" s="4"/>
      <c r="Q17" s="4"/>
      <c r="R17" s="4"/>
      <c r="S17" s="4"/>
      <c r="T17" s="4"/>
      <c r="U17" s="4"/>
      <c r="V17" s="4"/>
      <c r="W17" s="4"/>
      <c r="X17" s="21"/>
      <c r="Z17" s="4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4"/>
      <c r="CG17" s="4"/>
      <c r="CH17" s="4"/>
      <c r="CI17" s="4"/>
      <c r="CJ17" s="5"/>
      <c r="CK17" s="22">
        <f>Data!A16</f>
        <v>45882</v>
      </c>
      <c r="CL17" s="24">
        <f t="array" ref="CL17">IF(INDEX(Data!$B$4:$L$947,MATCH(Graphs!$CK17,Data!$A$4:$A$947,0),MATCH(Graphs!CL$4,Data!$B$3:$L$3,0))="n.q.",NA(),INDEX(Data!$B$4:$L$947,MATCH(Graphs!$CK17,Data!$A$4:$A$947,0),MATCH(Graphs!CL$4,Data!$B$3:$L$3,0)))</f>
        <v>237.46</v>
      </c>
      <c r="CM17" s="24">
        <f t="array" ref="CM17">IF(INDEX(Data!$B$4:$L$947,MATCH(Graphs!$CK17,Data!$A$4:$A$947,0),MATCH(Graphs!CM$4,Data!$B$3:$L$3,0))="n.q.",NA(),INDEX(Data!$B$4:$L$947,MATCH(Graphs!$CK17,Data!$A$4:$A$947,0),MATCH(Graphs!CM$4,Data!$B$3:$L$3,0)))</f>
        <v>230.29</v>
      </c>
      <c r="CN17" s="24">
        <f t="array" ref="CN17">IF(INDEX(Data!$B$4:$L$947,MATCH(Graphs!$CK17,Data!$A$4:$A$947,0),MATCH(Graphs!CN$4,Data!$B$3:$L$3,0))="n.q.",NA(),INDEX(Data!$B$4:$L$947,MATCH(Graphs!$CK17,Data!$A$4:$A$947,0),MATCH(Graphs!CN$4,Data!$B$3:$L$3,0)))</f>
        <v>222</v>
      </c>
      <c r="CO17" s="24" t="str">
        <f t="array" ref="CO17">IF(INDEX(Data!$B$4:$L$947,MATCH(Graphs!$CK17,Data!$A$4:$A$947,0),MATCH(Graphs!CO$4,Data!$B$3:$L$3,0))="n.q.",NA(),INDEX(Data!$B$4:$L$947,MATCH(Graphs!$CK17,Data!$A$4:$A$947,0),MATCH(Graphs!CO$4,Data!$B$3:$L$3,0)))</f>
        <v>#N/A</v>
      </c>
      <c r="CP17" s="24" t="str">
        <f t="array" ref="CP17">IF(INDEX(Data!$B$4:$L$947,MATCH(Graphs!$CK17,Data!$A$4:$A$947,0),MATCH(Graphs!CP$4,Data!$B$3:$L$3,0))="n.q.",NA(),INDEX(Data!$B$4:$L$947,MATCH(Graphs!$CK17,Data!$A$4:$A$947,0),MATCH(Graphs!CP$4,Data!$B$3:$L$3,0)))</f>
        <v>#N/A</v>
      </c>
      <c r="CQ17" s="5"/>
      <c r="CR17" s="24">
        <f t="array" ref="CR17">IF(INDEX(Data!$P$4:$Z$947,MATCH(Graphs!$CK17,Data!$A$4:$A$947,0),MATCH(Graphs!CR$4,Data!$P$3:$Z$3,0))="n.q.",NA(),INDEX(Data!$P$4:$Z$947,MATCH(Graphs!$CK17,Data!$A$4:$A$947,0),MATCH(Graphs!CR$4,Data!$P$3:$Z$3,0)))</f>
        <v>168.7558705</v>
      </c>
      <c r="CS17" s="24" t="str">
        <f t="array" ref="CS17">IF(INDEX(Data!$P$4:$Z$947,MATCH(Graphs!$CK17,Data!$A$4:$A$947,0),MATCH(Graphs!CS$4,Data!$P$3:$Z$3,0))="n.q.",NA(),INDEX(Data!$P$4:$Z$947,MATCH(Graphs!$CK17,Data!$A$4:$A$947,0),MATCH(Graphs!CS$4,Data!$P$3:$Z$3,0)))</f>
        <v>#N/A</v>
      </c>
      <c r="CT17" s="24">
        <f t="array" ref="CT17">IF(INDEX(Data!$P$4:$Z$947,MATCH(Graphs!$CK17,Data!$A$4:$A$947,0),MATCH(Graphs!CT$4,Data!$P$3:$Z$3,0))="n.q.",NA(),INDEX(Data!$P$4:$Z$947,MATCH(Graphs!$CK17,Data!$A$4:$A$947,0),MATCH(Graphs!CT$4,Data!$P$3:$Z$3,0)))</f>
        <v>208.3511229</v>
      </c>
      <c r="CU17" s="24" t="str">
        <f t="array" ref="CU17">IF(INDEX(Data!$P$4:$Z$947,MATCH(Graphs!$CK17,Data!$A$4:$A$947,0),MATCH(Graphs!CU$4,Data!$P$3:$Z$3,0))="n.q.",NA(),INDEX(Data!$P$4:$Z$947,MATCH(Graphs!$CK17,Data!$A$4:$A$947,0),MATCH(Graphs!CU$4,Data!$P$3:$Z$3,0)))</f>
        <v>#N/A</v>
      </c>
      <c r="CV17" s="24" t="str">
        <f t="array" ref="CV17">IF(INDEX(Data!$P$4:$Z$947,MATCH(Graphs!$CK17,Data!$A$4:$A$947,0),MATCH(Graphs!CV$4,Data!$P$3:$Z$3,0))="n.q.",NA(),INDEX(Data!$P$4:$Z$947,MATCH(Graphs!$CK17,Data!$A$4:$A$947,0),MATCH(Graphs!CV$4,Data!$P$3:$Z$3,0)))</f>
        <v>#N/A</v>
      </c>
    </row>
    <row r="18" ht="15.75" customHeight="1">
      <c r="B18" s="14"/>
      <c r="C18" s="4"/>
      <c r="D18" s="4"/>
      <c r="E18" s="4"/>
      <c r="F18" s="4"/>
      <c r="G18" s="4"/>
      <c r="H18" s="4"/>
      <c r="I18" s="4"/>
      <c r="J18" s="4"/>
      <c r="K18" s="4"/>
      <c r="L18" s="21"/>
      <c r="N18" s="14"/>
      <c r="O18" s="4"/>
      <c r="P18" s="4"/>
      <c r="Q18" s="4"/>
      <c r="R18" s="4"/>
      <c r="S18" s="4"/>
      <c r="T18" s="4"/>
      <c r="U18" s="4"/>
      <c r="V18" s="4"/>
      <c r="W18" s="4"/>
      <c r="X18" s="2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5"/>
      <c r="CK18" s="22">
        <f>Data!A17</f>
        <v>45875</v>
      </c>
      <c r="CL18" s="24">
        <f t="array" ref="CL18">IF(INDEX(Data!$B$4:$L$947,MATCH(Graphs!$CK18,Data!$A$4:$A$947,0),MATCH(Graphs!CL$4,Data!$B$3:$L$3,0))="n.q.",NA(),INDEX(Data!$B$4:$L$947,MATCH(Graphs!$CK18,Data!$A$4:$A$947,0),MATCH(Graphs!CL$4,Data!$B$3:$L$3,0)))</f>
        <v>233.77</v>
      </c>
      <c r="CM18" s="24">
        <f t="array" ref="CM18">IF(INDEX(Data!$B$4:$L$947,MATCH(Graphs!$CK18,Data!$A$4:$A$947,0),MATCH(Graphs!CM$4,Data!$B$3:$L$3,0))="n.q.",NA(),INDEX(Data!$B$4:$L$947,MATCH(Graphs!$CK18,Data!$A$4:$A$947,0),MATCH(Graphs!CM$4,Data!$B$3:$L$3,0)))</f>
        <v>230.2</v>
      </c>
      <c r="CN18" s="24">
        <f t="array" ref="CN18">IF(INDEX(Data!$B$4:$L$947,MATCH(Graphs!$CK18,Data!$A$4:$A$947,0),MATCH(Graphs!CN$4,Data!$B$3:$L$3,0))="n.q.",NA(),INDEX(Data!$B$4:$L$947,MATCH(Graphs!$CK18,Data!$A$4:$A$947,0),MATCH(Graphs!CN$4,Data!$B$3:$L$3,0)))</f>
        <v>224</v>
      </c>
      <c r="CO18" s="24" t="str">
        <f t="array" ref="CO18">IF(INDEX(Data!$B$4:$L$947,MATCH(Graphs!$CK18,Data!$A$4:$A$947,0),MATCH(Graphs!CO$4,Data!$B$3:$L$3,0))="n.q.",NA(),INDEX(Data!$B$4:$L$947,MATCH(Graphs!$CK18,Data!$A$4:$A$947,0),MATCH(Graphs!CO$4,Data!$B$3:$L$3,0)))</f>
        <v>#N/A</v>
      </c>
      <c r="CP18" s="24" t="str">
        <f t="array" ref="CP18">IF(INDEX(Data!$B$4:$L$947,MATCH(Graphs!$CK18,Data!$A$4:$A$947,0),MATCH(Graphs!CP$4,Data!$B$3:$L$3,0))="n.q.",NA(),INDEX(Data!$B$4:$L$947,MATCH(Graphs!$CK18,Data!$A$4:$A$947,0),MATCH(Graphs!CP$4,Data!$B$3:$L$3,0)))</f>
        <v>#N/A</v>
      </c>
      <c r="CQ18" s="5"/>
      <c r="CR18" s="24">
        <f t="array" ref="CR18">IF(INDEX(Data!$P$4:$Z$947,MATCH(Graphs!$CK18,Data!$A$4:$A$947,0),MATCH(Graphs!CR$4,Data!$P$3:$Z$3,0))="n.q.",NA(),INDEX(Data!$P$4:$Z$947,MATCH(Graphs!$CK18,Data!$A$4:$A$947,0),MATCH(Graphs!CR$4,Data!$P$3:$Z$3,0)))</f>
        <v>167.847294</v>
      </c>
      <c r="CS18" s="24" t="str">
        <f t="array" ref="CS18">IF(INDEX(Data!$P$4:$Z$947,MATCH(Graphs!$CK18,Data!$A$4:$A$947,0),MATCH(Graphs!CS$4,Data!$P$3:$Z$3,0))="n.q.",NA(),INDEX(Data!$P$4:$Z$947,MATCH(Graphs!$CK18,Data!$A$4:$A$947,0),MATCH(Graphs!CS$4,Data!$P$3:$Z$3,0)))</f>
        <v>#N/A</v>
      </c>
      <c r="CT18" s="24">
        <f t="array" ref="CT18">IF(INDEX(Data!$P$4:$Z$947,MATCH(Graphs!$CK18,Data!$A$4:$A$947,0),MATCH(Graphs!CT$4,Data!$P$3:$Z$3,0))="n.q.",NA(),INDEX(Data!$P$4:$Z$947,MATCH(Graphs!$CK18,Data!$A$4:$A$947,0),MATCH(Graphs!CT$4,Data!$P$3:$Z$3,0)))</f>
        <v>211.1340917</v>
      </c>
      <c r="CU18" s="24" t="str">
        <f t="array" ref="CU18">IF(INDEX(Data!$P$4:$Z$947,MATCH(Graphs!$CK18,Data!$A$4:$A$947,0),MATCH(Graphs!CU$4,Data!$P$3:$Z$3,0))="n.q.",NA(),INDEX(Data!$P$4:$Z$947,MATCH(Graphs!$CK18,Data!$A$4:$A$947,0),MATCH(Graphs!CU$4,Data!$P$3:$Z$3,0)))</f>
        <v>#N/A</v>
      </c>
      <c r="CV18" s="24" t="str">
        <f t="array" ref="CV18">IF(INDEX(Data!$P$4:$Z$947,MATCH(Graphs!$CK18,Data!$A$4:$A$947,0),MATCH(Graphs!CV$4,Data!$P$3:$Z$3,0))="n.q.",NA(),INDEX(Data!$P$4:$Z$947,MATCH(Graphs!$CK18,Data!$A$4:$A$947,0),MATCH(Graphs!CV$4,Data!$P$3:$Z$3,0)))</f>
        <v>#N/A</v>
      </c>
    </row>
    <row r="19" ht="15.75" customHeight="1">
      <c r="B19" s="14"/>
      <c r="C19" s="4"/>
      <c r="D19" s="4"/>
      <c r="E19" s="4"/>
      <c r="F19" s="4"/>
      <c r="G19" s="4"/>
      <c r="H19" s="4"/>
      <c r="I19" s="4"/>
      <c r="J19" s="4"/>
      <c r="K19" s="4"/>
      <c r="L19" s="21"/>
      <c r="N19" s="14"/>
      <c r="O19" s="4"/>
      <c r="P19" s="4"/>
      <c r="Q19" s="4"/>
      <c r="R19" s="4"/>
      <c r="S19" s="4"/>
      <c r="T19" s="4"/>
      <c r="U19" s="4"/>
      <c r="V19" s="4"/>
      <c r="W19" s="4"/>
      <c r="X19" s="2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5"/>
      <c r="CK19" s="22">
        <f>Data!A18</f>
        <v>45868</v>
      </c>
      <c r="CL19" s="24">
        <f t="array" ref="CL19">IF(INDEX(Data!$B$4:$L$947,MATCH(Graphs!$CK19,Data!$A$4:$A$947,0),MATCH(Graphs!CL$4,Data!$B$3:$L$3,0))="n.q.",NA(),INDEX(Data!$B$4:$L$947,MATCH(Graphs!$CK19,Data!$A$4:$A$947,0),MATCH(Graphs!CL$4,Data!$B$3:$L$3,0)))</f>
        <v>232.49</v>
      </c>
      <c r="CM19" s="24">
        <f t="array" ref="CM19">IF(INDEX(Data!$B$4:$L$947,MATCH(Graphs!$CK19,Data!$A$4:$A$947,0),MATCH(Graphs!CM$4,Data!$B$3:$L$3,0))="n.q.",NA(),INDEX(Data!$B$4:$L$947,MATCH(Graphs!$CK19,Data!$A$4:$A$947,0),MATCH(Graphs!CM$4,Data!$B$3:$L$3,0)))</f>
        <v>234.06</v>
      </c>
      <c r="CN19" s="24">
        <f t="array" ref="CN19">IF(INDEX(Data!$B$4:$L$947,MATCH(Graphs!$CK19,Data!$A$4:$A$947,0),MATCH(Graphs!CN$4,Data!$B$3:$L$3,0))="n.q.",NA(),INDEX(Data!$B$4:$L$947,MATCH(Graphs!$CK19,Data!$A$4:$A$947,0),MATCH(Graphs!CN$4,Data!$B$3:$L$3,0)))</f>
        <v>225</v>
      </c>
      <c r="CO19" s="24" t="str">
        <f t="array" ref="CO19">IF(INDEX(Data!$B$4:$L$947,MATCH(Graphs!$CK19,Data!$A$4:$A$947,0),MATCH(Graphs!CO$4,Data!$B$3:$L$3,0))="n.q.",NA(),INDEX(Data!$B$4:$L$947,MATCH(Graphs!$CK19,Data!$A$4:$A$947,0),MATCH(Graphs!CO$4,Data!$B$3:$L$3,0)))</f>
        <v>#N/A</v>
      </c>
      <c r="CP19" s="24" t="str">
        <f t="array" ref="CP19">IF(INDEX(Data!$B$4:$L$947,MATCH(Graphs!$CK19,Data!$A$4:$A$947,0),MATCH(Graphs!CP$4,Data!$B$3:$L$3,0))="n.q.",NA(),INDEX(Data!$B$4:$L$947,MATCH(Graphs!$CK19,Data!$A$4:$A$947,0),MATCH(Graphs!CP$4,Data!$B$3:$L$3,0)))</f>
        <v>#N/A</v>
      </c>
      <c r="CQ19" s="5"/>
      <c r="CR19" s="24">
        <f t="array" ref="CR19">IF(INDEX(Data!$P$4:$Z$947,MATCH(Graphs!$CK19,Data!$A$4:$A$947,0),MATCH(Graphs!CR$4,Data!$P$3:$Z$3,0))="n.q.",NA(),INDEX(Data!$P$4:$Z$947,MATCH(Graphs!$CK19,Data!$A$4:$A$947,0),MATCH(Graphs!CR$4,Data!$P$3:$Z$3,0)))</f>
        <v>170.3392036</v>
      </c>
      <c r="CS19" s="24" t="str">
        <f t="array" ref="CS19">IF(INDEX(Data!$P$4:$Z$947,MATCH(Graphs!$CK19,Data!$A$4:$A$947,0),MATCH(Graphs!CS$4,Data!$P$3:$Z$3,0))="n.q.",NA(),INDEX(Data!$P$4:$Z$947,MATCH(Graphs!$CK19,Data!$A$4:$A$947,0),MATCH(Graphs!CS$4,Data!$P$3:$Z$3,0)))</f>
        <v>#N/A</v>
      </c>
      <c r="CT19" s="24">
        <f t="array" ref="CT19">IF(INDEX(Data!$P$4:$Z$947,MATCH(Graphs!$CK19,Data!$A$4:$A$947,0),MATCH(Graphs!CT$4,Data!$P$3:$Z$3,0))="n.q.",NA(),INDEX(Data!$P$4:$Z$947,MATCH(Graphs!$CK19,Data!$A$4:$A$947,0),MATCH(Graphs!CT$4,Data!$P$3:$Z$3,0)))</f>
        <v>210.809404</v>
      </c>
      <c r="CU19" s="24" t="str">
        <f t="array" ref="CU19">IF(INDEX(Data!$P$4:$Z$947,MATCH(Graphs!$CK19,Data!$A$4:$A$947,0),MATCH(Graphs!CU$4,Data!$P$3:$Z$3,0))="n.q.",NA(),INDEX(Data!$P$4:$Z$947,MATCH(Graphs!$CK19,Data!$A$4:$A$947,0),MATCH(Graphs!CU$4,Data!$P$3:$Z$3,0)))</f>
        <v>#N/A</v>
      </c>
      <c r="CV19" s="24" t="str">
        <f t="array" ref="CV19">IF(INDEX(Data!$P$4:$Z$947,MATCH(Graphs!$CK19,Data!$A$4:$A$947,0),MATCH(Graphs!CV$4,Data!$P$3:$Z$3,0))="n.q.",NA(),INDEX(Data!$P$4:$Z$947,MATCH(Graphs!$CK19,Data!$A$4:$A$947,0),MATCH(Graphs!CV$4,Data!$P$3:$Z$3,0)))</f>
        <v>#N/A</v>
      </c>
    </row>
    <row r="20" ht="15.75" customHeight="1">
      <c r="B20" s="14"/>
      <c r="C20" s="4"/>
      <c r="D20" s="4"/>
      <c r="E20" s="4"/>
      <c r="F20" s="4"/>
      <c r="G20" s="4"/>
      <c r="H20" s="4"/>
      <c r="I20" s="4"/>
      <c r="J20" s="4"/>
      <c r="K20" s="4"/>
      <c r="L20" s="21"/>
      <c r="N20" s="14"/>
      <c r="O20" s="4"/>
      <c r="P20" s="4"/>
      <c r="Q20" s="4"/>
      <c r="R20" s="4"/>
      <c r="S20" s="4"/>
      <c r="T20" s="4"/>
      <c r="U20" s="4"/>
      <c r="V20" s="4"/>
      <c r="W20" s="4"/>
      <c r="X20" s="2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5"/>
      <c r="CK20" s="22">
        <f>Data!A19</f>
        <v>45861</v>
      </c>
      <c r="CL20" s="24">
        <f t="array" ref="CL20">IF(INDEX(Data!$B$4:$L$947,MATCH(Graphs!$CK20,Data!$A$4:$A$947,0),MATCH(Graphs!CL$4,Data!$B$3:$L$3,0))="n.q.",NA(),INDEX(Data!$B$4:$L$947,MATCH(Graphs!$CK20,Data!$A$4:$A$947,0),MATCH(Graphs!CL$4,Data!$B$3:$L$3,0)))</f>
        <v>237.03</v>
      </c>
      <c r="CM20" s="24">
        <f t="array" ref="CM20">IF(INDEX(Data!$B$4:$L$947,MATCH(Graphs!$CK20,Data!$A$4:$A$947,0),MATCH(Graphs!CM$4,Data!$B$3:$L$3,0))="n.q.",NA(),INDEX(Data!$B$4:$L$947,MATCH(Graphs!$CK20,Data!$A$4:$A$947,0),MATCH(Graphs!CM$4,Data!$B$3:$L$3,0)))</f>
        <v>232.77</v>
      </c>
      <c r="CN20" s="24">
        <f t="array" ref="CN20">IF(INDEX(Data!$B$4:$L$947,MATCH(Graphs!$CK20,Data!$A$4:$A$947,0),MATCH(Graphs!CN$4,Data!$B$3:$L$3,0))="n.q.",NA(),INDEX(Data!$B$4:$L$947,MATCH(Graphs!$CK20,Data!$A$4:$A$947,0),MATCH(Graphs!CN$4,Data!$B$3:$L$3,0)))</f>
        <v>225</v>
      </c>
      <c r="CO20" s="24" t="str">
        <f t="array" ref="CO20">IF(INDEX(Data!$B$4:$L$947,MATCH(Graphs!$CK20,Data!$A$4:$A$947,0),MATCH(Graphs!CO$4,Data!$B$3:$L$3,0))="n.q.",NA(),INDEX(Data!$B$4:$L$947,MATCH(Graphs!$CK20,Data!$A$4:$A$947,0),MATCH(Graphs!CO$4,Data!$B$3:$L$3,0)))</f>
        <v>#N/A</v>
      </c>
      <c r="CP20" s="24" t="str">
        <f t="array" ref="CP20">IF(INDEX(Data!$B$4:$L$947,MATCH(Graphs!$CK20,Data!$A$4:$A$947,0),MATCH(Graphs!CP$4,Data!$B$3:$L$3,0))="n.q.",NA(),INDEX(Data!$B$4:$L$947,MATCH(Graphs!$CK20,Data!$A$4:$A$947,0),MATCH(Graphs!CP$4,Data!$B$3:$L$3,0)))</f>
        <v>#N/A</v>
      </c>
      <c r="CQ20" s="5"/>
      <c r="CR20" s="24">
        <f t="array" ref="CR20">IF(INDEX(Data!$P$4:$Z$947,MATCH(Graphs!$CK20,Data!$A$4:$A$947,0),MATCH(Graphs!CR$4,Data!$P$3:$Z$3,0))="n.q.",NA(),INDEX(Data!$P$4:$Z$947,MATCH(Graphs!$CK20,Data!$A$4:$A$947,0),MATCH(Graphs!CR$4,Data!$P$3:$Z$3,0)))</f>
        <v>170.7231793</v>
      </c>
      <c r="CS20" s="24" t="str">
        <f t="array" ref="CS20">IF(INDEX(Data!$P$4:$Z$947,MATCH(Graphs!$CK20,Data!$A$4:$A$947,0),MATCH(Graphs!CS$4,Data!$P$3:$Z$3,0))="n.q.",NA(),INDEX(Data!$P$4:$Z$947,MATCH(Graphs!$CK20,Data!$A$4:$A$947,0),MATCH(Graphs!CS$4,Data!$P$3:$Z$3,0)))</f>
        <v>#N/A</v>
      </c>
      <c r="CT20" s="24">
        <f t="array" ref="CT20">IF(INDEX(Data!$P$4:$Z$947,MATCH(Graphs!$CK20,Data!$A$4:$A$947,0),MATCH(Graphs!CT$4,Data!$P$3:$Z$3,0))="n.q.",NA(),INDEX(Data!$P$4:$Z$947,MATCH(Graphs!$CK20,Data!$A$4:$A$947,0),MATCH(Graphs!CT$4,Data!$P$3:$Z$3,0)))</f>
        <v>209.7902098</v>
      </c>
      <c r="CU20" s="24" t="str">
        <f t="array" ref="CU20">IF(INDEX(Data!$P$4:$Z$947,MATCH(Graphs!$CK20,Data!$A$4:$A$947,0),MATCH(Graphs!CU$4,Data!$P$3:$Z$3,0))="n.q.",NA(),INDEX(Data!$P$4:$Z$947,MATCH(Graphs!$CK20,Data!$A$4:$A$947,0),MATCH(Graphs!CU$4,Data!$P$3:$Z$3,0)))</f>
        <v>#N/A</v>
      </c>
      <c r="CV20" s="24" t="str">
        <f t="array" ref="CV20">IF(INDEX(Data!$P$4:$Z$947,MATCH(Graphs!$CK20,Data!$A$4:$A$947,0),MATCH(Graphs!CV$4,Data!$P$3:$Z$3,0))="n.q.",NA(),INDEX(Data!$P$4:$Z$947,MATCH(Graphs!$CK20,Data!$A$4:$A$947,0),MATCH(Graphs!CV$4,Data!$P$3:$Z$3,0)))</f>
        <v>#N/A</v>
      </c>
    </row>
    <row r="21" ht="15.75" customHeight="1">
      <c r="B21" s="14"/>
      <c r="C21" s="4"/>
      <c r="D21" s="4"/>
      <c r="E21" s="4"/>
      <c r="F21" s="4"/>
      <c r="G21" s="4"/>
      <c r="H21" s="4"/>
      <c r="I21" s="4"/>
      <c r="J21" s="4"/>
      <c r="K21" s="4"/>
      <c r="L21" s="21"/>
      <c r="N21" s="14"/>
      <c r="O21" s="4"/>
      <c r="P21" s="4"/>
      <c r="Q21" s="4"/>
      <c r="R21" s="4"/>
      <c r="S21" s="4"/>
      <c r="T21" s="4"/>
      <c r="U21" s="4"/>
      <c r="V21" s="4"/>
      <c r="W21" s="4"/>
      <c r="X21" s="2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5"/>
      <c r="CK21" s="22">
        <f>Data!A20</f>
        <v>45854</v>
      </c>
      <c r="CL21" s="24">
        <f t="array" ref="CL21">IF(INDEX(Data!$B$4:$L$947,MATCH(Graphs!$CK21,Data!$A$4:$A$947,0),MATCH(Graphs!CL$4,Data!$B$3:$L$3,0))="n.q.",NA(),INDEX(Data!$B$4:$L$947,MATCH(Graphs!$CK21,Data!$A$4:$A$947,0),MATCH(Graphs!CL$4,Data!$B$3:$L$3,0)))</f>
        <v>231.16</v>
      </c>
      <c r="CM21" s="24">
        <f t="array" ref="CM21">IF(INDEX(Data!$B$4:$L$947,MATCH(Graphs!$CK21,Data!$A$4:$A$947,0),MATCH(Graphs!CM$4,Data!$B$3:$L$3,0))="n.q.",NA(),INDEX(Data!$B$4:$L$947,MATCH(Graphs!$CK21,Data!$A$4:$A$947,0),MATCH(Graphs!CM$4,Data!$B$3:$L$3,0)))</f>
        <v>232.5</v>
      </c>
      <c r="CN21" s="24">
        <f t="array" ref="CN21">IF(INDEX(Data!$B$4:$L$947,MATCH(Graphs!$CK21,Data!$A$4:$A$947,0),MATCH(Graphs!CN$4,Data!$B$3:$L$3,0))="n.q.",NA(),INDEX(Data!$B$4:$L$947,MATCH(Graphs!$CK21,Data!$A$4:$A$947,0),MATCH(Graphs!CN$4,Data!$B$3:$L$3,0)))</f>
        <v>217</v>
      </c>
      <c r="CO21" s="24" t="str">
        <f t="array" ref="CO21">IF(INDEX(Data!$B$4:$L$947,MATCH(Graphs!$CK21,Data!$A$4:$A$947,0),MATCH(Graphs!CO$4,Data!$B$3:$L$3,0))="n.q.",NA(),INDEX(Data!$B$4:$L$947,MATCH(Graphs!$CK21,Data!$A$4:$A$947,0),MATCH(Graphs!CO$4,Data!$B$3:$L$3,0)))</f>
        <v>#N/A</v>
      </c>
      <c r="CP21" s="24" t="str">
        <f t="array" ref="CP21">IF(INDEX(Data!$B$4:$L$947,MATCH(Graphs!$CK21,Data!$A$4:$A$947,0),MATCH(Graphs!CP$4,Data!$B$3:$L$3,0))="n.q.",NA(),INDEX(Data!$B$4:$L$947,MATCH(Graphs!$CK21,Data!$A$4:$A$947,0),MATCH(Graphs!CP$4,Data!$B$3:$L$3,0)))</f>
        <v>#N/A</v>
      </c>
      <c r="CQ21" s="5"/>
      <c r="CR21" s="24">
        <f t="array" ref="CR21">IF(INDEX(Data!$P$4:$Z$947,MATCH(Graphs!$CK21,Data!$A$4:$A$947,0),MATCH(Graphs!CR$4,Data!$P$3:$Z$3,0))="n.q.",NA(),INDEX(Data!$P$4:$Z$947,MATCH(Graphs!$CK21,Data!$A$4:$A$947,0),MATCH(Graphs!CR$4,Data!$P$3:$Z$3,0)))</f>
        <v>174.8319255</v>
      </c>
      <c r="CS21" s="24" t="str">
        <f t="array" ref="CS21">IF(INDEX(Data!$P$4:$Z$947,MATCH(Graphs!$CK21,Data!$A$4:$A$947,0),MATCH(Graphs!CS$4,Data!$P$3:$Z$3,0))="n.q.",NA(),INDEX(Data!$P$4:$Z$947,MATCH(Graphs!$CK21,Data!$A$4:$A$947,0),MATCH(Graphs!CS$4,Data!$P$3:$Z$3,0)))</f>
        <v>#N/A</v>
      </c>
      <c r="CT21" s="24">
        <f t="array" ref="CT21">IF(INDEX(Data!$P$4:$Z$947,MATCH(Graphs!$CK21,Data!$A$4:$A$947,0),MATCH(Graphs!CT$4,Data!$P$3:$Z$3,0))="n.q.",NA(),INDEX(Data!$P$4:$Z$947,MATCH(Graphs!$CK21,Data!$A$4:$A$947,0),MATCH(Graphs!CT$4,Data!$P$3:$Z$3,0)))</f>
        <v>205.9989657</v>
      </c>
      <c r="CU21" s="24" t="str">
        <f t="array" ref="CU21">IF(INDEX(Data!$P$4:$Z$947,MATCH(Graphs!$CK21,Data!$A$4:$A$947,0),MATCH(Graphs!CU$4,Data!$P$3:$Z$3,0))="n.q.",NA(),INDEX(Data!$P$4:$Z$947,MATCH(Graphs!$CK21,Data!$A$4:$A$947,0),MATCH(Graphs!CU$4,Data!$P$3:$Z$3,0)))</f>
        <v>#N/A</v>
      </c>
      <c r="CV21" s="24" t="str">
        <f t="array" ref="CV21">IF(INDEX(Data!$P$4:$Z$947,MATCH(Graphs!$CK21,Data!$A$4:$A$947,0),MATCH(Graphs!CV$4,Data!$P$3:$Z$3,0))="n.q.",NA(),INDEX(Data!$P$4:$Z$947,MATCH(Graphs!$CK21,Data!$A$4:$A$947,0),MATCH(Graphs!CV$4,Data!$P$3:$Z$3,0)))</f>
        <v>#N/A</v>
      </c>
    </row>
    <row r="22" ht="15.75" customHeight="1">
      <c r="B22" s="14"/>
      <c r="C22" s="4"/>
      <c r="D22" s="4"/>
      <c r="E22" s="4"/>
      <c r="F22" s="4"/>
      <c r="G22" s="4"/>
      <c r="H22" s="4"/>
      <c r="I22" s="4"/>
      <c r="J22" s="4"/>
      <c r="K22" s="4"/>
      <c r="L22" s="21"/>
      <c r="N22" s="14"/>
      <c r="O22" s="4"/>
      <c r="P22" s="4"/>
      <c r="Q22" s="4"/>
      <c r="R22" s="4"/>
      <c r="S22" s="4"/>
      <c r="T22" s="4"/>
      <c r="U22" s="4"/>
      <c r="V22" s="4"/>
      <c r="W22" s="4"/>
      <c r="X22" s="2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5"/>
      <c r="CK22" s="22">
        <f>Data!A21</f>
        <v>45847</v>
      </c>
      <c r="CL22" s="24">
        <f t="array" ref="CL22">IF(INDEX(Data!$B$4:$L$947,MATCH(Graphs!$CK22,Data!$A$4:$A$947,0),MATCH(Graphs!CL$4,Data!$B$3:$L$3,0))="n.q.",NA(),INDEX(Data!$B$4:$L$947,MATCH(Graphs!$CK22,Data!$A$4:$A$947,0),MATCH(Graphs!CL$4,Data!$B$3:$L$3,0)))</f>
        <v>231.52</v>
      </c>
      <c r="CM22" s="24">
        <f t="array" ref="CM22">IF(INDEX(Data!$B$4:$L$947,MATCH(Graphs!$CK22,Data!$A$4:$A$947,0),MATCH(Graphs!CM$4,Data!$B$3:$L$3,0))="n.q.",NA(),INDEX(Data!$B$4:$L$947,MATCH(Graphs!$CK22,Data!$A$4:$A$947,0),MATCH(Graphs!CM$4,Data!$B$3:$L$3,0)))</f>
        <v>232.96</v>
      </c>
      <c r="CN22" s="24">
        <f t="array" ref="CN22">IF(INDEX(Data!$B$4:$L$947,MATCH(Graphs!$CK22,Data!$A$4:$A$947,0),MATCH(Graphs!CN$4,Data!$B$3:$L$3,0))="n.q.",NA(),INDEX(Data!$B$4:$L$947,MATCH(Graphs!$CK22,Data!$A$4:$A$947,0),MATCH(Graphs!CN$4,Data!$B$3:$L$3,0)))</f>
        <v>213</v>
      </c>
      <c r="CO22" s="24" t="str">
        <f t="array" ref="CO22">IF(INDEX(Data!$B$4:$L$947,MATCH(Graphs!$CK22,Data!$A$4:$A$947,0),MATCH(Graphs!CO$4,Data!$B$3:$L$3,0))="n.q.",NA(),INDEX(Data!$B$4:$L$947,MATCH(Graphs!$CK22,Data!$A$4:$A$947,0),MATCH(Graphs!CO$4,Data!$B$3:$L$3,0)))</f>
        <v>#N/A</v>
      </c>
      <c r="CP22" s="24" t="str">
        <f t="array" ref="CP22">IF(INDEX(Data!$B$4:$L$947,MATCH(Graphs!$CK22,Data!$A$4:$A$947,0),MATCH(Graphs!CP$4,Data!$B$3:$L$3,0))="n.q.",NA(),INDEX(Data!$B$4:$L$947,MATCH(Graphs!$CK22,Data!$A$4:$A$947,0),MATCH(Graphs!CP$4,Data!$B$3:$L$3,0)))</f>
        <v>#N/A</v>
      </c>
      <c r="CQ22" s="5"/>
      <c r="CR22" s="24">
        <f t="array" ref="CR22">IF(INDEX(Data!$P$4:$Z$947,MATCH(Graphs!$CK22,Data!$A$4:$A$947,0),MATCH(Graphs!CR$4,Data!$P$3:$Z$3,0))="n.q.",NA(),INDEX(Data!$P$4:$Z$947,MATCH(Graphs!$CK22,Data!$A$4:$A$947,0),MATCH(Graphs!CR$4,Data!$P$3:$Z$3,0)))</f>
        <v>165.994187</v>
      </c>
      <c r="CS22" s="24" t="str">
        <f t="array" ref="CS22">IF(INDEX(Data!$P$4:$Z$947,MATCH(Graphs!$CK22,Data!$A$4:$A$947,0),MATCH(Graphs!CS$4,Data!$P$3:$Z$3,0))="n.q.",NA(),INDEX(Data!$P$4:$Z$947,MATCH(Graphs!$CK22,Data!$A$4:$A$947,0),MATCH(Graphs!CS$4,Data!$P$3:$Z$3,0)))</f>
        <v>#N/A</v>
      </c>
      <c r="CT22" s="24">
        <f t="array" ref="CT22">IF(INDEX(Data!$P$4:$Z$947,MATCH(Graphs!$CK22,Data!$A$4:$A$947,0),MATCH(Graphs!CT$4,Data!$P$3:$Z$3,0))="n.q.",NA(),INDEX(Data!$P$4:$Z$947,MATCH(Graphs!$CK22,Data!$A$4:$A$947,0),MATCH(Graphs!CT$4,Data!$P$3:$Z$3,0)))</f>
        <v>198.3244999</v>
      </c>
      <c r="CU22" s="24" t="str">
        <f t="array" ref="CU22">IF(INDEX(Data!$P$4:$Z$947,MATCH(Graphs!$CK22,Data!$A$4:$A$947,0),MATCH(Graphs!CU$4,Data!$P$3:$Z$3,0))="n.q.",NA(),INDEX(Data!$P$4:$Z$947,MATCH(Graphs!$CK22,Data!$A$4:$A$947,0),MATCH(Graphs!CU$4,Data!$P$3:$Z$3,0)))</f>
        <v>#N/A</v>
      </c>
      <c r="CV22" s="24" t="str">
        <f t="array" ref="CV22">IF(INDEX(Data!$P$4:$Z$947,MATCH(Graphs!$CK22,Data!$A$4:$A$947,0),MATCH(Graphs!CV$4,Data!$P$3:$Z$3,0))="n.q.",NA(),INDEX(Data!$P$4:$Z$947,MATCH(Graphs!$CK22,Data!$A$4:$A$947,0),MATCH(Graphs!CV$4,Data!$P$3:$Z$3,0)))</f>
        <v>#N/A</v>
      </c>
    </row>
    <row r="23" ht="15.75" customHeight="1">
      <c r="B23" s="14"/>
      <c r="C23" s="4"/>
      <c r="D23" s="4"/>
      <c r="E23" s="4"/>
      <c r="F23" s="4"/>
      <c r="G23" s="4"/>
      <c r="H23" s="4"/>
      <c r="I23" s="4"/>
      <c r="J23" s="4"/>
      <c r="K23" s="4"/>
      <c r="L23" s="21"/>
      <c r="N23" s="14"/>
      <c r="O23" s="4"/>
      <c r="P23" s="4"/>
      <c r="Q23" s="4"/>
      <c r="R23" s="4"/>
      <c r="S23" s="4"/>
      <c r="T23" s="4"/>
      <c r="U23" s="4"/>
      <c r="V23" s="4"/>
      <c r="W23" s="4"/>
      <c r="X23" s="2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5"/>
      <c r="CK23" s="22">
        <f>Data!A22</f>
        <v>45840</v>
      </c>
      <c r="CL23" s="24">
        <f t="array" ref="CL23">IF(INDEX(Data!$B$4:$L$947,MATCH(Graphs!$CK23,Data!$A$4:$A$947,0),MATCH(Graphs!CL$4,Data!$B$3:$L$3,0))="n.q.",NA(),INDEX(Data!$B$4:$L$947,MATCH(Graphs!$CK23,Data!$A$4:$A$947,0),MATCH(Graphs!CL$4,Data!$B$3:$L$3,0)))</f>
        <v>230.83</v>
      </c>
      <c r="CM23" s="24">
        <f t="array" ref="CM23">IF(INDEX(Data!$B$4:$L$947,MATCH(Graphs!$CK23,Data!$A$4:$A$947,0),MATCH(Graphs!CM$4,Data!$B$3:$L$3,0))="n.q.",NA(),INDEX(Data!$B$4:$L$947,MATCH(Graphs!$CK23,Data!$A$4:$A$947,0),MATCH(Graphs!CM$4,Data!$B$3:$L$3,0)))</f>
        <v>241.5</v>
      </c>
      <c r="CN23" s="24">
        <f t="array" ref="CN23">IF(INDEX(Data!$B$4:$L$947,MATCH(Graphs!$CK23,Data!$A$4:$A$947,0),MATCH(Graphs!CN$4,Data!$B$3:$L$3,0))="n.q.",NA(),INDEX(Data!$B$4:$L$947,MATCH(Graphs!$CK23,Data!$A$4:$A$947,0),MATCH(Graphs!CN$4,Data!$B$3:$L$3,0)))</f>
        <v>212</v>
      </c>
      <c r="CO23" s="24" t="str">
        <f t="array" ref="CO23">IF(INDEX(Data!$B$4:$L$947,MATCH(Graphs!$CK23,Data!$A$4:$A$947,0),MATCH(Graphs!CO$4,Data!$B$3:$L$3,0))="n.q.",NA(),INDEX(Data!$B$4:$L$947,MATCH(Graphs!$CK23,Data!$A$4:$A$947,0),MATCH(Graphs!CO$4,Data!$B$3:$L$3,0)))</f>
        <v>#N/A</v>
      </c>
      <c r="CP23" s="24" t="str">
        <f t="array" ref="CP23">IF(INDEX(Data!$B$4:$L$947,MATCH(Graphs!$CK23,Data!$A$4:$A$947,0),MATCH(Graphs!CP$4,Data!$B$3:$L$3,0))="n.q.",NA(),INDEX(Data!$B$4:$L$947,MATCH(Graphs!$CK23,Data!$A$4:$A$947,0),MATCH(Graphs!CP$4,Data!$B$3:$L$3,0)))</f>
        <v>#N/A</v>
      </c>
      <c r="CQ23" s="5"/>
      <c r="CR23" s="24">
        <f t="array" ref="CR23">IF(INDEX(Data!$P$4:$Z$947,MATCH(Graphs!$CK23,Data!$A$4:$A$947,0),MATCH(Graphs!CR$4,Data!$P$3:$Z$3,0))="n.q.",NA(),INDEX(Data!$P$4:$Z$947,MATCH(Graphs!$CK23,Data!$A$4:$A$947,0),MATCH(Graphs!CR$4,Data!$P$3:$Z$3,0)))</f>
        <v>170.8039132</v>
      </c>
      <c r="CS23" s="24" t="str">
        <f t="array" ref="CS23">IF(INDEX(Data!$P$4:$Z$947,MATCH(Graphs!$CK23,Data!$A$4:$A$947,0),MATCH(Graphs!CS$4,Data!$P$3:$Z$3,0))="n.q.",NA(),INDEX(Data!$P$4:$Z$947,MATCH(Graphs!$CK23,Data!$A$4:$A$947,0),MATCH(Graphs!CS$4,Data!$P$3:$Z$3,0)))</f>
        <v>#N/A</v>
      </c>
      <c r="CT23" s="24">
        <f t="array" ref="CT23">IF(INDEX(Data!$P$4:$Z$947,MATCH(Graphs!$CK23,Data!$A$4:$A$947,0),MATCH(Graphs!CT$4,Data!$P$3:$Z$3,0))="n.q.",NA(),INDEX(Data!$P$4:$Z$947,MATCH(Graphs!$CK23,Data!$A$4:$A$947,0),MATCH(Graphs!CT$4,Data!$P$3:$Z$3,0)))</f>
        <v>201.6163335</v>
      </c>
      <c r="CU23" s="24" t="str">
        <f t="array" ref="CU23">IF(INDEX(Data!$P$4:$Z$947,MATCH(Graphs!$CK23,Data!$A$4:$A$947,0),MATCH(Graphs!CU$4,Data!$P$3:$Z$3,0))="n.q.",NA(),INDEX(Data!$P$4:$Z$947,MATCH(Graphs!$CK23,Data!$A$4:$A$947,0),MATCH(Graphs!CU$4,Data!$P$3:$Z$3,0)))</f>
        <v>#N/A</v>
      </c>
      <c r="CV23" s="24" t="str">
        <f t="array" ref="CV23">IF(INDEX(Data!$P$4:$Z$947,MATCH(Graphs!$CK23,Data!$A$4:$A$947,0),MATCH(Graphs!CV$4,Data!$P$3:$Z$3,0))="n.q.",NA(),INDEX(Data!$P$4:$Z$947,MATCH(Graphs!$CK23,Data!$A$4:$A$947,0),MATCH(Graphs!CV$4,Data!$P$3:$Z$3,0)))</f>
        <v>#N/A</v>
      </c>
    </row>
    <row r="24" ht="15.75" customHeight="1">
      <c r="B24" s="14"/>
      <c r="C24" s="4"/>
      <c r="D24" s="4"/>
      <c r="E24" s="4"/>
      <c r="F24" s="4"/>
      <c r="G24" s="4"/>
      <c r="H24" s="4"/>
      <c r="I24" s="4"/>
      <c r="J24" s="4"/>
      <c r="K24" s="4"/>
      <c r="L24" s="21"/>
      <c r="N24" s="14"/>
      <c r="O24" s="4"/>
      <c r="P24" s="4"/>
      <c r="Q24" s="4"/>
      <c r="R24" s="4"/>
      <c r="S24" s="4"/>
      <c r="T24" s="4"/>
      <c r="U24" s="4"/>
      <c r="V24" s="4"/>
      <c r="W24" s="4"/>
      <c r="X24" s="2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5"/>
      <c r="CK24" s="22">
        <f>Data!A23</f>
        <v>45833</v>
      </c>
      <c r="CL24" s="24">
        <f t="array" ref="CL24">IF(INDEX(Data!$B$4:$L$947,MATCH(Graphs!$CK24,Data!$A$4:$A$947,0),MATCH(Graphs!CL$4,Data!$B$3:$L$3,0))="n.q.",NA(),INDEX(Data!$B$4:$L$947,MATCH(Graphs!$CK24,Data!$A$4:$A$947,0),MATCH(Graphs!CL$4,Data!$B$3:$L$3,0)))</f>
        <v>227.5</v>
      </c>
      <c r="CM24" s="24">
        <f t="array" ref="CM24">IF(INDEX(Data!$B$4:$L$947,MATCH(Graphs!$CK24,Data!$A$4:$A$947,0),MATCH(Graphs!CM$4,Data!$B$3:$L$3,0))="n.q.",NA(),INDEX(Data!$B$4:$L$947,MATCH(Graphs!$CK24,Data!$A$4:$A$947,0),MATCH(Graphs!CM$4,Data!$B$3:$L$3,0)))</f>
        <v>234.88</v>
      </c>
      <c r="CN24" s="24">
        <f t="array" ref="CN24">IF(INDEX(Data!$B$4:$L$947,MATCH(Graphs!$CK24,Data!$A$4:$A$947,0),MATCH(Graphs!CN$4,Data!$B$3:$L$3,0))="n.q.",NA(),INDEX(Data!$B$4:$L$947,MATCH(Graphs!$CK24,Data!$A$4:$A$947,0),MATCH(Graphs!CN$4,Data!$B$3:$L$3,0)))</f>
        <v>211</v>
      </c>
      <c r="CO24" s="24" t="str">
        <f t="array" ref="CO24">IF(INDEX(Data!$B$4:$L$947,MATCH(Graphs!$CK24,Data!$A$4:$A$947,0),MATCH(Graphs!CO$4,Data!$B$3:$L$3,0))="n.q.",NA(),INDEX(Data!$B$4:$L$947,MATCH(Graphs!$CK24,Data!$A$4:$A$947,0),MATCH(Graphs!CO$4,Data!$B$3:$L$3,0)))</f>
        <v>#N/A</v>
      </c>
      <c r="CP24" s="24" t="str">
        <f t="array" ref="CP24">IF(INDEX(Data!$B$4:$L$947,MATCH(Graphs!$CK24,Data!$A$4:$A$947,0),MATCH(Graphs!CP$4,Data!$B$3:$L$3,0))="n.q.",NA(),INDEX(Data!$B$4:$L$947,MATCH(Graphs!$CK24,Data!$A$4:$A$947,0),MATCH(Graphs!CP$4,Data!$B$3:$L$3,0)))</f>
        <v>#N/A</v>
      </c>
      <c r="CQ24" s="5"/>
      <c r="CR24" s="24">
        <f t="array" ref="CR24">IF(INDEX(Data!$P$4:$Z$947,MATCH(Graphs!$CK24,Data!$A$4:$A$947,0),MATCH(Graphs!CR$4,Data!$P$3:$Z$3,0))="n.q.",NA(),INDEX(Data!$P$4:$Z$947,MATCH(Graphs!$CK24,Data!$A$4:$A$947,0),MATCH(Graphs!CR$4,Data!$P$3:$Z$3,0)))</f>
        <v>165.7354716</v>
      </c>
      <c r="CS24" s="24" t="str">
        <f t="array" ref="CS24">IF(INDEX(Data!$P$4:$Z$947,MATCH(Graphs!$CK24,Data!$A$4:$A$947,0),MATCH(Graphs!CS$4,Data!$P$3:$Z$3,0))="n.q.",NA(),INDEX(Data!$P$4:$Z$947,MATCH(Graphs!$CK24,Data!$A$4:$A$947,0),MATCH(Graphs!CS$4,Data!$P$3:$Z$3,0)))</f>
        <v>#N/A</v>
      </c>
      <c r="CT24" s="24">
        <f t="array" ref="CT24">IF(INDEX(Data!$P$4:$Z$947,MATCH(Graphs!$CK24,Data!$A$4:$A$947,0),MATCH(Graphs!CT$4,Data!$P$3:$Z$3,0))="n.q.",NA(),INDEX(Data!$P$4:$Z$947,MATCH(Graphs!$CK24,Data!$A$4:$A$947,0),MATCH(Graphs!CT$4,Data!$P$3:$Z$3,0)))</f>
        <v>201.758924</v>
      </c>
      <c r="CU24" s="24" t="str">
        <f t="array" ref="CU24">IF(INDEX(Data!$P$4:$Z$947,MATCH(Graphs!$CK24,Data!$A$4:$A$947,0),MATCH(Graphs!CU$4,Data!$P$3:$Z$3,0))="n.q.",NA(),INDEX(Data!$P$4:$Z$947,MATCH(Graphs!$CK24,Data!$A$4:$A$947,0),MATCH(Graphs!CU$4,Data!$P$3:$Z$3,0)))</f>
        <v>#N/A</v>
      </c>
      <c r="CV24" s="24" t="str">
        <f t="array" ref="CV24">IF(INDEX(Data!$P$4:$Z$947,MATCH(Graphs!$CK24,Data!$A$4:$A$947,0),MATCH(Graphs!CV$4,Data!$P$3:$Z$3,0))="n.q.",NA(),INDEX(Data!$P$4:$Z$947,MATCH(Graphs!$CK24,Data!$A$4:$A$947,0),MATCH(Graphs!CV$4,Data!$P$3:$Z$3,0)))</f>
        <v>#N/A</v>
      </c>
    </row>
    <row r="25" ht="15.75" customHeight="1">
      <c r="B25" s="14"/>
      <c r="C25" s="4"/>
      <c r="D25" s="4"/>
      <c r="E25" s="4"/>
      <c r="F25" s="4"/>
      <c r="G25" s="4"/>
      <c r="H25" s="4"/>
      <c r="I25" s="4"/>
      <c r="J25" s="4"/>
      <c r="K25" s="4"/>
      <c r="L25" s="21"/>
      <c r="N25" s="14"/>
      <c r="O25" s="4"/>
      <c r="P25" s="4"/>
      <c r="Q25" s="4"/>
      <c r="R25" s="4"/>
      <c r="S25" s="4"/>
      <c r="T25" s="4"/>
      <c r="U25" s="4"/>
      <c r="V25" s="4"/>
      <c r="W25" s="4"/>
      <c r="X25" s="2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5"/>
      <c r="CK25" s="22">
        <f>Data!A24</f>
        <v>45826</v>
      </c>
      <c r="CL25" s="24">
        <f t="array" ref="CL25">IF(INDEX(Data!$B$4:$L$947,MATCH(Graphs!$CK25,Data!$A$4:$A$947,0),MATCH(Graphs!CL$4,Data!$B$3:$L$3,0))="n.q.",NA(),INDEX(Data!$B$4:$L$947,MATCH(Graphs!$CK25,Data!$A$4:$A$947,0),MATCH(Graphs!CL$4,Data!$B$3:$L$3,0)))</f>
        <v>235.93</v>
      </c>
      <c r="CM25" s="24">
        <f t="array" ref="CM25">IF(INDEX(Data!$B$4:$L$947,MATCH(Graphs!$CK25,Data!$A$4:$A$947,0),MATCH(Graphs!CM$4,Data!$B$3:$L$3,0))="n.q.",NA(),INDEX(Data!$B$4:$L$947,MATCH(Graphs!$CK25,Data!$A$4:$A$947,0),MATCH(Graphs!CM$4,Data!$B$3:$L$3,0)))</f>
        <v>252.15</v>
      </c>
      <c r="CN25" s="24">
        <f t="array" ref="CN25">IF(INDEX(Data!$B$4:$L$947,MATCH(Graphs!$CK25,Data!$A$4:$A$947,0),MATCH(Graphs!CN$4,Data!$B$3:$L$3,0))="n.q.",NA(),INDEX(Data!$B$4:$L$947,MATCH(Graphs!$CK25,Data!$A$4:$A$947,0),MATCH(Graphs!CN$4,Data!$B$3:$L$3,0)))</f>
        <v>209</v>
      </c>
      <c r="CO25" s="24" t="str">
        <f t="array" ref="CO25">IF(INDEX(Data!$B$4:$L$947,MATCH(Graphs!$CK25,Data!$A$4:$A$947,0),MATCH(Graphs!CO$4,Data!$B$3:$L$3,0))="n.q.",NA(),INDEX(Data!$B$4:$L$947,MATCH(Graphs!$CK25,Data!$A$4:$A$947,0),MATCH(Graphs!CO$4,Data!$B$3:$L$3,0)))</f>
        <v>#N/A</v>
      </c>
      <c r="CP25" s="24" t="str">
        <f t="array" ref="CP25">IF(INDEX(Data!$B$4:$L$947,MATCH(Graphs!$CK25,Data!$A$4:$A$947,0),MATCH(Graphs!CP$4,Data!$B$3:$L$3,0))="n.q.",NA(),INDEX(Data!$B$4:$L$947,MATCH(Graphs!$CK25,Data!$A$4:$A$947,0),MATCH(Graphs!CP$4,Data!$B$3:$L$3,0)))</f>
        <v>#N/A</v>
      </c>
      <c r="CQ25" s="5"/>
      <c r="CR25" s="24">
        <f t="array" ref="CR25">IF(INDEX(Data!$P$4:$Z$947,MATCH(Graphs!$CK25,Data!$A$4:$A$947,0),MATCH(Graphs!CR$4,Data!$P$3:$Z$3,0))="n.q.",NA(),INDEX(Data!$P$4:$Z$947,MATCH(Graphs!$CK25,Data!$A$4:$A$947,0),MATCH(Graphs!CR$4,Data!$P$3:$Z$3,0)))</f>
        <v>173.9572471</v>
      </c>
      <c r="CS25" s="24" t="str">
        <f t="array" ref="CS25">IF(INDEX(Data!$P$4:$Z$947,MATCH(Graphs!$CK25,Data!$A$4:$A$947,0),MATCH(Graphs!CS$4,Data!$P$3:$Z$3,0))="n.q.",NA(),INDEX(Data!$P$4:$Z$947,MATCH(Graphs!$CK25,Data!$A$4:$A$947,0),MATCH(Graphs!CS$4,Data!$P$3:$Z$3,0)))</f>
        <v>#N/A</v>
      </c>
      <c r="CT25" s="24">
        <f t="array" ref="CT25">IF(INDEX(Data!$P$4:$Z$947,MATCH(Graphs!$CK25,Data!$A$4:$A$947,0),MATCH(Graphs!CT$4,Data!$P$3:$Z$3,0))="n.q.",NA(),INDEX(Data!$P$4:$Z$947,MATCH(Graphs!$CK25,Data!$A$4:$A$947,0),MATCH(Graphs!CT$4,Data!$P$3:$Z$3,0)))</f>
        <v>201.5988877</v>
      </c>
      <c r="CU25" s="24" t="str">
        <f t="array" ref="CU25">IF(INDEX(Data!$P$4:$Z$947,MATCH(Graphs!$CK25,Data!$A$4:$A$947,0),MATCH(Graphs!CU$4,Data!$P$3:$Z$3,0))="n.q.",NA(),INDEX(Data!$P$4:$Z$947,MATCH(Graphs!$CK25,Data!$A$4:$A$947,0),MATCH(Graphs!CU$4,Data!$P$3:$Z$3,0)))</f>
        <v>#N/A</v>
      </c>
      <c r="CV25" s="24" t="str">
        <f t="array" ref="CV25">IF(INDEX(Data!$P$4:$Z$947,MATCH(Graphs!$CK25,Data!$A$4:$A$947,0),MATCH(Graphs!CV$4,Data!$P$3:$Z$3,0))="n.q.",NA(),INDEX(Data!$P$4:$Z$947,MATCH(Graphs!$CK25,Data!$A$4:$A$947,0),MATCH(Graphs!CV$4,Data!$P$3:$Z$3,0)))</f>
        <v>#N/A</v>
      </c>
    </row>
    <row r="26" ht="15.75" customHeight="1">
      <c r="B26" s="14"/>
      <c r="C26" s="4"/>
      <c r="D26" s="4"/>
      <c r="E26" s="4"/>
      <c r="F26" s="4"/>
      <c r="G26" s="4"/>
      <c r="H26" s="4"/>
      <c r="I26" s="4"/>
      <c r="J26" s="4"/>
      <c r="K26" s="4"/>
      <c r="L26" s="21"/>
      <c r="N26" s="14"/>
      <c r="O26" s="4"/>
      <c r="P26" s="4"/>
      <c r="Q26" s="4"/>
      <c r="R26" s="4"/>
      <c r="S26" s="4"/>
      <c r="T26" s="4"/>
      <c r="U26" s="4"/>
      <c r="V26" s="4"/>
      <c r="W26" s="4"/>
      <c r="X26" s="2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5"/>
      <c r="CK26" s="22">
        <f>Data!A25</f>
        <v>45819</v>
      </c>
      <c r="CL26" s="24">
        <f t="array" ref="CL26">IF(INDEX(Data!$B$4:$L$947,MATCH(Graphs!$CK26,Data!$A$4:$A$947,0),MATCH(Graphs!CL$4,Data!$B$3:$L$3,0))="n.q.",NA(),INDEX(Data!$B$4:$L$947,MATCH(Graphs!$CK26,Data!$A$4:$A$947,0),MATCH(Graphs!CL$4,Data!$B$3:$L$3,0)))</f>
        <v>227.52</v>
      </c>
      <c r="CM26" s="24">
        <f t="array" ref="CM26">IF(INDEX(Data!$B$4:$L$947,MATCH(Graphs!$CK26,Data!$A$4:$A$947,0),MATCH(Graphs!CM$4,Data!$B$3:$L$3,0))="n.q.",NA(),INDEX(Data!$B$4:$L$947,MATCH(Graphs!$CK26,Data!$A$4:$A$947,0),MATCH(Graphs!CM$4,Data!$B$3:$L$3,0)))</f>
        <v>235.62</v>
      </c>
      <c r="CN26" s="24">
        <f t="array" ref="CN26">IF(INDEX(Data!$B$4:$L$947,MATCH(Graphs!$CK26,Data!$A$4:$A$947,0),MATCH(Graphs!CN$4,Data!$B$3:$L$3,0))="n.q.",NA(),INDEX(Data!$B$4:$L$947,MATCH(Graphs!$CK26,Data!$A$4:$A$947,0),MATCH(Graphs!CN$4,Data!$B$3:$L$3,0)))</f>
        <v>212</v>
      </c>
      <c r="CO26" s="24" t="str">
        <f t="array" ref="CO26">IF(INDEX(Data!$B$4:$L$947,MATCH(Graphs!$CK26,Data!$A$4:$A$947,0),MATCH(Graphs!CO$4,Data!$B$3:$L$3,0))="n.q.",NA(),INDEX(Data!$B$4:$L$947,MATCH(Graphs!$CK26,Data!$A$4:$A$947,0),MATCH(Graphs!CO$4,Data!$B$3:$L$3,0)))</f>
        <v>#N/A</v>
      </c>
      <c r="CP26" s="24" t="str">
        <f t="array" ref="CP26">IF(INDEX(Data!$B$4:$L$947,MATCH(Graphs!$CK26,Data!$A$4:$A$947,0),MATCH(Graphs!CP$4,Data!$B$3:$L$3,0))="n.q.",NA(),INDEX(Data!$B$4:$L$947,MATCH(Graphs!$CK26,Data!$A$4:$A$947,0),MATCH(Graphs!CP$4,Data!$B$3:$L$3,0)))</f>
        <v>#N/A</v>
      </c>
      <c r="CQ26" s="5"/>
      <c r="CR26" s="24">
        <f t="array" ref="CR26">IF(INDEX(Data!$P$4:$Z$947,MATCH(Graphs!$CK26,Data!$A$4:$A$947,0),MATCH(Graphs!CR$4,Data!$P$3:$Z$3,0))="n.q.",NA(),INDEX(Data!$P$4:$Z$947,MATCH(Graphs!$CK26,Data!$A$4:$A$947,0),MATCH(Graphs!CR$4,Data!$P$3:$Z$3,0)))</f>
        <v>176.3054316</v>
      </c>
      <c r="CS26" s="24" t="str">
        <f t="array" ref="CS26">IF(INDEX(Data!$P$4:$Z$947,MATCH(Graphs!$CK26,Data!$A$4:$A$947,0),MATCH(Graphs!CS$4,Data!$P$3:$Z$3,0))="n.q.",NA(),INDEX(Data!$P$4:$Z$947,MATCH(Graphs!$CK26,Data!$A$4:$A$947,0),MATCH(Graphs!CS$4,Data!$P$3:$Z$3,0)))</f>
        <v>#N/A</v>
      </c>
      <c r="CT26" s="24">
        <f t="array" ref="CT26">IF(INDEX(Data!$P$4:$Z$947,MATCH(Graphs!$CK26,Data!$A$4:$A$947,0),MATCH(Graphs!CT$4,Data!$P$3:$Z$3,0))="n.q.",NA(),INDEX(Data!$P$4:$Z$947,MATCH(Graphs!$CK26,Data!$A$4:$A$947,0),MATCH(Graphs!CT$4,Data!$P$3:$Z$3,0)))</f>
        <v>208.1693344</v>
      </c>
      <c r="CU26" s="24" t="str">
        <f t="array" ref="CU26">IF(INDEX(Data!$P$4:$Z$947,MATCH(Graphs!$CK26,Data!$A$4:$A$947,0),MATCH(Graphs!CU$4,Data!$P$3:$Z$3,0))="n.q.",NA(),INDEX(Data!$P$4:$Z$947,MATCH(Graphs!$CK26,Data!$A$4:$A$947,0),MATCH(Graphs!CU$4,Data!$P$3:$Z$3,0)))</f>
        <v>#N/A</v>
      </c>
      <c r="CV26" s="24" t="str">
        <f t="array" ref="CV26">IF(INDEX(Data!$P$4:$Z$947,MATCH(Graphs!$CK26,Data!$A$4:$A$947,0),MATCH(Graphs!CV$4,Data!$P$3:$Z$3,0))="n.q.",NA(),INDEX(Data!$P$4:$Z$947,MATCH(Graphs!$CK26,Data!$A$4:$A$947,0),MATCH(Graphs!CV$4,Data!$P$3:$Z$3,0)))</f>
        <v>#N/A</v>
      </c>
    </row>
    <row r="27" ht="14.25" customHeight="1">
      <c r="B27" s="25"/>
      <c r="C27" s="26" t="s">
        <v>9</v>
      </c>
      <c r="D27" s="26"/>
      <c r="E27" s="26"/>
      <c r="F27" s="26"/>
      <c r="G27" s="26"/>
      <c r="H27" s="26"/>
      <c r="I27" s="26"/>
      <c r="J27" s="26"/>
      <c r="K27" s="26"/>
      <c r="L27" s="27"/>
      <c r="N27" s="25"/>
      <c r="O27" s="26" t="s">
        <v>9</v>
      </c>
      <c r="P27" s="26"/>
      <c r="Q27" s="26"/>
      <c r="R27" s="26"/>
      <c r="S27" s="26"/>
      <c r="T27" s="26"/>
      <c r="U27" s="26"/>
      <c r="V27" s="26"/>
      <c r="W27" s="26"/>
      <c r="X27" s="27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5"/>
      <c r="CK27" s="22">
        <f>Data!A26</f>
        <v>45812</v>
      </c>
      <c r="CL27" s="24">
        <f t="array" ref="CL27">IF(INDEX(Data!$B$4:$L$947,MATCH(Graphs!$CK27,Data!$A$4:$A$947,0),MATCH(Graphs!CL$4,Data!$B$3:$L$3,0))="n.q.",NA(),INDEX(Data!$B$4:$L$947,MATCH(Graphs!$CK27,Data!$A$4:$A$947,0),MATCH(Graphs!CL$4,Data!$B$3:$L$3,0)))</f>
        <v>228.49</v>
      </c>
      <c r="CM27" s="24">
        <f t="array" ref="CM27">IF(INDEX(Data!$B$4:$L$947,MATCH(Graphs!$CK27,Data!$A$4:$A$947,0),MATCH(Graphs!CM$4,Data!$B$3:$L$3,0))="n.q.",NA(),INDEX(Data!$B$4:$L$947,MATCH(Graphs!$CK27,Data!$A$4:$A$947,0),MATCH(Graphs!CM$4,Data!$B$3:$L$3,0)))</f>
        <v>240.85</v>
      </c>
      <c r="CN27" s="24">
        <f t="array" ref="CN27">IF(INDEX(Data!$B$4:$L$947,MATCH(Graphs!$CK27,Data!$A$4:$A$947,0),MATCH(Graphs!CN$4,Data!$B$3:$L$3,0))="n.q.",NA(),INDEX(Data!$B$4:$L$947,MATCH(Graphs!$CK27,Data!$A$4:$A$947,0),MATCH(Graphs!CN$4,Data!$B$3:$L$3,0)))</f>
        <v>212</v>
      </c>
      <c r="CO27" s="24" t="str">
        <f t="array" ref="CO27">IF(INDEX(Data!$B$4:$L$947,MATCH(Graphs!$CK27,Data!$A$4:$A$947,0),MATCH(Graphs!CO$4,Data!$B$3:$L$3,0))="n.q.",NA(),INDEX(Data!$B$4:$L$947,MATCH(Graphs!$CK27,Data!$A$4:$A$947,0),MATCH(Graphs!CO$4,Data!$B$3:$L$3,0)))</f>
        <v>#N/A</v>
      </c>
      <c r="CP27" s="24" t="str">
        <f t="array" ref="CP27">IF(INDEX(Data!$B$4:$L$947,MATCH(Graphs!$CK27,Data!$A$4:$A$947,0),MATCH(Graphs!CP$4,Data!$B$3:$L$3,0))="n.q.",NA(),INDEX(Data!$B$4:$L$947,MATCH(Graphs!$CK27,Data!$A$4:$A$947,0),MATCH(Graphs!CP$4,Data!$B$3:$L$3,0)))</f>
        <v>#N/A</v>
      </c>
      <c r="CQ27" s="5"/>
      <c r="CR27" s="24">
        <f t="array" ref="CR27">IF(INDEX(Data!$P$4:$Z$947,MATCH(Graphs!$CK27,Data!$A$4:$A$947,0),MATCH(Graphs!CR$4,Data!$P$3:$Z$3,0))="n.q.",NA(),INDEX(Data!$P$4:$Z$947,MATCH(Graphs!$CK27,Data!$A$4:$A$947,0),MATCH(Graphs!CR$4,Data!$P$3:$Z$3,0)))</f>
        <v>178.7069571</v>
      </c>
      <c r="CS27" s="24" t="str">
        <f t="array" ref="CS27">IF(INDEX(Data!$P$4:$Z$947,MATCH(Graphs!$CK27,Data!$A$4:$A$947,0),MATCH(Graphs!CS$4,Data!$P$3:$Z$3,0))="n.q.",NA(),INDEX(Data!$P$4:$Z$947,MATCH(Graphs!$CK27,Data!$A$4:$A$947,0),MATCH(Graphs!CS$4,Data!$P$3:$Z$3,0)))</f>
        <v>#N/A</v>
      </c>
      <c r="CT27" s="24">
        <f t="array" ref="CT27">IF(INDEX(Data!$P$4:$Z$947,MATCH(Graphs!$CK27,Data!$A$4:$A$947,0),MATCH(Graphs!CT$4,Data!$P$3:$Z$3,0))="n.q.",NA(),INDEX(Data!$P$4:$Z$947,MATCH(Graphs!$CK27,Data!$A$4:$A$947,0),MATCH(Graphs!CT$4,Data!$P$3:$Z$3,0)))</f>
        <v>209.9437807</v>
      </c>
      <c r="CU27" s="24" t="str">
        <f t="array" ref="CU27">IF(INDEX(Data!$P$4:$Z$947,MATCH(Graphs!$CK27,Data!$A$4:$A$947,0),MATCH(Graphs!CU$4,Data!$P$3:$Z$3,0))="n.q.",NA(),INDEX(Data!$P$4:$Z$947,MATCH(Graphs!$CK27,Data!$A$4:$A$947,0),MATCH(Graphs!CU$4,Data!$P$3:$Z$3,0)))</f>
        <v>#N/A</v>
      </c>
      <c r="CV27" s="24" t="str">
        <f t="array" ref="CV27">IF(INDEX(Data!$P$4:$Z$947,MATCH(Graphs!$CK27,Data!$A$4:$A$947,0),MATCH(Graphs!CV$4,Data!$P$3:$Z$3,0))="n.q.",NA(),INDEX(Data!$P$4:$Z$947,MATCH(Graphs!$CK27,Data!$A$4:$A$947,0),MATCH(Graphs!CV$4,Data!$P$3:$Z$3,0)))</f>
        <v>#N/A</v>
      </c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5"/>
      <c r="CK28" s="22">
        <f>Data!A27</f>
        <v>45805</v>
      </c>
      <c r="CL28" s="24">
        <f t="array" ref="CL28">IF(INDEX(Data!$B$4:$L$947,MATCH(Graphs!$CK28,Data!$A$4:$A$947,0),MATCH(Graphs!CL$4,Data!$B$3:$L$3,0))="n.q.",NA(),INDEX(Data!$B$4:$L$947,MATCH(Graphs!$CK28,Data!$A$4:$A$947,0),MATCH(Graphs!CL$4,Data!$B$3:$L$3,0)))</f>
        <v>229.18</v>
      </c>
      <c r="CM28" s="24">
        <f t="array" ref="CM28">IF(INDEX(Data!$B$4:$L$947,MATCH(Graphs!$CK28,Data!$A$4:$A$947,0),MATCH(Graphs!CM$4,Data!$B$3:$L$3,0))="n.q.",NA(),INDEX(Data!$B$4:$L$947,MATCH(Graphs!$CK28,Data!$A$4:$A$947,0),MATCH(Graphs!CM$4,Data!$B$3:$L$3,0)))</f>
        <v>235.25</v>
      </c>
      <c r="CN28" s="24">
        <f t="array" ref="CN28">IF(INDEX(Data!$B$4:$L$947,MATCH(Graphs!$CK28,Data!$A$4:$A$947,0),MATCH(Graphs!CN$4,Data!$B$3:$L$3,0))="n.q.",NA(),INDEX(Data!$B$4:$L$947,MATCH(Graphs!$CK28,Data!$A$4:$A$947,0),MATCH(Graphs!CN$4,Data!$B$3:$L$3,0)))</f>
        <v>225</v>
      </c>
      <c r="CO28" s="24" t="str">
        <f t="array" ref="CO28">IF(INDEX(Data!$B$4:$L$947,MATCH(Graphs!$CK28,Data!$A$4:$A$947,0),MATCH(Graphs!CO$4,Data!$B$3:$L$3,0))="n.q.",NA(),INDEX(Data!$B$4:$L$947,MATCH(Graphs!$CK28,Data!$A$4:$A$947,0),MATCH(Graphs!CO$4,Data!$B$3:$L$3,0)))</f>
        <v>#N/A</v>
      </c>
      <c r="CP28" s="24" t="str">
        <f t="array" ref="CP28">IF(INDEX(Data!$B$4:$L$947,MATCH(Graphs!$CK28,Data!$A$4:$A$947,0),MATCH(Graphs!CP$4,Data!$B$3:$L$3,0))="n.q.",NA(),INDEX(Data!$B$4:$L$947,MATCH(Graphs!$CK28,Data!$A$4:$A$947,0),MATCH(Graphs!CP$4,Data!$B$3:$L$3,0)))</f>
        <v>#N/A</v>
      </c>
      <c r="CQ28" s="5"/>
      <c r="CR28" s="24">
        <f t="array" ref="CR28">IF(INDEX(Data!$P$4:$Z$947,MATCH(Graphs!$CK28,Data!$A$4:$A$947,0),MATCH(Graphs!CR$4,Data!$P$3:$Z$3,0))="n.q.",NA(),INDEX(Data!$P$4:$Z$947,MATCH(Graphs!$CK28,Data!$A$4:$A$947,0),MATCH(Graphs!CR$4,Data!$P$3:$Z$3,0)))</f>
        <v>184.0240346</v>
      </c>
      <c r="CS28" s="24" t="str">
        <f t="array" ref="CS28">IF(INDEX(Data!$P$4:$Z$947,MATCH(Graphs!$CK28,Data!$A$4:$A$947,0),MATCH(Graphs!CS$4,Data!$P$3:$Z$3,0))="n.q.",NA(),INDEX(Data!$P$4:$Z$947,MATCH(Graphs!$CK28,Data!$A$4:$A$947,0),MATCH(Graphs!CS$4,Data!$P$3:$Z$3,0)))</f>
        <v>#N/A</v>
      </c>
      <c r="CT28" s="24">
        <f t="array" ref="CT28">IF(INDEX(Data!$P$4:$Z$947,MATCH(Graphs!$CK28,Data!$A$4:$A$947,0),MATCH(Graphs!CT$4,Data!$P$3:$Z$3,0))="n.q.",NA(),INDEX(Data!$P$4:$Z$947,MATCH(Graphs!$CK28,Data!$A$4:$A$947,0),MATCH(Graphs!CT$4,Data!$P$3:$Z$3,0)))</f>
        <v>210.3030839</v>
      </c>
      <c r="CU28" s="24" t="str">
        <f t="array" ref="CU28">IF(INDEX(Data!$P$4:$Z$947,MATCH(Graphs!$CK28,Data!$A$4:$A$947,0),MATCH(Graphs!CU$4,Data!$P$3:$Z$3,0))="n.q.",NA(),INDEX(Data!$P$4:$Z$947,MATCH(Graphs!$CK28,Data!$A$4:$A$947,0),MATCH(Graphs!CU$4,Data!$P$3:$Z$3,0)))</f>
        <v>#N/A</v>
      </c>
      <c r="CV28" s="24" t="str">
        <f t="array" ref="CV28">IF(INDEX(Data!$P$4:$Z$947,MATCH(Graphs!$CK28,Data!$A$4:$A$947,0),MATCH(Graphs!CV$4,Data!$P$3:$Z$3,0))="n.q.",NA(),INDEX(Data!$P$4:$Z$947,MATCH(Graphs!$CK28,Data!$A$4:$A$947,0),MATCH(Graphs!CV$4,Data!$P$3:$Z$3,0)))</f>
        <v>#N/A</v>
      </c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5"/>
      <c r="CK29" s="22">
        <f>Data!A28</f>
        <v>45798</v>
      </c>
      <c r="CL29" s="24">
        <f t="array" ref="CL29">IF(INDEX(Data!$B$4:$L$947,MATCH(Graphs!$CK29,Data!$A$4:$A$947,0),MATCH(Graphs!CL$4,Data!$B$3:$L$3,0))="n.q.",NA(),INDEX(Data!$B$4:$L$947,MATCH(Graphs!$CK29,Data!$A$4:$A$947,0),MATCH(Graphs!CL$4,Data!$B$3:$L$3,0)))</f>
        <v>243.97</v>
      </c>
      <c r="CM29" s="24">
        <f t="array" ref="CM29">IF(INDEX(Data!$B$4:$L$947,MATCH(Graphs!$CK29,Data!$A$4:$A$947,0),MATCH(Graphs!CM$4,Data!$B$3:$L$3,0))="n.q.",NA(),INDEX(Data!$B$4:$L$947,MATCH(Graphs!$CK29,Data!$A$4:$A$947,0),MATCH(Graphs!CM$4,Data!$B$3:$L$3,0)))</f>
        <v>242.69</v>
      </c>
      <c r="CN29" s="24">
        <f t="array" ref="CN29">IF(INDEX(Data!$B$4:$L$947,MATCH(Graphs!$CK29,Data!$A$4:$A$947,0),MATCH(Graphs!CN$4,Data!$B$3:$L$3,0))="n.q.",NA(),INDEX(Data!$B$4:$L$947,MATCH(Graphs!$CK29,Data!$A$4:$A$947,0),MATCH(Graphs!CN$4,Data!$B$3:$L$3,0)))</f>
        <v>235</v>
      </c>
      <c r="CO29" s="24" t="str">
        <f t="array" ref="CO29">IF(INDEX(Data!$B$4:$L$947,MATCH(Graphs!$CK29,Data!$A$4:$A$947,0),MATCH(Graphs!CO$4,Data!$B$3:$L$3,0))="n.q.",NA(),INDEX(Data!$B$4:$L$947,MATCH(Graphs!$CK29,Data!$A$4:$A$947,0),MATCH(Graphs!CO$4,Data!$B$3:$L$3,0)))</f>
        <v>#N/A</v>
      </c>
      <c r="CP29" s="24" t="str">
        <f t="array" ref="CP29">IF(INDEX(Data!$B$4:$L$947,MATCH(Graphs!$CK29,Data!$A$4:$A$947,0),MATCH(Graphs!CP$4,Data!$B$3:$L$3,0))="n.q.",NA(),INDEX(Data!$B$4:$L$947,MATCH(Graphs!$CK29,Data!$A$4:$A$947,0),MATCH(Graphs!CP$4,Data!$B$3:$L$3,0)))</f>
        <v>#N/A</v>
      </c>
      <c r="CQ29" s="5"/>
      <c r="CR29" s="24">
        <f t="array" ref="CR29">IF(INDEX(Data!$P$4:$Z$947,MATCH(Graphs!$CK29,Data!$A$4:$A$947,0),MATCH(Graphs!CR$4,Data!$P$3:$Z$3,0))="n.q.",NA(),INDEX(Data!$P$4:$Z$947,MATCH(Graphs!$CK29,Data!$A$4:$A$947,0),MATCH(Graphs!CR$4,Data!$P$3:$Z$3,0)))</f>
        <v>187.430439</v>
      </c>
      <c r="CS29" s="24" t="str">
        <f t="array" ref="CS29">IF(INDEX(Data!$P$4:$Z$947,MATCH(Graphs!$CK29,Data!$A$4:$A$947,0),MATCH(Graphs!CS$4,Data!$P$3:$Z$3,0))="n.q.",NA(),INDEX(Data!$P$4:$Z$947,MATCH(Graphs!$CK29,Data!$A$4:$A$947,0),MATCH(Graphs!CS$4,Data!$P$3:$Z$3,0)))</f>
        <v>#N/A</v>
      </c>
      <c r="CT29" s="24">
        <f t="array" ref="CT29">IF(INDEX(Data!$P$4:$Z$947,MATCH(Graphs!$CK29,Data!$A$4:$A$947,0),MATCH(Graphs!CT$4,Data!$P$3:$Z$3,0))="n.q.",NA(),INDEX(Data!$P$4:$Z$947,MATCH(Graphs!$CK29,Data!$A$4:$A$947,0),MATCH(Graphs!CT$4,Data!$P$3:$Z$3,0)))</f>
        <v>213.7620352</v>
      </c>
      <c r="CU29" s="24" t="str">
        <f t="array" ref="CU29">IF(INDEX(Data!$P$4:$Z$947,MATCH(Graphs!$CK29,Data!$A$4:$A$947,0),MATCH(Graphs!CU$4,Data!$P$3:$Z$3,0))="n.q.",NA(),INDEX(Data!$P$4:$Z$947,MATCH(Graphs!$CK29,Data!$A$4:$A$947,0),MATCH(Graphs!CU$4,Data!$P$3:$Z$3,0)))</f>
        <v>#N/A</v>
      </c>
      <c r="CV29" s="24" t="str">
        <f t="array" ref="CV29">IF(INDEX(Data!$P$4:$Z$947,MATCH(Graphs!$CK29,Data!$A$4:$A$947,0),MATCH(Graphs!CV$4,Data!$P$3:$Z$3,0))="n.q.",NA(),INDEX(Data!$P$4:$Z$947,MATCH(Graphs!$CK29,Data!$A$4:$A$947,0),MATCH(Graphs!CV$4,Data!$P$3:$Z$3,0)))</f>
        <v>#N/A</v>
      </c>
    </row>
    <row r="30" ht="14.25" customHeight="1">
      <c r="A30" s="4"/>
      <c r="B30" s="4"/>
      <c r="C30" s="28"/>
      <c r="D30" s="16"/>
      <c r="E30" s="28"/>
      <c r="F30" s="16"/>
      <c r="G30" s="28"/>
      <c r="H30" s="16"/>
      <c r="I30" s="28"/>
      <c r="J30" s="16"/>
      <c r="K30" s="16"/>
      <c r="L30" s="4"/>
      <c r="M30" s="4"/>
      <c r="N30" s="4"/>
      <c r="O30" s="28"/>
      <c r="P30" s="16"/>
      <c r="Q30" s="28"/>
      <c r="R30" s="16"/>
      <c r="S30" s="28"/>
      <c r="T30" s="16"/>
      <c r="U30" s="28"/>
      <c r="V30" s="16"/>
      <c r="W30" s="16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5"/>
      <c r="CK30" s="22">
        <f>Data!A29</f>
        <v>45791</v>
      </c>
      <c r="CL30" s="24">
        <f t="array" ref="CL30">IF(INDEX(Data!$B$4:$L$947,MATCH(Graphs!$CK30,Data!$A$4:$A$947,0),MATCH(Graphs!CL$4,Data!$B$3:$L$3,0))="n.q.",NA(),INDEX(Data!$B$4:$L$947,MATCH(Graphs!$CK30,Data!$A$4:$A$947,0),MATCH(Graphs!CL$4,Data!$B$3:$L$3,0)))</f>
        <v>230.37</v>
      </c>
      <c r="CM30" s="24">
        <f t="array" ref="CM30">IF(INDEX(Data!$B$4:$L$947,MATCH(Graphs!$CK30,Data!$A$4:$A$947,0),MATCH(Graphs!CM$4,Data!$B$3:$L$3,0))="n.q.",NA(),INDEX(Data!$B$4:$L$947,MATCH(Graphs!$CK30,Data!$A$4:$A$947,0),MATCH(Graphs!CM$4,Data!$B$3:$L$3,0)))</f>
        <v>234.42</v>
      </c>
      <c r="CN30" s="24">
        <f t="array" ref="CN30">IF(INDEX(Data!$B$4:$L$947,MATCH(Graphs!$CK30,Data!$A$4:$A$947,0),MATCH(Graphs!CN$4,Data!$B$3:$L$3,0))="n.q.",NA(),INDEX(Data!$B$4:$L$947,MATCH(Graphs!$CK30,Data!$A$4:$A$947,0),MATCH(Graphs!CN$4,Data!$B$3:$L$3,0)))</f>
        <v>232</v>
      </c>
      <c r="CO30" s="24" t="str">
        <f t="array" ref="CO30">IF(INDEX(Data!$B$4:$L$947,MATCH(Graphs!$CK30,Data!$A$4:$A$947,0),MATCH(Graphs!CO$4,Data!$B$3:$L$3,0))="n.q.",NA(),INDEX(Data!$B$4:$L$947,MATCH(Graphs!$CK30,Data!$A$4:$A$947,0),MATCH(Graphs!CO$4,Data!$B$3:$L$3,0)))</f>
        <v>#N/A</v>
      </c>
      <c r="CP30" s="24" t="str">
        <f t="array" ref="CP30">IF(INDEX(Data!$B$4:$L$947,MATCH(Graphs!$CK30,Data!$A$4:$A$947,0),MATCH(Graphs!CP$4,Data!$B$3:$L$3,0))="n.q.",NA(),INDEX(Data!$B$4:$L$947,MATCH(Graphs!$CK30,Data!$A$4:$A$947,0),MATCH(Graphs!CP$4,Data!$B$3:$L$3,0)))</f>
        <v>#N/A</v>
      </c>
      <c r="CQ30" s="5"/>
      <c r="CR30" s="24">
        <f t="array" ref="CR30">IF(INDEX(Data!$P$4:$Z$947,MATCH(Graphs!$CK30,Data!$A$4:$A$947,0),MATCH(Graphs!CR$4,Data!$P$3:$Z$3,0))="n.q.",NA(),INDEX(Data!$P$4:$Z$947,MATCH(Graphs!$CK30,Data!$A$4:$A$947,0),MATCH(Graphs!CR$4,Data!$P$3:$Z$3,0)))</f>
        <v>183.431425</v>
      </c>
      <c r="CS30" s="24" t="str">
        <f t="array" ref="CS30">IF(INDEX(Data!$P$4:$Z$947,MATCH(Graphs!$CK30,Data!$A$4:$A$947,0),MATCH(Graphs!CS$4,Data!$P$3:$Z$3,0))="n.q.",NA(),INDEX(Data!$P$4:$Z$947,MATCH(Graphs!$CK30,Data!$A$4:$A$947,0),MATCH(Graphs!CS$4,Data!$P$3:$Z$3,0)))</f>
        <v>#N/A</v>
      </c>
      <c r="CT30" s="24">
        <f t="array" ref="CT30">IF(INDEX(Data!$P$4:$Z$947,MATCH(Graphs!$CK30,Data!$A$4:$A$947,0),MATCH(Graphs!CT$4,Data!$P$3:$Z$3,0))="n.q.",NA(),INDEX(Data!$P$4:$Z$947,MATCH(Graphs!$CK30,Data!$A$4:$A$947,0),MATCH(Graphs!CT$4,Data!$P$3:$Z$3,0)))</f>
        <v>216.6934189</v>
      </c>
      <c r="CU30" s="24" t="str">
        <f t="array" ref="CU30">IF(INDEX(Data!$P$4:$Z$947,MATCH(Graphs!$CK30,Data!$A$4:$A$947,0),MATCH(Graphs!CU$4,Data!$P$3:$Z$3,0))="n.q.",NA(),INDEX(Data!$P$4:$Z$947,MATCH(Graphs!$CK30,Data!$A$4:$A$947,0),MATCH(Graphs!CU$4,Data!$P$3:$Z$3,0)))</f>
        <v>#N/A</v>
      </c>
      <c r="CV30" s="24" t="str">
        <f t="array" ref="CV30">IF(INDEX(Data!$P$4:$Z$947,MATCH(Graphs!$CK30,Data!$A$4:$A$947,0),MATCH(Graphs!CV$4,Data!$P$3:$Z$3,0))="n.q.",NA(),INDEX(Data!$P$4:$Z$947,MATCH(Graphs!$CK30,Data!$A$4:$A$947,0),MATCH(Graphs!CV$4,Data!$P$3:$Z$3,0)))</f>
        <v>#N/A</v>
      </c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4"/>
      <c r="CI31" s="4"/>
      <c r="CJ31" s="5"/>
      <c r="CK31" s="22">
        <f>Data!A30</f>
        <v>45784</v>
      </c>
      <c r="CL31" s="24">
        <f t="array" ref="CL31">IF(INDEX(Data!$B$4:$L$947,MATCH(Graphs!$CK31,Data!$A$4:$A$947,0),MATCH(Graphs!CL$4,Data!$B$3:$L$3,0))="n.q.",NA(),INDEX(Data!$B$4:$L$947,MATCH(Graphs!$CK31,Data!$A$4:$A$947,0),MATCH(Graphs!CL$4,Data!$B$3:$L$3,0)))</f>
        <v>233.86</v>
      </c>
      <c r="CM31" s="24">
        <f t="array" ref="CM31">IF(INDEX(Data!$B$4:$L$947,MATCH(Graphs!$CK31,Data!$A$4:$A$947,0),MATCH(Graphs!CM$4,Data!$B$3:$L$3,0))="n.q.",NA(),INDEX(Data!$B$4:$L$947,MATCH(Graphs!$CK31,Data!$A$4:$A$947,0),MATCH(Graphs!CM$4,Data!$B$3:$L$3,0)))</f>
        <v>238.65</v>
      </c>
      <c r="CN31" s="24">
        <f t="array" ref="CN31">IF(INDEX(Data!$B$4:$L$947,MATCH(Graphs!$CK31,Data!$A$4:$A$947,0),MATCH(Graphs!CN$4,Data!$B$3:$L$3,0))="n.q.",NA(),INDEX(Data!$B$4:$L$947,MATCH(Graphs!$CK31,Data!$A$4:$A$947,0),MATCH(Graphs!CN$4,Data!$B$3:$L$3,0)))</f>
        <v>234</v>
      </c>
      <c r="CO31" s="24" t="str">
        <f t="array" ref="CO31">IF(INDEX(Data!$B$4:$L$947,MATCH(Graphs!$CK31,Data!$A$4:$A$947,0),MATCH(Graphs!CO$4,Data!$B$3:$L$3,0))="n.q.",NA(),INDEX(Data!$B$4:$L$947,MATCH(Graphs!$CK31,Data!$A$4:$A$947,0),MATCH(Graphs!CO$4,Data!$B$3:$L$3,0)))</f>
        <v>#N/A</v>
      </c>
      <c r="CP31" s="24" t="str">
        <f t="array" ref="CP31">IF(INDEX(Data!$B$4:$L$947,MATCH(Graphs!$CK31,Data!$A$4:$A$947,0),MATCH(Graphs!CP$4,Data!$B$3:$L$3,0))="n.q.",NA(),INDEX(Data!$B$4:$L$947,MATCH(Graphs!$CK31,Data!$A$4:$A$947,0),MATCH(Graphs!CP$4,Data!$B$3:$L$3,0)))</f>
        <v>#N/A</v>
      </c>
      <c r="CQ31" s="5"/>
      <c r="CR31" s="24">
        <f t="array" ref="CR31">IF(INDEX(Data!$P$4:$Z$947,MATCH(Graphs!$CK31,Data!$A$4:$A$947,0),MATCH(Graphs!CR$4,Data!$P$3:$Z$3,0))="n.q.",NA(),INDEX(Data!$P$4:$Z$947,MATCH(Graphs!$CK31,Data!$A$4:$A$947,0),MATCH(Graphs!CR$4,Data!$P$3:$Z$3,0)))</f>
        <v>182.7200704</v>
      </c>
      <c r="CS31" s="24" t="str">
        <f t="array" ref="CS31">IF(INDEX(Data!$P$4:$Z$947,MATCH(Graphs!$CK31,Data!$A$4:$A$947,0),MATCH(Graphs!CS$4,Data!$P$3:$Z$3,0))="n.q.",NA(),INDEX(Data!$P$4:$Z$947,MATCH(Graphs!$CK31,Data!$A$4:$A$947,0),MATCH(Graphs!CS$4,Data!$P$3:$Z$3,0)))</f>
        <v>#N/A</v>
      </c>
      <c r="CT31" s="24">
        <f t="array" ref="CT31">IF(INDEX(Data!$P$4:$Z$947,MATCH(Graphs!$CK31,Data!$A$4:$A$947,0),MATCH(Graphs!CT$4,Data!$P$3:$Z$3,0))="n.q.",NA(),INDEX(Data!$P$4:$Z$947,MATCH(Graphs!$CK31,Data!$A$4:$A$947,0),MATCH(Graphs!CT$4,Data!$P$3:$Z$3,0)))</f>
        <v>218.3098592</v>
      </c>
      <c r="CU31" s="24" t="str">
        <f t="array" ref="CU31">IF(INDEX(Data!$P$4:$Z$947,MATCH(Graphs!$CK31,Data!$A$4:$A$947,0),MATCH(Graphs!CU$4,Data!$P$3:$Z$3,0))="n.q.",NA(),INDEX(Data!$P$4:$Z$947,MATCH(Graphs!$CK31,Data!$A$4:$A$947,0),MATCH(Graphs!CU$4,Data!$P$3:$Z$3,0)))</f>
        <v>#N/A</v>
      </c>
      <c r="CV31" s="24" t="str">
        <f t="array" ref="CV31">IF(INDEX(Data!$P$4:$Z$947,MATCH(Graphs!$CK31,Data!$A$4:$A$947,0),MATCH(Graphs!CV$4,Data!$P$3:$Z$3,0))="n.q.",NA(),INDEX(Data!$P$4:$Z$947,MATCH(Graphs!$CK31,Data!$A$4:$A$947,0),MATCH(Graphs!CV$4,Data!$P$3:$Z$3,0)))</f>
        <v>#N/A</v>
      </c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4"/>
      <c r="CI32" s="4"/>
      <c r="CJ32" s="5"/>
      <c r="CK32" s="22">
        <f>Data!A31</f>
        <v>45777</v>
      </c>
      <c r="CL32" s="24">
        <f t="array" ref="CL32">IF(INDEX(Data!$B$4:$L$947,MATCH(Graphs!$CK32,Data!$A$4:$A$947,0),MATCH(Graphs!CL$4,Data!$B$3:$L$3,0))="n.q.",NA(),INDEX(Data!$B$4:$L$947,MATCH(Graphs!$CK32,Data!$A$4:$A$947,0),MATCH(Graphs!CL$4,Data!$B$3:$L$3,0)))</f>
        <v>236.21</v>
      </c>
      <c r="CM32" s="24">
        <f t="array" ref="CM32">IF(INDEX(Data!$B$4:$L$947,MATCH(Graphs!$CK32,Data!$A$4:$A$947,0),MATCH(Graphs!CM$4,Data!$B$3:$L$3,0))="n.q.",NA(),INDEX(Data!$B$4:$L$947,MATCH(Graphs!$CK32,Data!$A$4:$A$947,0),MATCH(Graphs!CM$4,Data!$B$3:$L$3,0)))</f>
        <v>238.65</v>
      </c>
      <c r="CN32" s="24">
        <f t="array" ref="CN32">IF(INDEX(Data!$B$4:$L$947,MATCH(Graphs!$CK32,Data!$A$4:$A$947,0),MATCH(Graphs!CN$4,Data!$B$3:$L$3,0))="n.q.",NA(),INDEX(Data!$B$4:$L$947,MATCH(Graphs!$CK32,Data!$A$4:$A$947,0),MATCH(Graphs!CN$4,Data!$B$3:$L$3,0)))</f>
        <v>234</v>
      </c>
      <c r="CO32" s="24" t="str">
        <f t="array" ref="CO32">IF(INDEX(Data!$B$4:$L$947,MATCH(Graphs!$CK32,Data!$A$4:$A$947,0),MATCH(Graphs!CO$4,Data!$B$3:$L$3,0))="n.q.",NA(),INDEX(Data!$B$4:$L$947,MATCH(Graphs!$CK32,Data!$A$4:$A$947,0),MATCH(Graphs!CO$4,Data!$B$3:$L$3,0)))</f>
        <v>#N/A</v>
      </c>
      <c r="CP32" s="24" t="str">
        <f t="array" ref="CP32">IF(INDEX(Data!$B$4:$L$947,MATCH(Graphs!$CK32,Data!$A$4:$A$947,0),MATCH(Graphs!CP$4,Data!$B$3:$L$3,0))="n.q.",NA(),INDEX(Data!$B$4:$L$947,MATCH(Graphs!$CK32,Data!$A$4:$A$947,0),MATCH(Graphs!CP$4,Data!$B$3:$L$3,0)))</f>
        <v>#N/A</v>
      </c>
      <c r="CQ32" s="5"/>
      <c r="CR32" s="24">
        <f t="array" ref="CR32">IF(INDEX(Data!$P$4:$Z$947,MATCH(Graphs!$CK32,Data!$A$4:$A$947,0),MATCH(Graphs!CR$4,Data!$P$3:$Z$3,0))="n.q.",NA(),INDEX(Data!$P$4:$Z$947,MATCH(Graphs!$CK32,Data!$A$4:$A$947,0),MATCH(Graphs!CR$4,Data!$P$3:$Z$3,0)))</f>
        <v>189.5190363</v>
      </c>
      <c r="CS32" s="24" t="str">
        <f t="array" ref="CS32">IF(INDEX(Data!$P$4:$Z$947,MATCH(Graphs!$CK32,Data!$A$4:$A$947,0),MATCH(Graphs!CS$4,Data!$P$3:$Z$3,0))="n.q.",NA(),INDEX(Data!$P$4:$Z$947,MATCH(Graphs!$CK32,Data!$A$4:$A$947,0),MATCH(Graphs!CS$4,Data!$P$3:$Z$3,0)))</f>
        <v>#N/A</v>
      </c>
      <c r="CT32" s="24">
        <f t="array" ref="CT32">IF(INDEX(Data!$P$4:$Z$947,MATCH(Graphs!$CK32,Data!$A$4:$A$947,0),MATCH(Graphs!CT$4,Data!$P$3:$Z$3,0))="n.q.",NA(),INDEX(Data!$P$4:$Z$947,MATCH(Graphs!$CK32,Data!$A$4:$A$947,0),MATCH(Graphs!CT$4,Data!$P$3:$Z$3,0)))</f>
        <v>218.9395938</v>
      </c>
      <c r="CU32" s="24" t="str">
        <f t="array" ref="CU32">IF(INDEX(Data!$P$4:$Z$947,MATCH(Graphs!$CK32,Data!$A$4:$A$947,0),MATCH(Graphs!CU$4,Data!$P$3:$Z$3,0))="n.q.",NA(),INDEX(Data!$P$4:$Z$947,MATCH(Graphs!$CK32,Data!$A$4:$A$947,0),MATCH(Graphs!CU$4,Data!$P$3:$Z$3,0)))</f>
        <v>#N/A</v>
      </c>
      <c r="CV32" s="24" t="str">
        <f t="array" ref="CV32">IF(INDEX(Data!$P$4:$Z$947,MATCH(Graphs!$CK32,Data!$A$4:$A$947,0),MATCH(Graphs!CV$4,Data!$P$3:$Z$3,0))="n.q.",NA(),INDEX(Data!$P$4:$Z$947,MATCH(Graphs!$CK32,Data!$A$4:$A$947,0),MATCH(Graphs!CV$4,Data!$P$3:$Z$3,0)))</f>
        <v>#N/A</v>
      </c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4"/>
      <c r="CI33" s="4"/>
      <c r="CJ33" s="5"/>
      <c r="CK33" s="22">
        <f>Data!A32</f>
        <v>45770</v>
      </c>
      <c r="CL33" s="24">
        <f t="array" ref="CL33">IF(INDEX(Data!$B$4:$L$947,MATCH(Graphs!$CK33,Data!$A$4:$A$947,0),MATCH(Graphs!CL$4,Data!$B$3:$L$3,0))="n.q.",NA(),INDEX(Data!$B$4:$L$947,MATCH(Graphs!$CK33,Data!$A$4:$A$947,0),MATCH(Graphs!CL$4,Data!$B$3:$L$3,0)))</f>
        <v>240.71</v>
      </c>
      <c r="CM33" s="24">
        <f t="array" ref="CM33">IF(INDEX(Data!$B$4:$L$947,MATCH(Graphs!$CK33,Data!$A$4:$A$947,0),MATCH(Graphs!CM$4,Data!$B$3:$L$3,0))="n.q.",NA(),INDEX(Data!$B$4:$L$947,MATCH(Graphs!$CK33,Data!$A$4:$A$947,0),MATCH(Graphs!CM$4,Data!$B$3:$L$3,0)))</f>
        <v>245.36</v>
      </c>
      <c r="CN33" s="24">
        <f t="array" ref="CN33">IF(INDEX(Data!$B$4:$L$947,MATCH(Graphs!$CK33,Data!$A$4:$A$947,0),MATCH(Graphs!CN$4,Data!$B$3:$L$3,0))="n.q.",NA(),INDEX(Data!$B$4:$L$947,MATCH(Graphs!$CK33,Data!$A$4:$A$947,0),MATCH(Graphs!CN$4,Data!$B$3:$L$3,0)))</f>
        <v>235</v>
      </c>
      <c r="CO33" s="24" t="str">
        <f t="array" ref="CO33">IF(INDEX(Data!$B$4:$L$947,MATCH(Graphs!$CK33,Data!$A$4:$A$947,0),MATCH(Graphs!CO$4,Data!$B$3:$L$3,0))="n.q.",NA(),INDEX(Data!$B$4:$L$947,MATCH(Graphs!$CK33,Data!$A$4:$A$947,0),MATCH(Graphs!CO$4,Data!$B$3:$L$3,0)))</f>
        <v>#N/A</v>
      </c>
      <c r="CP33" s="24" t="str">
        <f t="array" ref="CP33">IF(INDEX(Data!$B$4:$L$947,MATCH(Graphs!$CK33,Data!$A$4:$A$947,0),MATCH(Graphs!CP$4,Data!$B$3:$L$3,0))="n.q.",NA(),INDEX(Data!$B$4:$L$947,MATCH(Graphs!$CK33,Data!$A$4:$A$947,0),MATCH(Graphs!CP$4,Data!$B$3:$L$3,0)))</f>
        <v>#N/A</v>
      </c>
      <c r="CQ33" s="5"/>
      <c r="CR33" s="24">
        <f t="array" ref="CR33">IF(INDEX(Data!$P$4:$Z$947,MATCH(Graphs!$CK33,Data!$A$4:$A$947,0),MATCH(Graphs!CR$4,Data!$P$3:$Z$3,0))="n.q.",NA(),INDEX(Data!$P$4:$Z$947,MATCH(Graphs!$CK33,Data!$A$4:$A$947,0),MATCH(Graphs!CR$4,Data!$P$3:$Z$3,0)))</f>
        <v>190.7227332</v>
      </c>
      <c r="CS33" s="24" t="str">
        <f t="array" ref="CS33">IF(INDEX(Data!$P$4:$Z$947,MATCH(Graphs!$CK33,Data!$A$4:$A$947,0),MATCH(Graphs!CS$4,Data!$P$3:$Z$3,0))="n.q.",NA(),INDEX(Data!$P$4:$Z$947,MATCH(Graphs!$CK33,Data!$A$4:$A$947,0),MATCH(Graphs!CS$4,Data!$P$3:$Z$3,0)))</f>
        <v>#N/A</v>
      </c>
      <c r="CT33" s="24">
        <f t="array" ref="CT33">IF(INDEX(Data!$P$4:$Z$947,MATCH(Graphs!$CK33,Data!$A$4:$A$947,0),MATCH(Graphs!CT$4,Data!$P$3:$Z$3,0))="n.q.",NA(),INDEX(Data!$P$4:$Z$947,MATCH(Graphs!$CK33,Data!$A$4:$A$947,0),MATCH(Graphs!CT$4,Data!$P$3:$Z$3,0)))</f>
        <v>212.8777924</v>
      </c>
      <c r="CU33" s="24" t="str">
        <f t="array" ref="CU33">IF(INDEX(Data!$P$4:$Z$947,MATCH(Graphs!$CK33,Data!$A$4:$A$947,0),MATCH(Graphs!CU$4,Data!$P$3:$Z$3,0))="n.q.",NA(),INDEX(Data!$P$4:$Z$947,MATCH(Graphs!$CK33,Data!$A$4:$A$947,0),MATCH(Graphs!CU$4,Data!$P$3:$Z$3,0)))</f>
        <v>#N/A</v>
      </c>
      <c r="CV33" s="24" t="str">
        <f t="array" ref="CV33">IF(INDEX(Data!$P$4:$Z$947,MATCH(Graphs!$CK33,Data!$A$4:$A$947,0),MATCH(Graphs!CV$4,Data!$P$3:$Z$3,0))="n.q.",NA(),INDEX(Data!$P$4:$Z$947,MATCH(Graphs!$CK33,Data!$A$4:$A$947,0),MATCH(Graphs!CV$4,Data!$P$3:$Z$3,0)))</f>
        <v>#N/A</v>
      </c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4"/>
      <c r="CI34" s="4"/>
      <c r="CJ34" s="5"/>
      <c r="CK34" s="22">
        <f>Data!A33</f>
        <v>45763</v>
      </c>
      <c r="CL34" s="24">
        <f t="array" ref="CL34">IF(INDEX(Data!$B$4:$L$947,MATCH(Graphs!$CK34,Data!$A$4:$A$947,0),MATCH(Graphs!CL$4,Data!$B$3:$L$3,0))="n.q.",NA(),INDEX(Data!$B$4:$L$947,MATCH(Graphs!$CK34,Data!$A$4:$A$947,0),MATCH(Graphs!CL$4,Data!$B$3:$L$3,0)))</f>
        <v>243.77</v>
      </c>
      <c r="CM34" s="24">
        <f t="array" ref="CM34">IF(INDEX(Data!$B$4:$L$947,MATCH(Graphs!$CK34,Data!$A$4:$A$947,0),MATCH(Graphs!CM$4,Data!$B$3:$L$3,0))="n.q.",NA(),INDEX(Data!$B$4:$L$947,MATCH(Graphs!$CK34,Data!$A$4:$A$947,0),MATCH(Graphs!CM$4,Data!$B$3:$L$3,0)))</f>
        <v>250.96</v>
      </c>
      <c r="CN34" s="24">
        <f t="array" ref="CN34">IF(INDEX(Data!$B$4:$L$947,MATCH(Graphs!$CK34,Data!$A$4:$A$947,0),MATCH(Graphs!CN$4,Data!$B$3:$L$3,0))="n.q.",NA(),INDEX(Data!$B$4:$L$947,MATCH(Graphs!$CK34,Data!$A$4:$A$947,0),MATCH(Graphs!CN$4,Data!$B$3:$L$3,0)))</f>
        <v>234</v>
      </c>
      <c r="CO34" s="24" t="str">
        <f t="array" ref="CO34">IF(INDEX(Data!$B$4:$L$947,MATCH(Graphs!$CK34,Data!$A$4:$A$947,0),MATCH(Graphs!CO$4,Data!$B$3:$L$3,0))="n.q.",NA(),INDEX(Data!$B$4:$L$947,MATCH(Graphs!$CK34,Data!$A$4:$A$947,0),MATCH(Graphs!CO$4,Data!$B$3:$L$3,0)))</f>
        <v>#N/A</v>
      </c>
      <c r="CP34" s="24" t="str">
        <f t="array" ref="CP34">IF(INDEX(Data!$B$4:$L$947,MATCH(Graphs!$CK34,Data!$A$4:$A$947,0),MATCH(Graphs!CP$4,Data!$B$3:$L$3,0))="n.q.",NA(),INDEX(Data!$B$4:$L$947,MATCH(Graphs!$CK34,Data!$A$4:$A$947,0),MATCH(Graphs!CP$4,Data!$B$3:$L$3,0)))</f>
        <v>#N/A</v>
      </c>
      <c r="CQ34" s="5"/>
      <c r="CR34" s="24">
        <f t="array" ref="CR34">IF(INDEX(Data!$P$4:$Z$947,MATCH(Graphs!$CK34,Data!$A$4:$A$947,0),MATCH(Graphs!CR$4,Data!$P$3:$Z$3,0))="n.q.",NA(),INDEX(Data!$P$4:$Z$947,MATCH(Graphs!$CK34,Data!$A$4:$A$947,0),MATCH(Graphs!CR$4,Data!$P$3:$Z$3,0)))</f>
        <v>197.3579921</v>
      </c>
      <c r="CS34" s="24" t="str">
        <f t="array" ref="CS34">IF(INDEX(Data!$P$4:$Z$947,MATCH(Graphs!$CK34,Data!$A$4:$A$947,0),MATCH(Graphs!CS$4,Data!$P$3:$Z$3,0))="n.q.",NA(),INDEX(Data!$P$4:$Z$947,MATCH(Graphs!$CK34,Data!$A$4:$A$947,0),MATCH(Graphs!CS$4,Data!$P$3:$Z$3,0)))</f>
        <v>#N/A</v>
      </c>
      <c r="CT34" s="24">
        <f t="array" ref="CT34">IF(INDEX(Data!$P$4:$Z$947,MATCH(Graphs!$CK34,Data!$A$4:$A$947,0),MATCH(Graphs!CT$4,Data!$P$3:$Z$3,0))="n.q.",NA(),INDEX(Data!$P$4:$Z$947,MATCH(Graphs!$CK34,Data!$A$4:$A$947,0),MATCH(Graphs!CT$4,Data!$P$3:$Z$3,0)))</f>
        <v>213.1219727</v>
      </c>
      <c r="CU34" s="24" t="str">
        <f t="array" ref="CU34">IF(INDEX(Data!$P$4:$Z$947,MATCH(Graphs!$CK34,Data!$A$4:$A$947,0),MATCH(Graphs!CU$4,Data!$P$3:$Z$3,0))="n.q.",NA(),INDEX(Data!$P$4:$Z$947,MATCH(Graphs!$CK34,Data!$A$4:$A$947,0),MATCH(Graphs!CU$4,Data!$P$3:$Z$3,0)))</f>
        <v>#N/A</v>
      </c>
      <c r="CV34" s="24" t="str">
        <f t="array" ref="CV34">IF(INDEX(Data!$P$4:$Z$947,MATCH(Graphs!$CK34,Data!$A$4:$A$947,0),MATCH(Graphs!CV$4,Data!$P$3:$Z$3,0))="n.q.",NA(),INDEX(Data!$P$4:$Z$947,MATCH(Graphs!$CK34,Data!$A$4:$A$947,0),MATCH(Graphs!CV$4,Data!$P$3:$Z$3,0)))</f>
        <v>#N/A</v>
      </c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4"/>
      <c r="CI35" s="4"/>
      <c r="CJ35" s="5"/>
      <c r="CK35" s="22">
        <f>Data!A34</f>
        <v>45756</v>
      </c>
      <c r="CL35" s="24">
        <f t="array" ref="CL35">IF(INDEX(Data!$B$4:$L$947,MATCH(Graphs!$CK35,Data!$A$4:$A$947,0),MATCH(Graphs!CL$4,Data!$B$3:$L$3,0))="n.q.",NA(),INDEX(Data!$B$4:$L$947,MATCH(Graphs!$CK35,Data!$A$4:$A$947,0),MATCH(Graphs!CL$4,Data!$B$3:$L$3,0)))</f>
        <v>247.44</v>
      </c>
      <c r="CM35" s="24">
        <f t="array" ref="CM35">IF(INDEX(Data!$B$4:$L$947,MATCH(Graphs!$CK35,Data!$A$4:$A$947,0),MATCH(Graphs!CM$4,Data!$B$3:$L$3,0))="n.q.",NA(),INDEX(Data!$B$4:$L$947,MATCH(Graphs!$CK35,Data!$A$4:$A$947,0),MATCH(Graphs!CM$4,Data!$B$3:$L$3,0)))</f>
        <v>254.63</v>
      </c>
      <c r="CN35" s="24">
        <f t="array" ref="CN35">IF(INDEX(Data!$B$4:$L$947,MATCH(Graphs!$CK35,Data!$A$4:$A$947,0),MATCH(Graphs!CN$4,Data!$B$3:$L$3,0))="n.q.",NA(),INDEX(Data!$B$4:$L$947,MATCH(Graphs!$CK35,Data!$A$4:$A$947,0),MATCH(Graphs!CN$4,Data!$B$3:$L$3,0)))</f>
        <v>234</v>
      </c>
      <c r="CO35" s="24" t="str">
        <f t="array" ref="CO35">IF(INDEX(Data!$B$4:$L$947,MATCH(Graphs!$CK35,Data!$A$4:$A$947,0),MATCH(Graphs!CO$4,Data!$B$3:$L$3,0))="n.q.",NA(),INDEX(Data!$B$4:$L$947,MATCH(Graphs!$CK35,Data!$A$4:$A$947,0),MATCH(Graphs!CO$4,Data!$B$3:$L$3,0)))</f>
        <v>#N/A</v>
      </c>
      <c r="CP35" s="24" t="str">
        <f t="array" ref="CP35">IF(INDEX(Data!$B$4:$L$947,MATCH(Graphs!$CK35,Data!$A$4:$A$947,0),MATCH(Graphs!CP$4,Data!$B$3:$L$3,0))="n.q.",NA(),INDEX(Data!$B$4:$L$947,MATCH(Graphs!$CK35,Data!$A$4:$A$947,0),MATCH(Graphs!CP$4,Data!$B$3:$L$3,0)))</f>
        <v>#N/A</v>
      </c>
      <c r="CQ35" s="5"/>
      <c r="CR35" s="24">
        <f t="array" ref="CR35">IF(INDEX(Data!$P$4:$Z$947,MATCH(Graphs!$CK35,Data!$A$4:$A$947,0),MATCH(Graphs!CR$4,Data!$P$3:$Z$3,0))="n.q.",NA(),INDEX(Data!$P$4:$Z$947,MATCH(Graphs!$CK35,Data!$A$4:$A$947,0),MATCH(Graphs!CR$4,Data!$P$3:$Z$3,0)))</f>
        <v>198.533273</v>
      </c>
      <c r="CS35" s="24" t="str">
        <f t="array" ref="CS35">IF(INDEX(Data!$P$4:$Z$947,MATCH(Graphs!$CK35,Data!$A$4:$A$947,0),MATCH(Graphs!CS$4,Data!$P$3:$Z$3,0))="n.q.",NA(),INDEX(Data!$P$4:$Z$947,MATCH(Graphs!$CK35,Data!$A$4:$A$947,0),MATCH(Graphs!CS$4,Data!$P$3:$Z$3,0)))</f>
        <v>#N/A</v>
      </c>
      <c r="CT35" s="24">
        <f t="array" ref="CT35">IF(INDEX(Data!$P$4:$Z$947,MATCH(Graphs!$CK35,Data!$A$4:$A$947,0),MATCH(Graphs!CT$4,Data!$P$3:$Z$3,0))="n.q.",NA(),INDEX(Data!$P$4:$Z$947,MATCH(Graphs!$CK35,Data!$A$4:$A$947,0),MATCH(Graphs!CT$4,Data!$P$3:$Z$3,0)))</f>
        <v>219.1036668</v>
      </c>
      <c r="CU35" s="24" t="str">
        <f t="array" ref="CU35">IF(INDEX(Data!$P$4:$Z$947,MATCH(Graphs!$CK35,Data!$A$4:$A$947,0),MATCH(Graphs!CU$4,Data!$P$3:$Z$3,0))="n.q.",NA(),INDEX(Data!$P$4:$Z$947,MATCH(Graphs!$CK35,Data!$A$4:$A$947,0),MATCH(Graphs!CU$4,Data!$P$3:$Z$3,0)))</f>
        <v>#N/A</v>
      </c>
      <c r="CV35" s="24" t="str">
        <f t="array" ref="CV35">IF(INDEX(Data!$P$4:$Z$947,MATCH(Graphs!$CK35,Data!$A$4:$A$947,0),MATCH(Graphs!CV$4,Data!$P$3:$Z$3,0))="n.q.",NA(),INDEX(Data!$P$4:$Z$947,MATCH(Graphs!$CK35,Data!$A$4:$A$947,0),MATCH(Graphs!CV$4,Data!$P$3:$Z$3,0)))</f>
        <v>#N/A</v>
      </c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4"/>
      <c r="CI36" s="4"/>
      <c r="CJ36" s="5"/>
      <c r="CK36" s="22">
        <f>Data!A35</f>
        <v>45749</v>
      </c>
      <c r="CL36" s="24">
        <f t="array" ref="CL36">IF(INDEX(Data!$B$4:$L$947,MATCH(Graphs!$CK36,Data!$A$4:$A$947,0),MATCH(Graphs!CL$4,Data!$B$3:$L$3,0))="n.q.",NA(),INDEX(Data!$B$4:$L$947,MATCH(Graphs!$CK36,Data!$A$4:$A$947,0),MATCH(Graphs!CL$4,Data!$B$3:$L$3,0)))</f>
        <v>243.61</v>
      </c>
      <c r="CM36" s="24">
        <f t="array" ref="CM36">IF(INDEX(Data!$B$4:$L$947,MATCH(Graphs!$CK36,Data!$A$4:$A$947,0),MATCH(Graphs!CM$4,Data!$B$3:$L$3,0))="n.q.",NA(),INDEX(Data!$B$4:$L$947,MATCH(Graphs!$CK36,Data!$A$4:$A$947,0),MATCH(Graphs!CM$4,Data!$B$3:$L$3,0)))</f>
        <v>254.82</v>
      </c>
      <c r="CN36" s="24">
        <f t="array" ref="CN36">IF(INDEX(Data!$B$4:$L$947,MATCH(Graphs!$CK36,Data!$A$4:$A$947,0),MATCH(Graphs!CN$4,Data!$B$3:$L$3,0))="n.q.",NA(),INDEX(Data!$B$4:$L$947,MATCH(Graphs!$CK36,Data!$A$4:$A$947,0),MATCH(Graphs!CN$4,Data!$B$3:$L$3,0)))</f>
        <v>236</v>
      </c>
      <c r="CO36" s="24" t="str">
        <f t="array" ref="CO36">IF(INDEX(Data!$B$4:$L$947,MATCH(Graphs!$CK36,Data!$A$4:$A$947,0),MATCH(Graphs!CO$4,Data!$B$3:$L$3,0))="n.q.",NA(),INDEX(Data!$B$4:$L$947,MATCH(Graphs!$CK36,Data!$A$4:$A$947,0),MATCH(Graphs!CO$4,Data!$B$3:$L$3,0)))</f>
        <v>#N/A</v>
      </c>
      <c r="CP36" s="24" t="str">
        <f t="array" ref="CP36">IF(INDEX(Data!$B$4:$L$947,MATCH(Graphs!$CK36,Data!$A$4:$A$947,0),MATCH(Graphs!CP$4,Data!$B$3:$L$3,0))="n.q.",NA(),INDEX(Data!$B$4:$L$947,MATCH(Graphs!$CK36,Data!$A$4:$A$947,0),MATCH(Graphs!CP$4,Data!$B$3:$L$3,0)))</f>
        <v>#N/A</v>
      </c>
      <c r="CQ36" s="5"/>
      <c r="CR36" s="24">
        <f t="array" ref="CR36">IF(INDEX(Data!$P$4:$Z$947,MATCH(Graphs!$CK36,Data!$A$4:$A$947,0),MATCH(Graphs!CR$4,Data!$P$3:$Z$3,0))="n.q.",NA(),INDEX(Data!$P$4:$Z$947,MATCH(Graphs!$CK36,Data!$A$4:$A$947,0),MATCH(Graphs!CR$4,Data!$P$3:$Z$3,0)))</f>
        <v>195.2420624</v>
      </c>
      <c r="CS36" s="24" t="str">
        <f t="array" ref="CS36">IF(INDEX(Data!$P$4:$Z$947,MATCH(Graphs!$CK36,Data!$A$4:$A$947,0),MATCH(Graphs!CS$4,Data!$P$3:$Z$3,0))="n.q.",NA(),INDEX(Data!$P$4:$Z$947,MATCH(Graphs!$CK36,Data!$A$4:$A$947,0),MATCH(Graphs!CS$4,Data!$P$3:$Z$3,0)))</f>
        <v>#N/A</v>
      </c>
      <c r="CT36" s="24">
        <f t="array" ref="CT36">IF(INDEX(Data!$P$4:$Z$947,MATCH(Graphs!$CK36,Data!$A$4:$A$947,0),MATCH(Graphs!CT$4,Data!$P$3:$Z$3,0))="n.q.",NA(),INDEX(Data!$P$4:$Z$947,MATCH(Graphs!$CK36,Data!$A$4:$A$947,0),MATCH(Graphs!CT$4,Data!$P$3:$Z$3,0)))</f>
        <v>221.2348422</v>
      </c>
      <c r="CU36" s="24" t="str">
        <f t="array" ref="CU36">IF(INDEX(Data!$P$4:$Z$947,MATCH(Graphs!$CK36,Data!$A$4:$A$947,0),MATCH(Graphs!CU$4,Data!$P$3:$Z$3,0))="n.q.",NA(),INDEX(Data!$P$4:$Z$947,MATCH(Graphs!$CK36,Data!$A$4:$A$947,0),MATCH(Graphs!CU$4,Data!$P$3:$Z$3,0)))</f>
        <v>#N/A</v>
      </c>
      <c r="CV36" s="24" t="str">
        <f t="array" ref="CV36">IF(INDEX(Data!$P$4:$Z$947,MATCH(Graphs!$CK36,Data!$A$4:$A$947,0),MATCH(Graphs!CV$4,Data!$P$3:$Z$3,0))="n.q.",NA(),INDEX(Data!$P$4:$Z$947,MATCH(Graphs!$CK36,Data!$A$4:$A$947,0),MATCH(Graphs!CV$4,Data!$P$3:$Z$3,0)))</f>
        <v>#N/A</v>
      </c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4"/>
      <c r="CI37" s="4"/>
      <c r="CJ37" s="5"/>
      <c r="CK37" s="22">
        <f>Data!A36</f>
        <v>45742</v>
      </c>
      <c r="CL37" s="24">
        <f t="array" ref="CL37">IF(INDEX(Data!$B$4:$L$947,MATCH(Graphs!$CK37,Data!$A$4:$A$947,0),MATCH(Graphs!CL$4,Data!$B$3:$L$3,0))="n.q.",NA(),INDEX(Data!$B$4:$L$947,MATCH(Graphs!$CK37,Data!$A$4:$A$947,0),MATCH(Graphs!CL$4,Data!$B$3:$L$3,0)))</f>
        <v>240.81</v>
      </c>
      <c r="CM37" s="24">
        <f t="array" ref="CM37">IF(INDEX(Data!$B$4:$L$947,MATCH(Graphs!$CK37,Data!$A$4:$A$947,0),MATCH(Graphs!CM$4,Data!$B$3:$L$3,0))="n.q.",NA(),INDEX(Data!$B$4:$L$947,MATCH(Graphs!$CK37,Data!$A$4:$A$947,0),MATCH(Graphs!CM$4,Data!$B$3:$L$3,0)))</f>
        <v>253.53</v>
      </c>
      <c r="CN37" s="24">
        <f t="array" ref="CN37">IF(INDEX(Data!$B$4:$L$947,MATCH(Graphs!$CK37,Data!$A$4:$A$947,0),MATCH(Graphs!CN$4,Data!$B$3:$L$3,0))="n.q.",NA(),INDEX(Data!$B$4:$L$947,MATCH(Graphs!$CK37,Data!$A$4:$A$947,0),MATCH(Graphs!CN$4,Data!$B$3:$L$3,0)))</f>
        <v>237</v>
      </c>
      <c r="CO37" s="24" t="str">
        <f t="array" ref="CO37">IF(INDEX(Data!$B$4:$L$947,MATCH(Graphs!$CK37,Data!$A$4:$A$947,0),MATCH(Graphs!CO$4,Data!$B$3:$L$3,0))="n.q.",NA(),INDEX(Data!$B$4:$L$947,MATCH(Graphs!$CK37,Data!$A$4:$A$947,0),MATCH(Graphs!CO$4,Data!$B$3:$L$3,0)))</f>
        <v>#N/A</v>
      </c>
      <c r="CP37" s="24" t="str">
        <f t="array" ref="CP37">IF(INDEX(Data!$B$4:$L$947,MATCH(Graphs!$CK37,Data!$A$4:$A$947,0),MATCH(Graphs!CP$4,Data!$B$3:$L$3,0))="n.q.",NA(),INDEX(Data!$B$4:$L$947,MATCH(Graphs!$CK37,Data!$A$4:$A$947,0),MATCH(Graphs!CP$4,Data!$B$3:$L$3,0)))</f>
        <v>#N/A</v>
      </c>
      <c r="CQ37" s="5"/>
      <c r="CR37" s="24">
        <f t="array" ref="CR37">IF(INDEX(Data!$P$4:$Z$947,MATCH(Graphs!$CK37,Data!$A$4:$A$947,0),MATCH(Graphs!CR$4,Data!$P$3:$Z$3,0))="n.q.",NA(),INDEX(Data!$P$4:$Z$947,MATCH(Graphs!$CK37,Data!$A$4:$A$947,0),MATCH(Graphs!CR$4,Data!$P$3:$Z$3,0)))</f>
        <v>191.3144234</v>
      </c>
      <c r="CS37" s="24" t="str">
        <f t="array" ref="CS37">IF(INDEX(Data!$P$4:$Z$947,MATCH(Graphs!$CK37,Data!$A$4:$A$947,0),MATCH(Graphs!CS$4,Data!$P$3:$Z$3,0))="n.q.",NA(),INDEX(Data!$P$4:$Z$947,MATCH(Graphs!$CK37,Data!$A$4:$A$947,0),MATCH(Graphs!CS$4,Data!$P$3:$Z$3,0)))</f>
        <v>#N/A</v>
      </c>
      <c r="CT37" s="24">
        <f t="array" ref="CT37">IF(INDEX(Data!$P$4:$Z$947,MATCH(Graphs!$CK37,Data!$A$4:$A$947,0),MATCH(Graphs!CT$4,Data!$P$3:$Z$3,0))="n.q.",NA(),INDEX(Data!$P$4:$Z$947,MATCH(Graphs!$CK37,Data!$A$4:$A$947,0),MATCH(Graphs!CT$4,Data!$P$3:$Z$3,0)))</f>
        <v>219.6885428</v>
      </c>
      <c r="CU37" s="24" t="str">
        <f t="array" ref="CU37">IF(INDEX(Data!$P$4:$Z$947,MATCH(Graphs!$CK37,Data!$A$4:$A$947,0),MATCH(Graphs!CU$4,Data!$P$3:$Z$3,0))="n.q.",NA(),INDEX(Data!$P$4:$Z$947,MATCH(Graphs!$CK37,Data!$A$4:$A$947,0),MATCH(Graphs!CU$4,Data!$P$3:$Z$3,0)))</f>
        <v>#N/A</v>
      </c>
      <c r="CV37" s="24" t="str">
        <f t="array" ref="CV37">IF(INDEX(Data!$P$4:$Z$947,MATCH(Graphs!$CK37,Data!$A$4:$A$947,0),MATCH(Graphs!CV$4,Data!$P$3:$Z$3,0))="n.q.",NA(),INDEX(Data!$P$4:$Z$947,MATCH(Graphs!$CK37,Data!$A$4:$A$947,0),MATCH(Graphs!CV$4,Data!$P$3:$Z$3,0)))</f>
        <v>#N/A</v>
      </c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4"/>
      <c r="CI38" s="4"/>
      <c r="CJ38" s="5"/>
      <c r="CK38" s="22">
        <f>Data!A37</f>
        <v>45735</v>
      </c>
      <c r="CL38" s="24">
        <f t="array" ref="CL38">IF(INDEX(Data!$B$4:$L$947,MATCH(Graphs!$CK38,Data!$A$4:$A$947,0),MATCH(Graphs!CL$4,Data!$B$3:$L$3,0))="n.q.",NA(),INDEX(Data!$B$4:$L$947,MATCH(Graphs!$CK38,Data!$A$4:$A$947,0),MATCH(Graphs!CL$4,Data!$B$3:$L$3,0)))</f>
        <v>249.53</v>
      </c>
      <c r="CM38" s="24">
        <f t="array" ref="CM38">IF(INDEX(Data!$B$4:$L$947,MATCH(Graphs!$CK38,Data!$A$4:$A$947,0),MATCH(Graphs!CM$4,Data!$B$3:$L$3,0))="n.q.",NA(),INDEX(Data!$B$4:$L$947,MATCH(Graphs!$CK38,Data!$A$4:$A$947,0),MATCH(Graphs!CM$4,Data!$B$3:$L$3,0)))</f>
        <v>264.46</v>
      </c>
      <c r="CN38" s="24">
        <f t="array" ref="CN38">IF(INDEX(Data!$B$4:$L$947,MATCH(Graphs!$CK38,Data!$A$4:$A$947,0),MATCH(Graphs!CN$4,Data!$B$3:$L$3,0))="n.q.",NA(),INDEX(Data!$B$4:$L$947,MATCH(Graphs!$CK38,Data!$A$4:$A$947,0),MATCH(Graphs!CN$4,Data!$B$3:$L$3,0)))</f>
        <v>237</v>
      </c>
      <c r="CO38" s="24" t="str">
        <f t="array" ref="CO38">IF(INDEX(Data!$B$4:$L$947,MATCH(Graphs!$CK38,Data!$A$4:$A$947,0),MATCH(Graphs!CO$4,Data!$B$3:$L$3,0))="n.q.",NA(),INDEX(Data!$B$4:$L$947,MATCH(Graphs!$CK38,Data!$A$4:$A$947,0),MATCH(Graphs!CO$4,Data!$B$3:$L$3,0)))</f>
        <v>#N/A</v>
      </c>
      <c r="CP38" s="24" t="str">
        <f t="array" ref="CP38">IF(INDEX(Data!$B$4:$L$947,MATCH(Graphs!$CK38,Data!$A$4:$A$947,0),MATCH(Graphs!CP$4,Data!$B$3:$L$3,0))="n.q.",NA(),INDEX(Data!$B$4:$L$947,MATCH(Graphs!$CK38,Data!$A$4:$A$947,0),MATCH(Graphs!CP$4,Data!$B$3:$L$3,0)))</f>
        <v>#N/A</v>
      </c>
      <c r="CQ38" s="5"/>
      <c r="CR38" s="24">
        <f t="array" ref="CR38">IF(INDEX(Data!$P$4:$Z$947,MATCH(Graphs!$CK38,Data!$A$4:$A$947,0),MATCH(Graphs!CR$4,Data!$P$3:$Z$3,0))="n.q.",NA(),INDEX(Data!$P$4:$Z$947,MATCH(Graphs!$CK38,Data!$A$4:$A$947,0),MATCH(Graphs!CR$4,Data!$P$3:$Z$3,0)))</f>
        <v>194.3654217</v>
      </c>
      <c r="CS38" s="24" t="str">
        <f t="array" ref="CS38">IF(INDEX(Data!$P$4:$Z$947,MATCH(Graphs!$CK38,Data!$A$4:$A$947,0),MATCH(Graphs!CS$4,Data!$P$3:$Z$3,0))="n.q.",NA(),INDEX(Data!$P$4:$Z$947,MATCH(Graphs!$CK38,Data!$A$4:$A$947,0),MATCH(Graphs!CS$4,Data!$P$3:$Z$3,0)))</f>
        <v>#N/A</v>
      </c>
      <c r="CT38" s="24">
        <f t="array" ref="CT38">IF(INDEX(Data!$P$4:$Z$947,MATCH(Graphs!$CK38,Data!$A$4:$A$947,0),MATCH(Graphs!CT$4,Data!$P$3:$Z$3,0))="n.q.",NA(),INDEX(Data!$P$4:$Z$947,MATCH(Graphs!$CK38,Data!$A$4:$A$947,0),MATCH(Graphs!CT$4,Data!$P$3:$Z$3,0)))</f>
        <v>217.4910526</v>
      </c>
      <c r="CU38" s="24" t="str">
        <f t="array" ref="CU38">IF(INDEX(Data!$P$4:$Z$947,MATCH(Graphs!$CK38,Data!$A$4:$A$947,0),MATCH(Graphs!CU$4,Data!$P$3:$Z$3,0))="n.q.",NA(),INDEX(Data!$P$4:$Z$947,MATCH(Graphs!$CK38,Data!$A$4:$A$947,0),MATCH(Graphs!CU$4,Data!$P$3:$Z$3,0)))</f>
        <v>#N/A</v>
      </c>
      <c r="CV38" s="24" t="str">
        <f t="array" ref="CV38">IF(INDEX(Data!$P$4:$Z$947,MATCH(Graphs!$CK38,Data!$A$4:$A$947,0),MATCH(Graphs!CV$4,Data!$P$3:$Z$3,0))="n.q.",NA(),INDEX(Data!$P$4:$Z$947,MATCH(Graphs!$CK38,Data!$A$4:$A$947,0),MATCH(Graphs!CV$4,Data!$P$3:$Z$3,0)))</f>
        <v>#N/A</v>
      </c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4"/>
      <c r="CI39" s="4"/>
      <c r="CJ39" s="5"/>
      <c r="CK39" s="22">
        <f>Data!A38</f>
        <v>45728</v>
      </c>
      <c r="CL39" s="24">
        <f t="array" ref="CL39">IF(INDEX(Data!$B$4:$L$947,MATCH(Graphs!$CK39,Data!$A$4:$A$947,0),MATCH(Graphs!CL$4,Data!$B$3:$L$3,0))="n.q.",NA(),INDEX(Data!$B$4:$L$947,MATCH(Graphs!$CK39,Data!$A$4:$A$947,0),MATCH(Graphs!CL$4,Data!$B$3:$L$3,0)))</f>
        <v>245.62</v>
      </c>
      <c r="CM39" s="24">
        <f t="array" ref="CM39">IF(INDEX(Data!$B$4:$L$947,MATCH(Graphs!$CK39,Data!$A$4:$A$947,0),MATCH(Graphs!CM$4,Data!$B$3:$L$3,0))="n.q.",NA(),INDEX(Data!$B$4:$L$947,MATCH(Graphs!$CK39,Data!$A$4:$A$947,0),MATCH(Graphs!CM$4,Data!$B$3:$L$3,0)))</f>
        <v>256.47</v>
      </c>
      <c r="CN39" s="24">
        <f t="array" ref="CN39">IF(INDEX(Data!$B$4:$L$947,MATCH(Graphs!$CK39,Data!$A$4:$A$947,0),MATCH(Graphs!CN$4,Data!$B$3:$L$3,0))="n.q.",NA(),INDEX(Data!$B$4:$L$947,MATCH(Graphs!$CK39,Data!$A$4:$A$947,0),MATCH(Graphs!CN$4,Data!$B$3:$L$3,0)))</f>
        <v>233</v>
      </c>
      <c r="CO39" s="24" t="str">
        <f t="array" ref="CO39">IF(INDEX(Data!$B$4:$L$947,MATCH(Graphs!$CK39,Data!$A$4:$A$947,0),MATCH(Graphs!CO$4,Data!$B$3:$L$3,0))="n.q.",NA(),INDEX(Data!$B$4:$L$947,MATCH(Graphs!$CK39,Data!$A$4:$A$947,0),MATCH(Graphs!CO$4,Data!$B$3:$L$3,0)))</f>
        <v>#N/A</v>
      </c>
      <c r="CP39" s="24" t="str">
        <f t="array" ref="CP39">IF(INDEX(Data!$B$4:$L$947,MATCH(Graphs!$CK39,Data!$A$4:$A$947,0),MATCH(Graphs!CP$4,Data!$B$3:$L$3,0))="n.q.",NA(),INDEX(Data!$B$4:$L$947,MATCH(Graphs!$CK39,Data!$A$4:$A$947,0),MATCH(Graphs!CP$4,Data!$B$3:$L$3,0)))</f>
        <v>#N/A</v>
      </c>
      <c r="CQ39" s="5"/>
      <c r="CR39" s="24">
        <f t="array" ref="CR39">IF(INDEX(Data!$P$4:$Z$947,MATCH(Graphs!$CK39,Data!$A$4:$A$947,0),MATCH(Graphs!CR$4,Data!$P$3:$Z$3,0))="n.q.",NA(),INDEX(Data!$P$4:$Z$947,MATCH(Graphs!$CK39,Data!$A$4:$A$947,0),MATCH(Graphs!CR$4,Data!$P$3:$Z$3,0)))</f>
        <v>193.3860004</v>
      </c>
      <c r="CS39" s="24" t="str">
        <f t="array" ref="CS39">IF(INDEX(Data!$P$4:$Z$947,MATCH(Graphs!$CK39,Data!$A$4:$A$947,0),MATCH(Graphs!CS$4,Data!$P$3:$Z$3,0))="n.q.",NA(),INDEX(Data!$P$4:$Z$947,MATCH(Graphs!$CK39,Data!$A$4:$A$947,0),MATCH(Graphs!CS$4,Data!$P$3:$Z$3,0)))</f>
        <v>#N/A</v>
      </c>
      <c r="CT39" s="24">
        <f t="array" ref="CT39">IF(INDEX(Data!$P$4:$Z$947,MATCH(Graphs!$CK39,Data!$A$4:$A$947,0),MATCH(Graphs!CT$4,Data!$P$3:$Z$3,0))="n.q.",NA(),INDEX(Data!$P$4:$Z$947,MATCH(Graphs!$CK39,Data!$A$4:$A$947,0),MATCH(Graphs!CT$4,Data!$P$3:$Z$3,0)))</f>
        <v>214.036377</v>
      </c>
      <c r="CU39" s="24" t="str">
        <f t="array" ref="CU39">IF(INDEX(Data!$P$4:$Z$947,MATCH(Graphs!$CK39,Data!$A$4:$A$947,0),MATCH(Graphs!CU$4,Data!$P$3:$Z$3,0))="n.q.",NA(),INDEX(Data!$P$4:$Z$947,MATCH(Graphs!$CK39,Data!$A$4:$A$947,0),MATCH(Graphs!CU$4,Data!$P$3:$Z$3,0)))</f>
        <v>#N/A</v>
      </c>
      <c r="CV39" s="24" t="str">
        <f t="array" ref="CV39">IF(INDEX(Data!$P$4:$Z$947,MATCH(Graphs!$CK39,Data!$A$4:$A$947,0),MATCH(Graphs!CV$4,Data!$P$3:$Z$3,0))="n.q.",NA(),INDEX(Data!$P$4:$Z$947,MATCH(Graphs!$CK39,Data!$A$4:$A$947,0),MATCH(Graphs!CV$4,Data!$P$3:$Z$3,0)))</f>
        <v>#N/A</v>
      </c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4"/>
      <c r="CI40" s="4"/>
      <c r="CJ40" s="5"/>
      <c r="CK40" s="22">
        <f>Data!A39</f>
        <v>45721</v>
      </c>
      <c r="CL40" s="24">
        <f t="array" ref="CL40">IF(INDEX(Data!$B$4:$L$947,MATCH(Graphs!$CK40,Data!$A$4:$A$947,0),MATCH(Graphs!CL$4,Data!$B$3:$L$3,0))="n.q.",NA(),INDEX(Data!$B$4:$L$947,MATCH(Graphs!$CK40,Data!$A$4:$A$947,0),MATCH(Graphs!CL$4,Data!$B$3:$L$3,0)))</f>
        <v>241.42</v>
      </c>
      <c r="CM40" s="24">
        <f t="array" ref="CM40">IF(INDEX(Data!$B$4:$L$947,MATCH(Graphs!$CK40,Data!$A$4:$A$947,0),MATCH(Graphs!CM$4,Data!$B$3:$L$3,0))="n.q.",NA(),INDEX(Data!$B$4:$L$947,MATCH(Graphs!$CK40,Data!$A$4:$A$947,0),MATCH(Graphs!CM$4,Data!$B$3:$L$3,0)))</f>
        <v>246.92</v>
      </c>
      <c r="CN40" s="24">
        <f t="array" ref="CN40">IF(INDEX(Data!$B$4:$L$947,MATCH(Graphs!$CK40,Data!$A$4:$A$947,0),MATCH(Graphs!CN$4,Data!$B$3:$L$3,0))="n.q.",NA(),INDEX(Data!$B$4:$L$947,MATCH(Graphs!$CK40,Data!$A$4:$A$947,0),MATCH(Graphs!CN$4,Data!$B$3:$L$3,0)))</f>
        <v>232</v>
      </c>
      <c r="CO40" s="24" t="str">
        <f t="array" ref="CO40">IF(INDEX(Data!$B$4:$L$947,MATCH(Graphs!$CK40,Data!$A$4:$A$947,0),MATCH(Graphs!CO$4,Data!$B$3:$L$3,0))="n.q.",NA(),INDEX(Data!$B$4:$L$947,MATCH(Graphs!$CK40,Data!$A$4:$A$947,0),MATCH(Graphs!CO$4,Data!$B$3:$L$3,0)))</f>
        <v>#N/A</v>
      </c>
      <c r="CP40" s="24" t="str">
        <f t="array" ref="CP40">IF(INDEX(Data!$B$4:$L$947,MATCH(Graphs!$CK40,Data!$A$4:$A$947,0),MATCH(Graphs!CP$4,Data!$B$3:$L$3,0))="n.q.",NA(),INDEX(Data!$B$4:$L$947,MATCH(Graphs!$CK40,Data!$A$4:$A$947,0),MATCH(Graphs!CP$4,Data!$B$3:$L$3,0)))</f>
        <v>#N/A</v>
      </c>
      <c r="CQ40" s="5"/>
      <c r="CR40" s="24">
        <f t="array" ref="CR40">IF(INDEX(Data!$P$4:$Z$947,MATCH(Graphs!$CK40,Data!$A$4:$A$947,0),MATCH(Graphs!CR$4,Data!$P$3:$Z$3,0))="n.q.",NA(),INDEX(Data!$P$4:$Z$947,MATCH(Graphs!$CK40,Data!$A$4:$A$947,0),MATCH(Graphs!CR$4,Data!$P$3:$Z$3,0)))</f>
        <v>193.5477838</v>
      </c>
      <c r="CS40" s="24" t="str">
        <f t="array" ref="CS40">IF(INDEX(Data!$P$4:$Z$947,MATCH(Graphs!$CK40,Data!$A$4:$A$947,0),MATCH(Graphs!CS$4,Data!$P$3:$Z$3,0))="n.q.",NA(),INDEX(Data!$P$4:$Z$947,MATCH(Graphs!$CK40,Data!$A$4:$A$947,0),MATCH(Graphs!CS$4,Data!$P$3:$Z$3,0)))</f>
        <v>#N/A</v>
      </c>
      <c r="CT40" s="24">
        <f t="array" ref="CT40">IF(INDEX(Data!$P$4:$Z$947,MATCH(Graphs!$CK40,Data!$A$4:$A$947,0),MATCH(Graphs!CT$4,Data!$P$3:$Z$3,0))="n.q.",NA(),INDEX(Data!$P$4:$Z$947,MATCH(Graphs!$CK40,Data!$A$4:$A$947,0),MATCH(Graphs!CT$4,Data!$P$3:$Z$3,0)))</f>
        <v>214.1387694</v>
      </c>
      <c r="CU40" s="24" t="str">
        <f t="array" ref="CU40">IF(INDEX(Data!$P$4:$Z$947,MATCH(Graphs!$CK40,Data!$A$4:$A$947,0),MATCH(Graphs!CU$4,Data!$P$3:$Z$3,0))="n.q.",NA(),INDEX(Data!$P$4:$Z$947,MATCH(Graphs!$CK40,Data!$A$4:$A$947,0),MATCH(Graphs!CU$4,Data!$P$3:$Z$3,0)))</f>
        <v>#N/A</v>
      </c>
      <c r="CV40" s="24" t="str">
        <f t="array" ref="CV40">IF(INDEX(Data!$P$4:$Z$947,MATCH(Graphs!$CK40,Data!$A$4:$A$947,0),MATCH(Graphs!CV$4,Data!$P$3:$Z$3,0))="n.q.",NA(),INDEX(Data!$P$4:$Z$947,MATCH(Graphs!$CK40,Data!$A$4:$A$947,0),MATCH(Graphs!CV$4,Data!$P$3:$Z$3,0)))</f>
        <v>#N/A</v>
      </c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4"/>
      <c r="CI41" s="4"/>
      <c r="CJ41" s="5"/>
      <c r="CK41" s="22">
        <f>Data!A40</f>
        <v>45714</v>
      </c>
      <c r="CL41" s="24">
        <f t="array" ref="CL41">IF(INDEX(Data!$B$4:$L$947,MATCH(Graphs!$CK41,Data!$A$4:$A$947,0),MATCH(Graphs!CL$4,Data!$B$3:$L$3,0))="n.q.",NA(),INDEX(Data!$B$4:$L$947,MATCH(Graphs!$CK41,Data!$A$4:$A$947,0),MATCH(Graphs!CL$4,Data!$B$3:$L$3,0)))</f>
        <v>241.07</v>
      </c>
      <c r="CM41" s="24">
        <f t="array" ref="CM41">IF(INDEX(Data!$B$4:$L$947,MATCH(Graphs!$CK41,Data!$A$4:$A$947,0),MATCH(Graphs!CM$4,Data!$B$3:$L$3,0))="n.q.",NA(),INDEX(Data!$B$4:$L$947,MATCH(Graphs!$CK41,Data!$A$4:$A$947,0),MATCH(Graphs!CM$4,Data!$B$3:$L$3,0)))</f>
        <v>257.21</v>
      </c>
      <c r="CN41" s="24">
        <f t="array" ref="CN41">IF(INDEX(Data!$B$4:$L$947,MATCH(Graphs!$CK41,Data!$A$4:$A$947,0),MATCH(Graphs!CN$4,Data!$B$3:$L$3,0))="n.q.",NA(),INDEX(Data!$B$4:$L$947,MATCH(Graphs!$CK41,Data!$A$4:$A$947,0),MATCH(Graphs!CN$4,Data!$B$3:$L$3,0)))</f>
        <v>234</v>
      </c>
      <c r="CO41" s="24" t="str">
        <f t="array" ref="CO41">IF(INDEX(Data!$B$4:$L$947,MATCH(Graphs!$CK41,Data!$A$4:$A$947,0),MATCH(Graphs!CO$4,Data!$B$3:$L$3,0))="n.q.",NA(),INDEX(Data!$B$4:$L$947,MATCH(Graphs!$CK41,Data!$A$4:$A$947,0),MATCH(Graphs!CO$4,Data!$B$3:$L$3,0)))</f>
        <v>#N/A</v>
      </c>
      <c r="CP41" s="24" t="str">
        <f t="array" ref="CP41">IF(INDEX(Data!$B$4:$L$947,MATCH(Graphs!$CK41,Data!$A$4:$A$947,0),MATCH(Graphs!CP$4,Data!$B$3:$L$3,0))="n.q.",NA(),INDEX(Data!$B$4:$L$947,MATCH(Graphs!$CK41,Data!$A$4:$A$947,0),MATCH(Graphs!CP$4,Data!$B$3:$L$3,0)))</f>
        <v>#N/A</v>
      </c>
      <c r="CQ41" s="5"/>
      <c r="CR41" s="24">
        <f t="array" ref="CR41">IF(INDEX(Data!$P$4:$Z$947,MATCH(Graphs!$CK41,Data!$A$4:$A$947,0),MATCH(Graphs!CR$4,Data!$P$3:$Z$3,0))="n.q.",NA(),INDEX(Data!$P$4:$Z$947,MATCH(Graphs!$CK41,Data!$A$4:$A$947,0),MATCH(Graphs!CR$4,Data!$P$3:$Z$3,0)))</f>
        <v>211.8241632</v>
      </c>
      <c r="CS41" s="24" t="str">
        <f t="array" ref="CS41">IF(INDEX(Data!$P$4:$Z$947,MATCH(Graphs!$CK41,Data!$A$4:$A$947,0),MATCH(Graphs!CS$4,Data!$P$3:$Z$3,0))="n.q.",NA(),INDEX(Data!$P$4:$Z$947,MATCH(Graphs!$CK41,Data!$A$4:$A$947,0),MATCH(Graphs!CS$4,Data!$P$3:$Z$3,0)))</f>
        <v>#N/A</v>
      </c>
      <c r="CT41" s="24">
        <f t="array" ref="CT41">IF(INDEX(Data!$P$4:$Z$947,MATCH(Graphs!$CK41,Data!$A$4:$A$947,0),MATCH(Graphs!CT$4,Data!$P$3:$Z$3,0))="n.q.",NA(),INDEX(Data!$P$4:$Z$947,MATCH(Graphs!$CK41,Data!$A$4:$A$947,0),MATCH(Graphs!CT$4,Data!$P$3:$Z$3,0)))</f>
        <v>221.2262802</v>
      </c>
      <c r="CU41" s="24" t="str">
        <f t="array" ref="CU41">IF(INDEX(Data!$P$4:$Z$947,MATCH(Graphs!$CK41,Data!$A$4:$A$947,0),MATCH(Graphs!CU$4,Data!$P$3:$Z$3,0))="n.q.",NA(),INDEX(Data!$P$4:$Z$947,MATCH(Graphs!$CK41,Data!$A$4:$A$947,0),MATCH(Graphs!CU$4,Data!$P$3:$Z$3,0)))</f>
        <v>#N/A</v>
      </c>
      <c r="CV41" s="24" t="str">
        <f t="array" ref="CV41">IF(INDEX(Data!$P$4:$Z$947,MATCH(Graphs!$CK41,Data!$A$4:$A$947,0),MATCH(Graphs!CV$4,Data!$P$3:$Z$3,0))="n.q.",NA(),INDEX(Data!$P$4:$Z$947,MATCH(Graphs!$CK41,Data!$A$4:$A$947,0),MATCH(Graphs!CV$4,Data!$P$3:$Z$3,0)))</f>
        <v>#N/A</v>
      </c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5"/>
      <c r="CK42" s="22">
        <f>Data!A41</f>
        <v>45707</v>
      </c>
      <c r="CL42" s="24">
        <f t="array" ref="CL42">IF(INDEX(Data!$B$4:$L$947,MATCH(Graphs!$CK42,Data!$A$4:$A$947,0),MATCH(Graphs!CL$4,Data!$B$3:$L$3,0))="n.q.",NA(),INDEX(Data!$B$4:$L$947,MATCH(Graphs!$CK42,Data!$A$4:$A$947,0),MATCH(Graphs!CL$4,Data!$B$3:$L$3,0)))</f>
        <v>243.78</v>
      </c>
      <c r="CM42" s="24">
        <f t="array" ref="CM42">IF(INDEX(Data!$B$4:$L$947,MATCH(Graphs!$CK42,Data!$A$4:$A$947,0),MATCH(Graphs!CM$4,Data!$B$3:$L$3,0))="n.q.",NA(),INDEX(Data!$B$4:$L$947,MATCH(Graphs!$CK42,Data!$A$4:$A$947,0),MATCH(Graphs!CM$4,Data!$B$3:$L$3,0)))</f>
        <v>267.77</v>
      </c>
      <c r="CN42" s="24">
        <f t="array" ref="CN42">IF(INDEX(Data!$B$4:$L$947,MATCH(Graphs!$CK42,Data!$A$4:$A$947,0),MATCH(Graphs!CN$4,Data!$B$3:$L$3,0))="n.q.",NA(),INDEX(Data!$B$4:$L$947,MATCH(Graphs!$CK42,Data!$A$4:$A$947,0),MATCH(Graphs!CN$4,Data!$B$3:$L$3,0)))</f>
        <v>233</v>
      </c>
      <c r="CO42" s="24" t="str">
        <f t="array" ref="CO42">IF(INDEX(Data!$B$4:$L$947,MATCH(Graphs!$CK42,Data!$A$4:$A$947,0),MATCH(Graphs!CO$4,Data!$B$3:$L$3,0))="n.q.",NA(),INDEX(Data!$B$4:$L$947,MATCH(Graphs!$CK42,Data!$A$4:$A$947,0),MATCH(Graphs!CO$4,Data!$B$3:$L$3,0)))</f>
        <v>#N/A</v>
      </c>
      <c r="CP42" s="24" t="str">
        <f t="array" ref="CP42">IF(INDEX(Data!$B$4:$L$947,MATCH(Graphs!$CK42,Data!$A$4:$A$947,0),MATCH(Graphs!CP$4,Data!$B$3:$L$3,0))="n.q.",NA(),INDEX(Data!$B$4:$L$947,MATCH(Graphs!$CK42,Data!$A$4:$A$947,0),MATCH(Graphs!CP$4,Data!$B$3:$L$3,0)))</f>
        <v>#N/A</v>
      </c>
      <c r="CQ42" s="5"/>
      <c r="CR42" s="24">
        <f t="array" ref="CR42">IF(INDEX(Data!$P$4:$Z$947,MATCH(Graphs!$CK42,Data!$A$4:$A$947,0),MATCH(Graphs!CR$4,Data!$P$3:$Z$3,0))="n.q.",NA(),INDEX(Data!$P$4:$Z$947,MATCH(Graphs!$CK42,Data!$A$4:$A$947,0),MATCH(Graphs!CR$4,Data!$P$3:$Z$3,0)))</f>
        <v>219.7814836</v>
      </c>
      <c r="CS42" s="24" t="str">
        <f t="array" ref="CS42">IF(INDEX(Data!$P$4:$Z$947,MATCH(Graphs!$CK42,Data!$A$4:$A$947,0),MATCH(Graphs!CS$4,Data!$P$3:$Z$3,0))="n.q.",NA(),INDEX(Data!$P$4:$Z$947,MATCH(Graphs!$CK42,Data!$A$4:$A$947,0),MATCH(Graphs!CS$4,Data!$P$3:$Z$3,0)))</f>
        <v>#N/A</v>
      </c>
      <c r="CT42" s="24">
        <f t="array" ref="CT42">IF(INDEX(Data!$P$4:$Z$947,MATCH(Graphs!$CK42,Data!$A$4:$A$947,0),MATCH(Graphs!CT$4,Data!$P$3:$Z$3,0))="n.q.",NA(),INDEX(Data!$P$4:$Z$947,MATCH(Graphs!$CK42,Data!$A$4:$A$947,0),MATCH(Graphs!CT$4,Data!$P$3:$Z$3,0)))</f>
        <v>220.4331992</v>
      </c>
      <c r="CU42" s="24" t="str">
        <f t="array" ref="CU42">IF(INDEX(Data!$P$4:$Z$947,MATCH(Graphs!$CK42,Data!$A$4:$A$947,0),MATCH(Graphs!CU$4,Data!$P$3:$Z$3,0))="n.q.",NA(),INDEX(Data!$P$4:$Z$947,MATCH(Graphs!$CK42,Data!$A$4:$A$947,0),MATCH(Graphs!CU$4,Data!$P$3:$Z$3,0)))</f>
        <v>#N/A</v>
      </c>
      <c r="CV42" s="24" t="str">
        <f t="array" ref="CV42">IF(INDEX(Data!$P$4:$Z$947,MATCH(Graphs!$CK42,Data!$A$4:$A$947,0),MATCH(Graphs!CV$4,Data!$P$3:$Z$3,0))="n.q.",NA(),INDEX(Data!$P$4:$Z$947,MATCH(Graphs!$CK42,Data!$A$4:$A$947,0),MATCH(Graphs!CV$4,Data!$P$3:$Z$3,0)))</f>
        <v>#N/A</v>
      </c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5"/>
      <c r="CK43" s="22">
        <f>Data!A42</f>
        <v>45700</v>
      </c>
      <c r="CL43" s="24">
        <f t="array" ref="CL43">IF(INDEX(Data!$B$4:$L$947,MATCH(Graphs!$CK43,Data!$A$4:$A$947,0),MATCH(Graphs!CL$4,Data!$B$3:$L$3,0))="n.q.",NA(),INDEX(Data!$B$4:$L$947,MATCH(Graphs!$CK43,Data!$A$4:$A$947,0),MATCH(Graphs!CL$4,Data!$B$3:$L$3,0)))</f>
        <v>245.55</v>
      </c>
      <c r="CM43" s="24">
        <f t="array" ref="CM43">IF(INDEX(Data!$B$4:$L$947,MATCH(Graphs!$CK43,Data!$A$4:$A$947,0),MATCH(Graphs!CM$4,Data!$B$3:$L$3,0))="n.q.",NA(),INDEX(Data!$B$4:$L$947,MATCH(Graphs!$CK43,Data!$A$4:$A$947,0),MATCH(Graphs!CM$4,Data!$B$3:$L$3,0)))</f>
        <v>263.27</v>
      </c>
      <c r="CN43" s="24">
        <f t="array" ref="CN43">IF(INDEX(Data!$B$4:$L$947,MATCH(Graphs!$CK43,Data!$A$4:$A$947,0),MATCH(Graphs!CN$4,Data!$B$3:$L$3,0))="n.q.",NA(),INDEX(Data!$B$4:$L$947,MATCH(Graphs!$CK43,Data!$A$4:$A$947,0),MATCH(Graphs!CN$4,Data!$B$3:$L$3,0)))</f>
        <v>232</v>
      </c>
      <c r="CO43" s="24" t="str">
        <f t="array" ref="CO43">IF(INDEX(Data!$B$4:$L$947,MATCH(Graphs!$CK43,Data!$A$4:$A$947,0),MATCH(Graphs!CO$4,Data!$B$3:$L$3,0))="n.q.",NA(),INDEX(Data!$B$4:$L$947,MATCH(Graphs!$CK43,Data!$A$4:$A$947,0),MATCH(Graphs!CO$4,Data!$B$3:$L$3,0)))</f>
        <v>#N/A</v>
      </c>
      <c r="CP43" s="24" t="str">
        <f t="array" ref="CP43">IF(INDEX(Data!$B$4:$L$947,MATCH(Graphs!$CK43,Data!$A$4:$A$947,0),MATCH(Graphs!CP$4,Data!$B$3:$L$3,0))="n.q.",NA(),INDEX(Data!$B$4:$L$947,MATCH(Graphs!$CK43,Data!$A$4:$A$947,0),MATCH(Graphs!CP$4,Data!$B$3:$L$3,0)))</f>
        <v>#N/A</v>
      </c>
      <c r="CQ43" s="5"/>
      <c r="CR43" s="24">
        <f t="array" ref="CR43">IF(INDEX(Data!$P$4:$Z$947,MATCH(Graphs!$CK43,Data!$A$4:$A$947,0),MATCH(Graphs!CR$4,Data!$P$3:$Z$3,0))="n.q.",NA(),INDEX(Data!$P$4:$Z$947,MATCH(Graphs!$CK43,Data!$A$4:$A$947,0),MATCH(Graphs!CR$4,Data!$P$3:$Z$3,0)))</f>
        <v>218.0038573</v>
      </c>
      <c r="CS43" s="24" t="str">
        <f t="array" ref="CS43">IF(INDEX(Data!$P$4:$Z$947,MATCH(Graphs!$CK43,Data!$A$4:$A$947,0),MATCH(Graphs!CS$4,Data!$P$3:$Z$3,0))="n.q.",NA(),INDEX(Data!$P$4:$Z$947,MATCH(Graphs!$CK43,Data!$A$4:$A$947,0),MATCH(Graphs!CS$4,Data!$P$3:$Z$3,0)))</f>
        <v>#N/A</v>
      </c>
      <c r="CT43" s="24">
        <f t="array" ref="CT43">IF(INDEX(Data!$P$4:$Z$947,MATCH(Graphs!$CK43,Data!$A$4:$A$947,0),MATCH(Graphs!CT$4,Data!$P$3:$Z$3,0))="n.q.",NA(),INDEX(Data!$P$4:$Z$947,MATCH(Graphs!$CK43,Data!$A$4:$A$947,0),MATCH(Graphs!CT$4,Data!$P$3:$Z$3,0)))</f>
        <v>218.900675</v>
      </c>
      <c r="CU43" s="24" t="str">
        <f t="array" ref="CU43">IF(INDEX(Data!$P$4:$Z$947,MATCH(Graphs!$CK43,Data!$A$4:$A$947,0),MATCH(Graphs!CU$4,Data!$P$3:$Z$3,0))="n.q.",NA(),INDEX(Data!$P$4:$Z$947,MATCH(Graphs!$CK43,Data!$A$4:$A$947,0),MATCH(Graphs!CU$4,Data!$P$3:$Z$3,0)))</f>
        <v>#N/A</v>
      </c>
      <c r="CV43" s="24" t="str">
        <f t="array" ref="CV43">IF(INDEX(Data!$P$4:$Z$947,MATCH(Graphs!$CK43,Data!$A$4:$A$947,0),MATCH(Graphs!CV$4,Data!$P$3:$Z$3,0))="n.q.",NA(),INDEX(Data!$P$4:$Z$947,MATCH(Graphs!$CK43,Data!$A$4:$A$947,0),MATCH(Graphs!CV$4,Data!$P$3:$Z$3,0)))</f>
        <v>#N/A</v>
      </c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5"/>
      <c r="CK44" s="22">
        <f>Data!A43</f>
        <v>45693</v>
      </c>
      <c r="CL44" s="24">
        <f t="array" ref="CL44">IF(INDEX(Data!$B$4:$L$947,MATCH(Graphs!$CK44,Data!$A$4:$A$947,0),MATCH(Graphs!CL$4,Data!$B$3:$L$3,0))="n.q.",NA(),INDEX(Data!$B$4:$L$947,MATCH(Graphs!$CK44,Data!$A$4:$A$947,0),MATCH(Graphs!CL$4,Data!$B$3:$L$3,0)))</f>
        <v>244.08</v>
      </c>
      <c r="CM44" s="24">
        <f t="array" ref="CM44">IF(INDEX(Data!$B$4:$L$947,MATCH(Graphs!$CK44,Data!$A$4:$A$947,0),MATCH(Graphs!CM$4,Data!$B$3:$L$3,0))="n.q.",NA(),INDEX(Data!$B$4:$L$947,MATCH(Graphs!$CK44,Data!$A$4:$A$947,0),MATCH(Graphs!CM$4,Data!$B$3:$L$3,0)))</f>
        <v>263.36</v>
      </c>
      <c r="CN44" s="24">
        <f t="array" ref="CN44">IF(INDEX(Data!$B$4:$L$947,MATCH(Graphs!$CK44,Data!$A$4:$A$947,0),MATCH(Graphs!CN$4,Data!$B$3:$L$3,0))="n.q.",NA(),INDEX(Data!$B$4:$L$947,MATCH(Graphs!$CK44,Data!$A$4:$A$947,0),MATCH(Graphs!CN$4,Data!$B$3:$L$3,0)))</f>
        <v>230</v>
      </c>
      <c r="CO44" s="24" t="str">
        <f t="array" ref="CO44">IF(INDEX(Data!$B$4:$L$947,MATCH(Graphs!$CK44,Data!$A$4:$A$947,0),MATCH(Graphs!CO$4,Data!$B$3:$L$3,0))="n.q.",NA(),INDEX(Data!$B$4:$L$947,MATCH(Graphs!$CK44,Data!$A$4:$A$947,0),MATCH(Graphs!CO$4,Data!$B$3:$L$3,0)))</f>
        <v>#N/A</v>
      </c>
      <c r="CP44" s="24" t="str">
        <f t="array" ref="CP44">IF(INDEX(Data!$B$4:$L$947,MATCH(Graphs!$CK44,Data!$A$4:$A$947,0),MATCH(Graphs!CP$4,Data!$B$3:$L$3,0))="n.q.",NA(),INDEX(Data!$B$4:$L$947,MATCH(Graphs!$CK44,Data!$A$4:$A$947,0),MATCH(Graphs!CP$4,Data!$B$3:$L$3,0)))</f>
        <v>#N/A</v>
      </c>
      <c r="CQ44" s="5"/>
      <c r="CR44" s="24">
        <f t="array" ref="CR44">IF(INDEX(Data!$P$4:$Z$947,MATCH(Graphs!$CK44,Data!$A$4:$A$947,0),MATCH(Graphs!CR$4,Data!$P$3:$Z$3,0))="n.q.",NA(),INDEX(Data!$P$4:$Z$947,MATCH(Graphs!$CK44,Data!$A$4:$A$947,0),MATCH(Graphs!CR$4,Data!$P$3:$Z$3,0)))</f>
        <v>215.4097102</v>
      </c>
      <c r="CS44" s="24" t="str">
        <f t="array" ref="CS44">IF(INDEX(Data!$P$4:$Z$947,MATCH(Graphs!$CK44,Data!$A$4:$A$947,0),MATCH(Graphs!CS$4,Data!$P$3:$Z$3,0))="n.q.",NA(),INDEX(Data!$P$4:$Z$947,MATCH(Graphs!$CK44,Data!$A$4:$A$947,0),MATCH(Graphs!CS$4,Data!$P$3:$Z$3,0)))</f>
        <v>#N/A</v>
      </c>
      <c r="CT44" s="24">
        <f t="array" ref="CT44">IF(INDEX(Data!$P$4:$Z$947,MATCH(Graphs!$CK44,Data!$A$4:$A$947,0),MATCH(Graphs!CT$4,Data!$P$3:$Z$3,0))="n.q.",NA(),INDEX(Data!$P$4:$Z$947,MATCH(Graphs!$CK44,Data!$A$4:$A$947,0),MATCH(Graphs!CT$4,Data!$P$3:$Z$3,0)))</f>
        <v>216.8489733</v>
      </c>
      <c r="CU44" s="24" t="str">
        <f t="array" ref="CU44">IF(INDEX(Data!$P$4:$Z$947,MATCH(Graphs!$CK44,Data!$A$4:$A$947,0),MATCH(Graphs!CU$4,Data!$P$3:$Z$3,0))="n.q.",NA(),INDEX(Data!$P$4:$Z$947,MATCH(Graphs!$CK44,Data!$A$4:$A$947,0),MATCH(Graphs!CU$4,Data!$P$3:$Z$3,0)))</f>
        <v>#N/A</v>
      </c>
      <c r="CV44" s="24" t="str">
        <f t="array" ref="CV44">IF(INDEX(Data!$P$4:$Z$947,MATCH(Graphs!$CK44,Data!$A$4:$A$947,0),MATCH(Graphs!CV$4,Data!$P$3:$Z$3,0))="n.q.",NA(),INDEX(Data!$P$4:$Z$947,MATCH(Graphs!$CK44,Data!$A$4:$A$947,0),MATCH(Graphs!CV$4,Data!$P$3:$Z$3,0)))</f>
        <v>#N/A</v>
      </c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5"/>
      <c r="CK45" s="22">
        <f>Data!A44</f>
        <v>45686</v>
      </c>
      <c r="CL45" s="24">
        <f t="array" ref="CL45">IF(INDEX(Data!$B$4:$L$947,MATCH(Graphs!$CK45,Data!$A$4:$A$947,0),MATCH(Graphs!CL$4,Data!$B$3:$L$3,0))="n.q.",NA(),INDEX(Data!$B$4:$L$947,MATCH(Graphs!$CK45,Data!$A$4:$A$947,0),MATCH(Graphs!CL$4,Data!$B$3:$L$3,0)))</f>
        <v>244.11</v>
      </c>
      <c r="CM45" s="24">
        <f t="array" ref="CM45">IF(INDEX(Data!$B$4:$L$947,MATCH(Graphs!$CK45,Data!$A$4:$A$947,0),MATCH(Graphs!CM$4,Data!$B$3:$L$3,0))="n.q.",NA(),INDEX(Data!$B$4:$L$947,MATCH(Graphs!$CK45,Data!$A$4:$A$947,0),MATCH(Graphs!CM$4,Data!$B$3:$L$3,0)))</f>
        <v>260.97</v>
      </c>
      <c r="CN45" s="24">
        <f t="array" ref="CN45">IF(INDEX(Data!$B$4:$L$947,MATCH(Graphs!$CK45,Data!$A$4:$A$947,0),MATCH(Graphs!CN$4,Data!$B$3:$L$3,0))="n.q.",NA(),INDEX(Data!$B$4:$L$947,MATCH(Graphs!$CK45,Data!$A$4:$A$947,0),MATCH(Graphs!CN$4,Data!$B$3:$L$3,0)))</f>
        <v>229</v>
      </c>
      <c r="CO45" s="24" t="str">
        <f t="array" ref="CO45">IF(INDEX(Data!$B$4:$L$947,MATCH(Graphs!$CK45,Data!$A$4:$A$947,0),MATCH(Graphs!CO$4,Data!$B$3:$L$3,0))="n.q.",NA(),INDEX(Data!$B$4:$L$947,MATCH(Graphs!$CK45,Data!$A$4:$A$947,0),MATCH(Graphs!CO$4,Data!$B$3:$L$3,0)))</f>
        <v>#N/A</v>
      </c>
      <c r="CP45" s="24" t="str">
        <f t="array" ref="CP45">IF(INDEX(Data!$B$4:$L$947,MATCH(Graphs!$CK45,Data!$A$4:$A$947,0),MATCH(Graphs!CP$4,Data!$B$3:$L$3,0))="n.q.",NA(),INDEX(Data!$B$4:$L$947,MATCH(Graphs!$CK45,Data!$A$4:$A$947,0),MATCH(Graphs!CP$4,Data!$B$3:$L$3,0)))</f>
        <v>#N/A</v>
      </c>
      <c r="CQ45" s="5"/>
      <c r="CR45" s="24">
        <f t="array" ref="CR45">IF(INDEX(Data!$P$4:$Z$947,MATCH(Graphs!$CK45,Data!$A$4:$A$947,0),MATCH(Graphs!CR$4,Data!$P$3:$Z$3,0))="n.q.",NA(),INDEX(Data!$P$4:$Z$947,MATCH(Graphs!$CK45,Data!$A$4:$A$947,0),MATCH(Graphs!CR$4,Data!$P$3:$Z$3,0)))</f>
        <v>218.497499</v>
      </c>
      <c r="CS45" s="24" t="str">
        <f t="array" ref="CS45">IF(INDEX(Data!$P$4:$Z$947,MATCH(Graphs!$CK45,Data!$A$4:$A$947,0),MATCH(Graphs!CS$4,Data!$P$3:$Z$3,0))="n.q.",NA(),INDEX(Data!$P$4:$Z$947,MATCH(Graphs!$CK45,Data!$A$4:$A$947,0),MATCH(Graphs!CS$4,Data!$P$3:$Z$3,0)))</f>
        <v>#N/A</v>
      </c>
      <c r="CT45" s="24">
        <f t="array" ref="CT45">IF(INDEX(Data!$P$4:$Z$947,MATCH(Graphs!$CK45,Data!$A$4:$A$947,0),MATCH(Graphs!CT$4,Data!$P$3:$Z$3,0))="n.q.",NA(),INDEX(Data!$P$4:$Z$947,MATCH(Graphs!$CK45,Data!$A$4:$A$947,0),MATCH(Graphs!CT$4,Data!$P$3:$Z$3,0)))</f>
        <v>217.3913043</v>
      </c>
      <c r="CU45" s="24" t="str">
        <f t="array" ref="CU45">IF(INDEX(Data!$P$4:$Z$947,MATCH(Graphs!$CK45,Data!$A$4:$A$947,0),MATCH(Graphs!CU$4,Data!$P$3:$Z$3,0))="n.q.",NA(),INDEX(Data!$P$4:$Z$947,MATCH(Graphs!$CK45,Data!$A$4:$A$947,0),MATCH(Graphs!CU$4,Data!$P$3:$Z$3,0)))</f>
        <v>#N/A</v>
      </c>
      <c r="CV45" s="24" t="str">
        <f t="array" ref="CV45">IF(INDEX(Data!$P$4:$Z$947,MATCH(Graphs!$CK45,Data!$A$4:$A$947,0),MATCH(Graphs!CV$4,Data!$P$3:$Z$3,0))="n.q.",NA(),INDEX(Data!$P$4:$Z$947,MATCH(Graphs!$CK45,Data!$A$4:$A$947,0),MATCH(Graphs!CV$4,Data!$P$3:$Z$3,0)))</f>
        <v>#N/A</v>
      </c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5"/>
      <c r="CK46" s="22">
        <f>Data!A45</f>
        <v>45679</v>
      </c>
      <c r="CL46" s="24">
        <f t="array" ref="CL46">IF(INDEX(Data!$B$4:$L$947,MATCH(Graphs!$CK46,Data!$A$4:$A$947,0),MATCH(Graphs!CL$4,Data!$B$3:$L$3,0))="n.q.",NA(),INDEX(Data!$B$4:$L$947,MATCH(Graphs!$CK46,Data!$A$4:$A$947,0),MATCH(Graphs!CL$4,Data!$B$3:$L$3,0)))</f>
        <v>243.16</v>
      </c>
      <c r="CM46" s="24">
        <f t="array" ref="CM46">IF(INDEX(Data!$B$4:$L$947,MATCH(Graphs!$CK46,Data!$A$4:$A$947,0),MATCH(Graphs!CM$4,Data!$B$3:$L$3,0))="n.q.",NA(),INDEX(Data!$B$4:$L$947,MATCH(Graphs!$CK46,Data!$A$4:$A$947,0),MATCH(Graphs!CM$4,Data!$B$3:$L$3,0)))</f>
        <v>260.79</v>
      </c>
      <c r="CN46" s="24">
        <f t="array" ref="CN46">IF(INDEX(Data!$B$4:$L$947,MATCH(Graphs!$CK46,Data!$A$4:$A$947,0),MATCH(Graphs!CN$4,Data!$B$3:$L$3,0))="n.q.",NA(),INDEX(Data!$B$4:$L$947,MATCH(Graphs!$CK46,Data!$A$4:$A$947,0),MATCH(Graphs!CN$4,Data!$B$3:$L$3,0)))</f>
        <v>226</v>
      </c>
      <c r="CO46" s="24" t="str">
        <f t="array" ref="CO46">IF(INDEX(Data!$B$4:$L$947,MATCH(Graphs!$CK46,Data!$A$4:$A$947,0),MATCH(Graphs!CO$4,Data!$B$3:$L$3,0))="n.q.",NA(),INDEX(Data!$B$4:$L$947,MATCH(Graphs!$CK46,Data!$A$4:$A$947,0),MATCH(Graphs!CO$4,Data!$B$3:$L$3,0)))</f>
        <v>#N/A</v>
      </c>
      <c r="CP46" s="24" t="str">
        <f t="array" ref="CP46">IF(INDEX(Data!$B$4:$L$947,MATCH(Graphs!$CK46,Data!$A$4:$A$947,0),MATCH(Graphs!CP$4,Data!$B$3:$L$3,0))="n.q.",NA(),INDEX(Data!$B$4:$L$947,MATCH(Graphs!$CK46,Data!$A$4:$A$947,0),MATCH(Graphs!CP$4,Data!$B$3:$L$3,0)))</f>
        <v>#N/A</v>
      </c>
      <c r="CQ46" s="5"/>
      <c r="CR46" s="24">
        <f t="array" ref="CR46">IF(INDEX(Data!$P$4:$Z$947,MATCH(Graphs!$CK46,Data!$A$4:$A$947,0),MATCH(Graphs!CR$4,Data!$P$3:$Z$3,0))="n.q.",NA(),INDEX(Data!$P$4:$Z$947,MATCH(Graphs!$CK46,Data!$A$4:$A$947,0),MATCH(Graphs!CR$4,Data!$P$3:$Z$3,0)))</f>
        <v>211.9601647</v>
      </c>
      <c r="CS46" s="24" t="str">
        <f t="array" ref="CS46">IF(INDEX(Data!$P$4:$Z$947,MATCH(Graphs!$CK46,Data!$A$4:$A$947,0),MATCH(Graphs!CS$4,Data!$P$3:$Z$3,0))="n.q.",NA(),INDEX(Data!$P$4:$Z$947,MATCH(Graphs!$CK46,Data!$A$4:$A$947,0),MATCH(Graphs!CS$4,Data!$P$3:$Z$3,0)))</f>
        <v>#N/A</v>
      </c>
      <c r="CT46" s="24">
        <f t="array" ref="CT46">IF(INDEX(Data!$P$4:$Z$947,MATCH(Graphs!$CK46,Data!$A$4:$A$947,0),MATCH(Graphs!CT$4,Data!$P$3:$Z$3,0))="n.q.",NA(),INDEX(Data!$P$4:$Z$947,MATCH(Graphs!$CK46,Data!$A$4:$A$947,0),MATCH(Graphs!CT$4,Data!$P$3:$Z$3,0)))</f>
        <v>212.5825912</v>
      </c>
      <c r="CU46" s="24" t="str">
        <f t="array" ref="CU46">IF(INDEX(Data!$P$4:$Z$947,MATCH(Graphs!$CK46,Data!$A$4:$A$947,0),MATCH(Graphs!CU$4,Data!$P$3:$Z$3,0))="n.q.",NA(),INDEX(Data!$P$4:$Z$947,MATCH(Graphs!$CK46,Data!$A$4:$A$947,0),MATCH(Graphs!CU$4,Data!$P$3:$Z$3,0)))</f>
        <v>#N/A</v>
      </c>
      <c r="CV46" s="24" t="str">
        <f t="array" ref="CV46">IF(INDEX(Data!$P$4:$Z$947,MATCH(Graphs!$CK46,Data!$A$4:$A$947,0),MATCH(Graphs!CV$4,Data!$P$3:$Z$3,0))="n.q.",NA(),INDEX(Data!$P$4:$Z$947,MATCH(Graphs!$CK46,Data!$A$4:$A$947,0),MATCH(Graphs!CV$4,Data!$P$3:$Z$3,0)))</f>
        <v>#N/A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5"/>
      <c r="CK47" s="22">
        <f>Data!A46</f>
        <v>45672</v>
      </c>
      <c r="CL47" s="24">
        <f t="array" ref="CL47">IF(INDEX(Data!$B$4:$L$947,MATCH(Graphs!$CK47,Data!$A$4:$A$947,0),MATCH(Graphs!CL$4,Data!$B$3:$L$3,0))="n.q.",NA(),INDEX(Data!$B$4:$L$947,MATCH(Graphs!$CK47,Data!$A$4:$A$947,0),MATCH(Graphs!CL$4,Data!$B$3:$L$3,0)))</f>
        <v>238.91</v>
      </c>
      <c r="CM47" s="24">
        <f t="array" ref="CM47">IF(INDEX(Data!$B$4:$L$947,MATCH(Graphs!$CK47,Data!$A$4:$A$947,0),MATCH(Graphs!CM$4,Data!$B$3:$L$3,0))="n.q.",NA(),INDEX(Data!$B$4:$L$947,MATCH(Graphs!$CK47,Data!$A$4:$A$947,0),MATCH(Graphs!CM$4,Data!$B$3:$L$3,0)))</f>
        <v>252.61</v>
      </c>
      <c r="CN47" s="24">
        <f t="array" ref="CN47">IF(INDEX(Data!$B$4:$L$947,MATCH(Graphs!$CK47,Data!$A$4:$A$947,0),MATCH(Graphs!CN$4,Data!$B$3:$L$3,0))="n.q.",NA(),INDEX(Data!$B$4:$L$947,MATCH(Graphs!$CK47,Data!$A$4:$A$947,0),MATCH(Graphs!CN$4,Data!$B$3:$L$3,0)))</f>
        <v>219</v>
      </c>
      <c r="CO47" s="24" t="str">
        <f t="array" ref="CO47">IF(INDEX(Data!$B$4:$L$947,MATCH(Graphs!$CK47,Data!$A$4:$A$947,0),MATCH(Graphs!CO$4,Data!$B$3:$L$3,0))="n.q.",NA(),INDEX(Data!$B$4:$L$947,MATCH(Graphs!$CK47,Data!$A$4:$A$947,0),MATCH(Graphs!CO$4,Data!$B$3:$L$3,0)))</f>
        <v>#N/A</v>
      </c>
      <c r="CP47" s="24" t="str">
        <f t="array" ref="CP47">IF(INDEX(Data!$B$4:$L$947,MATCH(Graphs!$CK47,Data!$A$4:$A$947,0),MATCH(Graphs!CP$4,Data!$B$3:$L$3,0))="n.q.",NA(),INDEX(Data!$B$4:$L$947,MATCH(Graphs!$CK47,Data!$A$4:$A$947,0),MATCH(Graphs!CP$4,Data!$B$3:$L$3,0)))</f>
        <v>#N/A</v>
      </c>
      <c r="CQ47" s="5"/>
      <c r="CR47" s="24">
        <f t="array" ref="CR47">IF(INDEX(Data!$P$4:$Z$947,MATCH(Graphs!$CK47,Data!$A$4:$A$947,0),MATCH(Graphs!CR$4,Data!$P$3:$Z$3,0))="n.q.",NA(),INDEX(Data!$P$4:$Z$947,MATCH(Graphs!$CK47,Data!$A$4:$A$947,0),MATCH(Graphs!CR$4,Data!$P$3:$Z$3,0)))</f>
        <v>212.7961165</v>
      </c>
      <c r="CS47" s="24" t="str">
        <f t="array" ref="CS47">IF(INDEX(Data!$P$4:$Z$947,MATCH(Graphs!$CK47,Data!$A$4:$A$947,0),MATCH(Graphs!CS$4,Data!$P$3:$Z$3,0))="n.q.",NA(),INDEX(Data!$P$4:$Z$947,MATCH(Graphs!$CK47,Data!$A$4:$A$947,0),MATCH(Graphs!CS$4,Data!$P$3:$Z$3,0)))</f>
        <v>#N/A</v>
      </c>
      <c r="CT47" s="24">
        <f t="array" ref="CT47">IF(INDEX(Data!$P$4:$Z$947,MATCH(Graphs!$CK47,Data!$A$4:$A$947,0),MATCH(Graphs!CT$4,Data!$P$3:$Z$3,0))="n.q.",NA(),INDEX(Data!$P$4:$Z$947,MATCH(Graphs!$CK47,Data!$A$4:$A$947,0),MATCH(Graphs!CT$4,Data!$P$3:$Z$3,0)))</f>
        <v>213.592233</v>
      </c>
      <c r="CU47" s="24" t="str">
        <f t="array" ref="CU47">IF(INDEX(Data!$P$4:$Z$947,MATCH(Graphs!$CK47,Data!$A$4:$A$947,0),MATCH(Graphs!CU$4,Data!$P$3:$Z$3,0))="n.q.",NA(),INDEX(Data!$P$4:$Z$947,MATCH(Graphs!$CK47,Data!$A$4:$A$947,0),MATCH(Graphs!CU$4,Data!$P$3:$Z$3,0)))</f>
        <v>#N/A</v>
      </c>
      <c r="CV47" s="24" t="str">
        <f t="array" ref="CV47">IF(INDEX(Data!$P$4:$Z$947,MATCH(Graphs!$CK47,Data!$A$4:$A$947,0),MATCH(Graphs!CV$4,Data!$P$3:$Z$3,0))="n.q.",NA(),INDEX(Data!$P$4:$Z$947,MATCH(Graphs!$CK47,Data!$A$4:$A$947,0),MATCH(Graphs!CV$4,Data!$P$3:$Z$3,0)))</f>
        <v>#N/A</v>
      </c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5"/>
      <c r="CK48" s="22">
        <f>Data!A47</f>
        <v>45665</v>
      </c>
      <c r="CL48" s="24">
        <f t="array" ref="CL48">IF(INDEX(Data!$B$4:$L$947,MATCH(Graphs!$CK48,Data!$A$4:$A$947,0),MATCH(Graphs!CL$4,Data!$B$3:$L$3,0))="n.q.",NA(),INDEX(Data!$B$4:$L$947,MATCH(Graphs!$CK48,Data!$A$4:$A$947,0),MATCH(Graphs!CL$4,Data!$B$3:$L$3,0)))</f>
        <v>241.69</v>
      </c>
      <c r="CM48" s="24">
        <f t="array" ref="CM48">IF(INDEX(Data!$B$4:$L$947,MATCH(Graphs!$CK48,Data!$A$4:$A$947,0),MATCH(Graphs!CM$4,Data!$B$3:$L$3,0))="n.q.",NA(),INDEX(Data!$B$4:$L$947,MATCH(Graphs!$CK48,Data!$A$4:$A$947,0),MATCH(Graphs!CM$4,Data!$B$3:$L$3,0)))</f>
        <v>249.95</v>
      </c>
      <c r="CN48" s="24">
        <f t="array" ref="CN48">IF(INDEX(Data!$B$4:$L$947,MATCH(Graphs!$CK48,Data!$A$4:$A$947,0),MATCH(Graphs!CN$4,Data!$B$3:$L$3,0))="n.q.",NA(),INDEX(Data!$B$4:$L$947,MATCH(Graphs!$CK48,Data!$A$4:$A$947,0),MATCH(Graphs!CN$4,Data!$B$3:$L$3,0)))</f>
        <v>221</v>
      </c>
      <c r="CO48" s="24" t="str">
        <f t="array" ref="CO48">IF(INDEX(Data!$B$4:$L$947,MATCH(Graphs!$CK48,Data!$A$4:$A$947,0),MATCH(Graphs!CO$4,Data!$B$3:$L$3,0))="n.q.",NA(),INDEX(Data!$B$4:$L$947,MATCH(Graphs!$CK48,Data!$A$4:$A$947,0),MATCH(Graphs!CO$4,Data!$B$3:$L$3,0)))</f>
        <v>#N/A</v>
      </c>
      <c r="CP48" s="24" t="str">
        <f t="array" ref="CP48">IF(INDEX(Data!$B$4:$L$947,MATCH(Graphs!$CK48,Data!$A$4:$A$947,0),MATCH(Graphs!CP$4,Data!$B$3:$L$3,0))="n.q.",NA(),INDEX(Data!$B$4:$L$947,MATCH(Graphs!$CK48,Data!$A$4:$A$947,0),MATCH(Graphs!CP$4,Data!$B$3:$L$3,0)))</f>
        <v>#N/A</v>
      </c>
      <c r="CQ48" s="5"/>
      <c r="CR48" s="24">
        <f t="array" ref="CR48">IF(INDEX(Data!$P$4:$Z$947,MATCH(Graphs!$CK48,Data!$A$4:$A$947,0),MATCH(Graphs!CR$4,Data!$P$3:$Z$3,0))="n.q.",NA(),INDEX(Data!$P$4:$Z$947,MATCH(Graphs!$CK48,Data!$A$4:$A$947,0),MATCH(Graphs!CR$4,Data!$P$3:$Z$3,0)))</f>
        <v>207.0581373</v>
      </c>
      <c r="CS48" s="24" t="str">
        <f t="array" ref="CS48">IF(INDEX(Data!$P$4:$Z$947,MATCH(Graphs!$CK48,Data!$A$4:$A$947,0),MATCH(Graphs!CS$4,Data!$P$3:$Z$3,0))="n.q.",NA(),INDEX(Data!$P$4:$Z$947,MATCH(Graphs!$CK48,Data!$A$4:$A$947,0),MATCH(Graphs!CS$4,Data!$P$3:$Z$3,0)))</f>
        <v>#N/A</v>
      </c>
      <c r="CT48" s="24">
        <f t="array" ref="CT48">IF(INDEX(Data!$P$4:$Z$947,MATCH(Graphs!$CK48,Data!$A$4:$A$947,0),MATCH(Graphs!CT$4,Data!$P$3:$Z$3,0))="n.q.",NA(),INDEX(Data!$P$4:$Z$947,MATCH(Graphs!$CK48,Data!$A$4:$A$947,0),MATCH(Graphs!CT$4,Data!$P$3:$Z$3,0)))</f>
        <v>210.966362</v>
      </c>
      <c r="CU48" s="24" t="str">
        <f t="array" ref="CU48">IF(INDEX(Data!$P$4:$Z$947,MATCH(Graphs!$CK48,Data!$A$4:$A$947,0),MATCH(Graphs!CU$4,Data!$P$3:$Z$3,0))="n.q.",NA(),INDEX(Data!$P$4:$Z$947,MATCH(Graphs!$CK48,Data!$A$4:$A$947,0),MATCH(Graphs!CU$4,Data!$P$3:$Z$3,0)))</f>
        <v>#N/A</v>
      </c>
      <c r="CV48" s="24" t="str">
        <f t="array" ref="CV48">IF(INDEX(Data!$P$4:$Z$947,MATCH(Graphs!$CK48,Data!$A$4:$A$947,0),MATCH(Graphs!CV$4,Data!$P$3:$Z$3,0))="n.q.",NA(),INDEX(Data!$P$4:$Z$947,MATCH(Graphs!$CK48,Data!$A$4:$A$947,0),MATCH(Graphs!CV$4,Data!$P$3:$Z$3,0)))</f>
        <v>#N/A</v>
      </c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5"/>
      <c r="CK49" s="22">
        <f>Data!A48</f>
        <v>45658</v>
      </c>
      <c r="CL49" s="24">
        <f t="array" ref="CL49">IF(INDEX(Data!$B$4:$L$947,MATCH(Graphs!$CK49,Data!$A$4:$A$947,0),MATCH(Graphs!CL$4,Data!$B$3:$L$3,0))="n.q.",NA(),INDEX(Data!$B$4:$L$947,MATCH(Graphs!$CK49,Data!$A$4:$A$947,0),MATCH(Graphs!CL$4,Data!$B$3:$L$3,0)))</f>
        <v>248.77</v>
      </c>
      <c r="CM49" s="24">
        <f t="array" ref="CM49">IF(INDEX(Data!$B$4:$L$947,MATCH(Graphs!$CK49,Data!$A$4:$A$947,0),MATCH(Graphs!CM$4,Data!$B$3:$L$3,0))="n.q.",NA(),INDEX(Data!$B$4:$L$947,MATCH(Graphs!$CK49,Data!$A$4:$A$947,0),MATCH(Graphs!CM$4,Data!$B$3:$L$3,0)))</f>
        <v>255.09</v>
      </c>
      <c r="CN49" s="24">
        <f t="array" ref="CN49">IF(INDEX(Data!$B$4:$L$947,MATCH(Graphs!$CK49,Data!$A$4:$A$947,0),MATCH(Graphs!CN$4,Data!$B$3:$L$3,0))="n.q.",NA(),INDEX(Data!$B$4:$L$947,MATCH(Graphs!$CK49,Data!$A$4:$A$947,0),MATCH(Graphs!CN$4,Data!$B$3:$L$3,0)))</f>
        <v>221</v>
      </c>
      <c r="CO49" s="24" t="str">
        <f t="array" ref="CO49">IF(INDEX(Data!$B$4:$L$947,MATCH(Graphs!$CK49,Data!$A$4:$A$947,0),MATCH(Graphs!CO$4,Data!$B$3:$L$3,0))="n.q.",NA(),INDEX(Data!$B$4:$L$947,MATCH(Graphs!$CK49,Data!$A$4:$A$947,0),MATCH(Graphs!CO$4,Data!$B$3:$L$3,0)))</f>
        <v>#N/A</v>
      </c>
      <c r="CP49" s="24" t="str">
        <f t="array" ref="CP49">IF(INDEX(Data!$B$4:$L$947,MATCH(Graphs!$CK49,Data!$A$4:$A$947,0),MATCH(Graphs!CP$4,Data!$B$3:$L$3,0))="n.q.",NA(),INDEX(Data!$B$4:$L$947,MATCH(Graphs!$CK49,Data!$A$4:$A$947,0),MATCH(Graphs!CP$4,Data!$B$3:$L$3,0)))</f>
        <v>#N/A</v>
      </c>
      <c r="CQ49" s="5"/>
      <c r="CR49" s="24" t="str">
        <f t="array" ref="CR49">IF(INDEX(Data!$P$4:$Z$947,MATCH(Graphs!$CK49,Data!$A$4:$A$947,0),MATCH(Graphs!CR$4,Data!$P$3:$Z$3,0))="n.q.",NA(),INDEX(Data!$P$4:$Z$947,MATCH(Graphs!$CK49,Data!$A$4:$A$947,0),MATCH(Graphs!CR$4,Data!$P$3:$Z$3,0)))</f>
        <v>#N/A</v>
      </c>
      <c r="CS49" s="24" t="str">
        <f t="array" ref="CS49">IF(INDEX(Data!$P$4:$Z$947,MATCH(Graphs!$CK49,Data!$A$4:$A$947,0),MATCH(Graphs!CS$4,Data!$P$3:$Z$3,0))="n.q.",NA(),INDEX(Data!$P$4:$Z$947,MATCH(Graphs!$CK49,Data!$A$4:$A$947,0),MATCH(Graphs!CS$4,Data!$P$3:$Z$3,0)))</f>
        <v>#N/A</v>
      </c>
      <c r="CT49" s="24" t="str">
        <f t="array" ref="CT49">IF(INDEX(Data!$P$4:$Z$947,MATCH(Graphs!$CK49,Data!$A$4:$A$947,0),MATCH(Graphs!CT$4,Data!$P$3:$Z$3,0))="n.q.",NA(),INDEX(Data!$P$4:$Z$947,MATCH(Graphs!$CK49,Data!$A$4:$A$947,0),MATCH(Graphs!CT$4,Data!$P$3:$Z$3,0)))</f>
        <v>#N/A</v>
      </c>
      <c r="CU49" s="24" t="str">
        <f t="array" ref="CU49">IF(INDEX(Data!$P$4:$Z$947,MATCH(Graphs!$CK49,Data!$A$4:$A$947,0),MATCH(Graphs!CU$4,Data!$P$3:$Z$3,0))="n.q.",NA(),INDEX(Data!$P$4:$Z$947,MATCH(Graphs!$CK49,Data!$A$4:$A$947,0),MATCH(Graphs!CU$4,Data!$P$3:$Z$3,0)))</f>
        <v>#N/A</v>
      </c>
      <c r="CV49" s="24" t="str">
        <f t="array" ref="CV49">IF(INDEX(Data!$P$4:$Z$947,MATCH(Graphs!$CK49,Data!$A$4:$A$947,0),MATCH(Graphs!CV$4,Data!$P$3:$Z$3,0))="n.q.",NA(),INDEX(Data!$P$4:$Z$947,MATCH(Graphs!$CK49,Data!$A$4:$A$947,0),MATCH(Graphs!CV$4,Data!$P$3:$Z$3,0)))</f>
        <v>#N/A</v>
      </c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5"/>
      <c r="CK50" s="22">
        <f>Data!A49</f>
        <v>45651</v>
      </c>
      <c r="CL50" s="24">
        <f t="array" ref="CL50">IF(INDEX(Data!$B$4:$L$947,MATCH(Graphs!$CK50,Data!$A$4:$A$947,0),MATCH(Graphs!CL$4,Data!$B$3:$L$3,0))="n.q.",NA(),INDEX(Data!$B$4:$L$947,MATCH(Graphs!$CK50,Data!$A$4:$A$947,0),MATCH(Graphs!CL$4,Data!$B$3:$L$3,0)))</f>
        <v>243.28</v>
      </c>
      <c r="CM50" s="24">
        <f t="array" ref="CM50">IF(INDEX(Data!$B$4:$L$947,MATCH(Graphs!$CK50,Data!$A$4:$A$947,0),MATCH(Graphs!CM$4,Data!$B$3:$L$3,0))="n.q.",NA(),INDEX(Data!$B$4:$L$947,MATCH(Graphs!$CK50,Data!$A$4:$A$947,0),MATCH(Graphs!CM$4,Data!$B$3:$L$3,0)))</f>
        <v>249.4</v>
      </c>
      <c r="CN50" s="24">
        <f t="array" ref="CN50">IF(INDEX(Data!$B$4:$L$947,MATCH(Graphs!$CK50,Data!$A$4:$A$947,0),MATCH(Graphs!CN$4,Data!$B$3:$L$3,0))="n.q.",NA(),INDEX(Data!$B$4:$L$947,MATCH(Graphs!$CK50,Data!$A$4:$A$947,0),MATCH(Graphs!CN$4,Data!$B$3:$L$3,0)))</f>
        <v>220</v>
      </c>
      <c r="CO50" s="24" t="str">
        <f t="array" ref="CO50">IF(INDEX(Data!$B$4:$L$947,MATCH(Graphs!$CK50,Data!$A$4:$A$947,0),MATCH(Graphs!CO$4,Data!$B$3:$L$3,0))="n.q.",NA(),INDEX(Data!$B$4:$L$947,MATCH(Graphs!$CK50,Data!$A$4:$A$947,0),MATCH(Graphs!CO$4,Data!$B$3:$L$3,0)))</f>
        <v>#N/A</v>
      </c>
      <c r="CP50" s="24" t="str">
        <f t="array" ref="CP50">IF(INDEX(Data!$B$4:$L$947,MATCH(Graphs!$CK50,Data!$A$4:$A$947,0),MATCH(Graphs!CP$4,Data!$B$3:$L$3,0))="n.q.",NA(),INDEX(Data!$B$4:$L$947,MATCH(Graphs!$CK50,Data!$A$4:$A$947,0),MATCH(Graphs!CP$4,Data!$B$3:$L$3,0)))</f>
        <v>#N/A</v>
      </c>
      <c r="CQ50" s="5"/>
      <c r="CR50" s="24" t="str">
        <f t="array" ref="CR50">IF(INDEX(Data!$P$4:$Z$947,MATCH(Graphs!$CK50,Data!$A$4:$A$947,0),MATCH(Graphs!CR$4,Data!$P$3:$Z$3,0))="n.q.",NA(),INDEX(Data!$P$4:$Z$947,MATCH(Graphs!$CK50,Data!$A$4:$A$947,0),MATCH(Graphs!CR$4,Data!$P$3:$Z$3,0)))</f>
        <v>#N/A</v>
      </c>
      <c r="CS50" s="24" t="str">
        <f t="array" ref="CS50">IF(INDEX(Data!$P$4:$Z$947,MATCH(Graphs!$CK50,Data!$A$4:$A$947,0),MATCH(Graphs!CS$4,Data!$P$3:$Z$3,0))="n.q.",NA(),INDEX(Data!$P$4:$Z$947,MATCH(Graphs!$CK50,Data!$A$4:$A$947,0),MATCH(Graphs!CS$4,Data!$P$3:$Z$3,0)))</f>
        <v>#N/A</v>
      </c>
      <c r="CT50" s="24" t="str">
        <f t="array" ref="CT50">IF(INDEX(Data!$P$4:$Z$947,MATCH(Graphs!$CK50,Data!$A$4:$A$947,0),MATCH(Graphs!CT$4,Data!$P$3:$Z$3,0))="n.q.",NA(),INDEX(Data!$P$4:$Z$947,MATCH(Graphs!$CK50,Data!$A$4:$A$947,0),MATCH(Graphs!CT$4,Data!$P$3:$Z$3,0)))</f>
        <v>#N/A</v>
      </c>
      <c r="CU50" s="24" t="str">
        <f t="array" ref="CU50">IF(INDEX(Data!$P$4:$Z$947,MATCH(Graphs!$CK50,Data!$A$4:$A$947,0),MATCH(Graphs!CU$4,Data!$P$3:$Z$3,0))="n.q.",NA(),INDEX(Data!$P$4:$Z$947,MATCH(Graphs!$CK50,Data!$A$4:$A$947,0),MATCH(Graphs!CU$4,Data!$P$3:$Z$3,0)))</f>
        <v>#N/A</v>
      </c>
      <c r="CV50" s="24" t="str">
        <f t="array" ref="CV50">IF(INDEX(Data!$P$4:$Z$947,MATCH(Graphs!$CK50,Data!$A$4:$A$947,0),MATCH(Graphs!CV$4,Data!$P$3:$Z$3,0))="n.q.",NA(),INDEX(Data!$P$4:$Z$947,MATCH(Graphs!$CK50,Data!$A$4:$A$947,0),MATCH(Graphs!CV$4,Data!$P$3:$Z$3,0)))</f>
        <v>#N/A</v>
      </c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5"/>
      <c r="CK51" s="22">
        <f>Data!A50</f>
        <v>45644</v>
      </c>
      <c r="CL51" s="24">
        <f t="array" ref="CL51">IF(INDEX(Data!$B$4:$L$947,MATCH(Graphs!$CK51,Data!$A$4:$A$947,0),MATCH(Graphs!CL$4,Data!$B$3:$L$3,0))="n.q.",NA(),INDEX(Data!$B$4:$L$947,MATCH(Graphs!$CK51,Data!$A$4:$A$947,0),MATCH(Graphs!CL$4,Data!$B$3:$L$3,0)))</f>
        <v>246.47</v>
      </c>
      <c r="CM51" s="24">
        <f t="array" ref="CM51">IF(INDEX(Data!$B$4:$L$947,MATCH(Graphs!$CK51,Data!$A$4:$A$947,0),MATCH(Graphs!CM$4,Data!$B$3:$L$3,0))="n.q.",NA(),INDEX(Data!$B$4:$L$947,MATCH(Graphs!$CK51,Data!$A$4:$A$947,0),MATCH(Graphs!CM$4,Data!$B$3:$L$3,0)))</f>
        <v>251.24</v>
      </c>
      <c r="CN51" s="24">
        <f t="array" ref="CN51">IF(INDEX(Data!$B$4:$L$947,MATCH(Graphs!$CK51,Data!$A$4:$A$947,0),MATCH(Graphs!CN$4,Data!$B$3:$L$3,0))="n.q.",NA(),INDEX(Data!$B$4:$L$947,MATCH(Graphs!$CK51,Data!$A$4:$A$947,0),MATCH(Graphs!CN$4,Data!$B$3:$L$3,0)))</f>
        <v>220</v>
      </c>
      <c r="CO51" s="24" t="str">
        <f t="array" ref="CO51">IF(INDEX(Data!$B$4:$L$947,MATCH(Graphs!$CK51,Data!$A$4:$A$947,0),MATCH(Graphs!CO$4,Data!$B$3:$L$3,0))="n.q.",NA(),INDEX(Data!$B$4:$L$947,MATCH(Graphs!$CK51,Data!$A$4:$A$947,0),MATCH(Graphs!CO$4,Data!$B$3:$L$3,0)))</f>
        <v>#N/A</v>
      </c>
      <c r="CP51" s="24" t="str">
        <f t="array" ref="CP51">IF(INDEX(Data!$B$4:$L$947,MATCH(Graphs!$CK51,Data!$A$4:$A$947,0),MATCH(Graphs!CP$4,Data!$B$3:$L$3,0))="n.q.",NA(),INDEX(Data!$B$4:$L$947,MATCH(Graphs!$CK51,Data!$A$4:$A$947,0),MATCH(Graphs!CP$4,Data!$B$3:$L$3,0)))</f>
        <v>#N/A</v>
      </c>
      <c r="CQ51" s="5"/>
      <c r="CR51" s="24">
        <f t="array" ref="CR51">IF(INDEX(Data!$P$4:$Z$947,MATCH(Graphs!$CK51,Data!$A$4:$A$947,0),MATCH(Graphs!CR$4,Data!$P$3:$Z$3,0))="n.q.",NA(),INDEX(Data!$P$4:$Z$947,MATCH(Graphs!$CK51,Data!$A$4:$A$947,0),MATCH(Graphs!CR$4,Data!$P$3:$Z$3,0)))</f>
        <v>197.0083841</v>
      </c>
      <c r="CS51" s="24" t="str">
        <f t="array" ref="CS51">IF(INDEX(Data!$P$4:$Z$947,MATCH(Graphs!$CK51,Data!$A$4:$A$947,0),MATCH(Graphs!CS$4,Data!$P$3:$Z$3,0))="n.q.",NA(),INDEX(Data!$P$4:$Z$947,MATCH(Graphs!$CK51,Data!$A$4:$A$947,0),MATCH(Graphs!CS$4,Data!$P$3:$Z$3,0)))</f>
        <v>#N/A</v>
      </c>
      <c r="CT51" s="24">
        <f t="array" ref="CT51">IF(INDEX(Data!$P$4:$Z$947,MATCH(Graphs!$CK51,Data!$A$4:$A$947,0),MATCH(Graphs!CT$4,Data!$P$3:$Z$3,0))="n.q.",NA(),INDEX(Data!$P$4:$Z$947,MATCH(Graphs!$CK51,Data!$A$4:$A$947,0),MATCH(Graphs!CT$4,Data!$P$3:$Z$3,0)))</f>
        <v>205.7926829</v>
      </c>
      <c r="CU51" s="24" t="str">
        <f t="array" ref="CU51">IF(INDEX(Data!$P$4:$Z$947,MATCH(Graphs!$CK51,Data!$A$4:$A$947,0),MATCH(Graphs!CU$4,Data!$P$3:$Z$3,0))="n.q.",NA(),INDEX(Data!$P$4:$Z$947,MATCH(Graphs!$CK51,Data!$A$4:$A$947,0),MATCH(Graphs!CU$4,Data!$P$3:$Z$3,0)))</f>
        <v>#N/A</v>
      </c>
      <c r="CV51" s="24" t="str">
        <f t="array" ref="CV51">IF(INDEX(Data!$P$4:$Z$947,MATCH(Graphs!$CK51,Data!$A$4:$A$947,0),MATCH(Graphs!CV$4,Data!$P$3:$Z$3,0))="n.q.",NA(),INDEX(Data!$P$4:$Z$947,MATCH(Graphs!$CK51,Data!$A$4:$A$947,0),MATCH(Graphs!CV$4,Data!$P$3:$Z$3,0)))</f>
        <v>#N/A</v>
      </c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5"/>
      <c r="CK52" s="22">
        <f>Data!A51</f>
        <v>45637</v>
      </c>
      <c r="CL52" s="24">
        <f t="array" ref="CL52">IF(INDEX(Data!$B$4:$L$947,MATCH(Graphs!$CK52,Data!$A$4:$A$947,0),MATCH(Graphs!CL$4,Data!$B$3:$L$3,0))="n.q.",NA(),INDEX(Data!$B$4:$L$947,MATCH(Graphs!$CK52,Data!$A$4:$A$947,0),MATCH(Graphs!CL$4,Data!$B$3:$L$3,0)))</f>
        <v>244.24</v>
      </c>
      <c r="CM52" s="24">
        <f t="array" ref="CM52">IF(INDEX(Data!$B$4:$L$947,MATCH(Graphs!$CK52,Data!$A$4:$A$947,0),MATCH(Graphs!CM$4,Data!$B$3:$L$3,0))="n.q.",NA(),INDEX(Data!$B$4:$L$947,MATCH(Graphs!$CK52,Data!$A$4:$A$947,0),MATCH(Graphs!CM$4,Data!$B$3:$L$3,0)))</f>
        <v>258.03</v>
      </c>
      <c r="CN52" s="24">
        <f t="array" ref="CN52">IF(INDEX(Data!$B$4:$L$947,MATCH(Graphs!$CK52,Data!$A$4:$A$947,0),MATCH(Graphs!CN$4,Data!$B$3:$L$3,0))="n.q.",NA(),INDEX(Data!$B$4:$L$947,MATCH(Graphs!$CK52,Data!$A$4:$A$947,0),MATCH(Graphs!CN$4,Data!$B$3:$L$3,0)))</f>
        <v>218</v>
      </c>
      <c r="CO52" s="24" t="str">
        <f t="array" ref="CO52">IF(INDEX(Data!$B$4:$L$947,MATCH(Graphs!$CK52,Data!$A$4:$A$947,0),MATCH(Graphs!CO$4,Data!$B$3:$L$3,0))="n.q.",NA(),INDEX(Data!$B$4:$L$947,MATCH(Graphs!$CK52,Data!$A$4:$A$947,0),MATCH(Graphs!CO$4,Data!$B$3:$L$3,0)))</f>
        <v>#N/A</v>
      </c>
      <c r="CP52" s="24" t="str">
        <f t="array" ref="CP52">IF(INDEX(Data!$B$4:$L$947,MATCH(Graphs!$CK52,Data!$A$4:$A$947,0),MATCH(Graphs!CP$4,Data!$B$3:$L$3,0))="n.q.",NA(),INDEX(Data!$B$4:$L$947,MATCH(Graphs!$CK52,Data!$A$4:$A$947,0),MATCH(Graphs!CP$4,Data!$B$3:$L$3,0)))</f>
        <v>#N/A</v>
      </c>
      <c r="CQ52" s="5"/>
      <c r="CR52" s="24">
        <f t="array" ref="CR52">IF(INDEX(Data!$P$4:$Z$947,MATCH(Graphs!$CK52,Data!$A$4:$A$947,0),MATCH(Graphs!CR$4,Data!$P$3:$Z$3,0))="n.q.",NA(),INDEX(Data!$P$4:$Z$947,MATCH(Graphs!$CK52,Data!$A$4:$A$947,0),MATCH(Graphs!CR$4,Data!$P$3:$Z$3,0)))</f>
        <v>200.5520129</v>
      </c>
      <c r="CS52" s="24" t="str">
        <f t="array" ref="CS52">IF(INDEX(Data!$P$4:$Z$947,MATCH(Graphs!$CK52,Data!$A$4:$A$947,0),MATCH(Graphs!CS$4,Data!$P$3:$Z$3,0))="n.q.",NA(),INDEX(Data!$P$4:$Z$947,MATCH(Graphs!$CK52,Data!$A$4:$A$947,0),MATCH(Graphs!CS$4,Data!$P$3:$Z$3,0)))</f>
        <v>#N/A</v>
      </c>
      <c r="CT52" s="24">
        <f t="array" ref="CT52">IF(INDEX(Data!$P$4:$Z$947,MATCH(Graphs!$CK52,Data!$A$4:$A$947,0),MATCH(Graphs!CT$4,Data!$P$3:$Z$3,0))="n.q.",NA(),INDEX(Data!$P$4:$Z$947,MATCH(Graphs!$CK52,Data!$A$4:$A$947,0),MATCH(Graphs!CT$4,Data!$P$3:$Z$3,0)))</f>
        <v>205.5772342</v>
      </c>
      <c r="CU52" s="24" t="str">
        <f t="array" ref="CU52">IF(INDEX(Data!$P$4:$Z$947,MATCH(Graphs!$CK52,Data!$A$4:$A$947,0),MATCH(Graphs!CU$4,Data!$P$3:$Z$3,0))="n.q.",NA(),INDEX(Data!$P$4:$Z$947,MATCH(Graphs!$CK52,Data!$A$4:$A$947,0),MATCH(Graphs!CU$4,Data!$P$3:$Z$3,0)))</f>
        <v>#N/A</v>
      </c>
      <c r="CV52" s="24" t="str">
        <f t="array" ref="CV52">IF(INDEX(Data!$P$4:$Z$947,MATCH(Graphs!$CK52,Data!$A$4:$A$947,0),MATCH(Graphs!CV$4,Data!$P$3:$Z$3,0))="n.q.",NA(),INDEX(Data!$P$4:$Z$947,MATCH(Graphs!$CK52,Data!$A$4:$A$947,0),MATCH(Graphs!CV$4,Data!$P$3:$Z$3,0)))</f>
        <v>#N/A</v>
      </c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5"/>
      <c r="CK53" s="22">
        <f>Data!A52</f>
        <v>45630</v>
      </c>
      <c r="CL53" s="24">
        <f t="array" ref="CL53">IF(INDEX(Data!$B$4:$L$947,MATCH(Graphs!$CK53,Data!$A$4:$A$947,0),MATCH(Graphs!CL$4,Data!$B$3:$L$3,0))="n.q.",NA(),INDEX(Data!$B$4:$L$947,MATCH(Graphs!$CK53,Data!$A$4:$A$947,0),MATCH(Graphs!CL$4,Data!$B$3:$L$3,0)))</f>
        <v>237.31</v>
      </c>
      <c r="CM53" s="24">
        <f t="array" ref="CM53">IF(INDEX(Data!$B$4:$L$947,MATCH(Graphs!$CK53,Data!$A$4:$A$947,0),MATCH(Graphs!CM$4,Data!$B$3:$L$3,0))="n.q.",NA(),INDEX(Data!$B$4:$L$947,MATCH(Graphs!$CK53,Data!$A$4:$A$947,0),MATCH(Graphs!CM$4,Data!$B$3:$L$3,0)))</f>
        <v>245.36</v>
      </c>
      <c r="CN53" s="24">
        <f t="array" ref="CN53">IF(INDEX(Data!$B$4:$L$947,MATCH(Graphs!$CK53,Data!$A$4:$A$947,0),MATCH(Graphs!CN$4,Data!$B$3:$L$3,0))="n.q.",NA(),INDEX(Data!$B$4:$L$947,MATCH(Graphs!$CK53,Data!$A$4:$A$947,0),MATCH(Graphs!CN$4,Data!$B$3:$L$3,0)))</f>
        <v>220</v>
      </c>
      <c r="CO53" s="24" t="str">
        <f t="array" ref="CO53">IF(INDEX(Data!$B$4:$L$947,MATCH(Graphs!$CK53,Data!$A$4:$A$947,0),MATCH(Graphs!CO$4,Data!$B$3:$L$3,0))="n.q.",NA(),INDEX(Data!$B$4:$L$947,MATCH(Graphs!$CK53,Data!$A$4:$A$947,0),MATCH(Graphs!CO$4,Data!$B$3:$L$3,0)))</f>
        <v>#N/A</v>
      </c>
      <c r="CP53" s="24" t="str">
        <f t="array" ref="CP53">IF(INDEX(Data!$B$4:$L$947,MATCH(Graphs!$CK53,Data!$A$4:$A$947,0),MATCH(Graphs!CP$4,Data!$B$3:$L$3,0))="n.q.",NA(),INDEX(Data!$B$4:$L$947,MATCH(Graphs!$CK53,Data!$A$4:$A$947,0),MATCH(Graphs!CP$4,Data!$B$3:$L$3,0)))</f>
        <v>#N/A</v>
      </c>
      <c r="CQ53" s="5"/>
      <c r="CR53" s="24">
        <f t="array" ref="CR53">IF(INDEX(Data!$P$4:$Z$947,MATCH(Graphs!$CK53,Data!$A$4:$A$947,0),MATCH(Graphs!CR$4,Data!$P$3:$Z$3,0))="n.q.",NA(),INDEX(Data!$P$4:$Z$947,MATCH(Graphs!$CK53,Data!$A$4:$A$947,0),MATCH(Graphs!CR$4,Data!$P$3:$Z$3,0)))</f>
        <v>195.4918033</v>
      </c>
      <c r="CS53" s="24" t="str">
        <f t="array" ref="CS53">IF(INDEX(Data!$P$4:$Z$947,MATCH(Graphs!$CK53,Data!$A$4:$A$947,0),MATCH(Graphs!CS$4,Data!$P$3:$Z$3,0))="n.q.",NA(),INDEX(Data!$P$4:$Z$947,MATCH(Graphs!$CK53,Data!$A$4:$A$947,0),MATCH(Graphs!CS$4,Data!$P$3:$Z$3,0)))</f>
        <v>#N/A</v>
      </c>
      <c r="CT53" s="24">
        <f t="array" ref="CT53">IF(INDEX(Data!$P$4:$Z$947,MATCH(Graphs!$CK53,Data!$A$4:$A$947,0),MATCH(Graphs!CT$4,Data!$P$3:$Z$3,0))="n.q.",NA(),INDEX(Data!$P$4:$Z$947,MATCH(Graphs!$CK53,Data!$A$4:$A$947,0),MATCH(Graphs!CT$4,Data!$P$3:$Z$3,0)))</f>
        <v>203.0118185</v>
      </c>
      <c r="CU53" s="24" t="str">
        <f t="array" ref="CU53">IF(INDEX(Data!$P$4:$Z$947,MATCH(Graphs!$CK53,Data!$A$4:$A$947,0),MATCH(Graphs!CU$4,Data!$P$3:$Z$3,0))="n.q.",NA(),INDEX(Data!$P$4:$Z$947,MATCH(Graphs!$CK53,Data!$A$4:$A$947,0),MATCH(Graphs!CU$4,Data!$P$3:$Z$3,0)))</f>
        <v>#N/A</v>
      </c>
      <c r="CV53" s="24" t="str">
        <f t="array" ref="CV53">IF(INDEX(Data!$P$4:$Z$947,MATCH(Graphs!$CK53,Data!$A$4:$A$947,0),MATCH(Graphs!CV$4,Data!$P$3:$Z$3,0))="n.q.",NA(),INDEX(Data!$P$4:$Z$947,MATCH(Graphs!$CK53,Data!$A$4:$A$947,0),MATCH(Graphs!CV$4,Data!$P$3:$Z$3,0)))</f>
        <v>#N/A</v>
      </c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5"/>
      <c r="CK54" s="22">
        <f>Data!A53</f>
        <v>45623</v>
      </c>
      <c r="CL54" s="24">
        <f t="array" ref="CL54">IF(INDEX(Data!$B$4:$L$947,MATCH(Graphs!$CK54,Data!$A$4:$A$947,0),MATCH(Graphs!CL$4,Data!$B$3:$L$3,0))="n.q.",NA(),INDEX(Data!$B$4:$L$947,MATCH(Graphs!$CK54,Data!$A$4:$A$947,0),MATCH(Graphs!CL$4,Data!$B$3:$L$3,0)))</f>
        <v>236.33</v>
      </c>
      <c r="CM54" s="24">
        <f t="array" ref="CM54">IF(INDEX(Data!$B$4:$L$947,MATCH(Graphs!$CK54,Data!$A$4:$A$947,0),MATCH(Graphs!CM$4,Data!$B$3:$L$3,0))="n.q.",NA(),INDEX(Data!$B$4:$L$947,MATCH(Graphs!$CK54,Data!$A$4:$A$947,0),MATCH(Graphs!CM$4,Data!$B$3:$L$3,0)))</f>
        <v>246.64</v>
      </c>
      <c r="CN54" s="24">
        <f t="array" ref="CN54">IF(INDEX(Data!$B$4:$L$947,MATCH(Graphs!$CK54,Data!$A$4:$A$947,0),MATCH(Graphs!CN$4,Data!$B$3:$L$3,0))="n.q.",NA(),INDEX(Data!$B$4:$L$947,MATCH(Graphs!$CK54,Data!$A$4:$A$947,0),MATCH(Graphs!CN$4,Data!$B$3:$L$3,0)))</f>
        <v>218</v>
      </c>
      <c r="CO54" s="24" t="str">
        <f t="array" ref="CO54">IF(INDEX(Data!$B$4:$L$947,MATCH(Graphs!$CK54,Data!$A$4:$A$947,0),MATCH(Graphs!CO$4,Data!$B$3:$L$3,0))="n.q.",NA(),INDEX(Data!$B$4:$L$947,MATCH(Graphs!$CK54,Data!$A$4:$A$947,0),MATCH(Graphs!CO$4,Data!$B$3:$L$3,0)))</f>
        <v>#N/A</v>
      </c>
      <c r="CP54" s="24" t="str">
        <f t="array" ref="CP54">IF(INDEX(Data!$B$4:$L$947,MATCH(Graphs!$CK54,Data!$A$4:$A$947,0),MATCH(Graphs!CP$4,Data!$B$3:$L$3,0))="n.q.",NA(),INDEX(Data!$B$4:$L$947,MATCH(Graphs!$CK54,Data!$A$4:$A$947,0),MATCH(Graphs!CP$4,Data!$B$3:$L$3,0)))</f>
        <v>#N/A</v>
      </c>
      <c r="CQ54" s="5"/>
      <c r="CR54" s="24">
        <f t="array" ref="CR54">IF(INDEX(Data!$P$4:$Z$947,MATCH(Graphs!$CK54,Data!$A$4:$A$947,0),MATCH(Graphs!CR$4,Data!$P$3:$Z$3,0))="n.q.",NA(),INDEX(Data!$P$4:$Z$947,MATCH(Graphs!$CK54,Data!$A$4:$A$947,0),MATCH(Graphs!CR$4,Data!$P$3:$Z$3,0)))</f>
        <v>194.0176621</v>
      </c>
      <c r="CS54" s="24" t="str">
        <f t="array" ref="CS54">IF(INDEX(Data!$P$4:$Z$947,MATCH(Graphs!$CK54,Data!$A$4:$A$947,0),MATCH(Graphs!CS$4,Data!$P$3:$Z$3,0))="n.q.",NA(),INDEX(Data!$P$4:$Z$947,MATCH(Graphs!$CK54,Data!$A$4:$A$947,0),MATCH(Graphs!CS$4,Data!$P$3:$Z$3,0)))</f>
        <v>#N/A</v>
      </c>
      <c r="CT54" s="24">
        <f t="array" ref="CT54">IF(INDEX(Data!$P$4:$Z$947,MATCH(Graphs!$CK54,Data!$A$4:$A$947,0),MATCH(Graphs!CT$4,Data!$P$3:$Z$3,0))="n.q.",NA(),INDEX(Data!$P$4:$Z$947,MATCH(Graphs!$CK54,Data!$A$4:$A$947,0),MATCH(Graphs!CT$4,Data!$P$3:$Z$3,0)))</f>
        <v>202.2599943</v>
      </c>
      <c r="CU54" s="24" t="str">
        <f t="array" ref="CU54">IF(INDEX(Data!$P$4:$Z$947,MATCH(Graphs!$CK54,Data!$A$4:$A$947,0),MATCH(Graphs!CU$4,Data!$P$3:$Z$3,0))="n.q.",NA(),INDEX(Data!$P$4:$Z$947,MATCH(Graphs!$CK54,Data!$A$4:$A$947,0),MATCH(Graphs!CU$4,Data!$P$3:$Z$3,0)))</f>
        <v>#N/A</v>
      </c>
      <c r="CV54" s="24" t="str">
        <f t="array" ref="CV54">IF(INDEX(Data!$P$4:$Z$947,MATCH(Graphs!$CK54,Data!$A$4:$A$947,0),MATCH(Graphs!CV$4,Data!$P$3:$Z$3,0))="n.q.",NA(),INDEX(Data!$P$4:$Z$947,MATCH(Graphs!$CK54,Data!$A$4:$A$947,0),MATCH(Graphs!CV$4,Data!$P$3:$Z$3,0)))</f>
        <v>#N/A</v>
      </c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5"/>
      <c r="CK55" s="22">
        <f>Data!A54</f>
        <v>45616</v>
      </c>
      <c r="CL55" s="24">
        <f t="array" ref="CL55">IF(INDEX(Data!$B$4:$L$947,MATCH(Graphs!$CK55,Data!$A$4:$A$947,0),MATCH(Graphs!CL$4,Data!$B$3:$L$3,0))="n.q.",NA(),INDEX(Data!$B$4:$L$947,MATCH(Graphs!$CK55,Data!$A$4:$A$947,0),MATCH(Graphs!CL$4,Data!$B$3:$L$3,0)))</f>
        <v>238.3</v>
      </c>
      <c r="CM55" s="24">
        <f t="array" ref="CM55">IF(INDEX(Data!$B$4:$L$947,MATCH(Graphs!$CK55,Data!$A$4:$A$947,0),MATCH(Graphs!CM$4,Data!$B$3:$L$3,0))="n.q.",NA(),INDEX(Data!$B$4:$L$947,MATCH(Graphs!$CK55,Data!$A$4:$A$947,0),MATCH(Graphs!CM$4,Data!$B$3:$L$3,0)))</f>
        <v>256.01</v>
      </c>
      <c r="CN55" s="24">
        <f t="array" ref="CN55">IF(INDEX(Data!$B$4:$L$947,MATCH(Graphs!$CK55,Data!$A$4:$A$947,0),MATCH(Graphs!CN$4,Data!$B$3:$L$3,0))="n.q.",NA(),INDEX(Data!$B$4:$L$947,MATCH(Graphs!$CK55,Data!$A$4:$A$947,0),MATCH(Graphs!CN$4,Data!$B$3:$L$3,0)))</f>
        <v>218</v>
      </c>
      <c r="CO55" s="24" t="str">
        <f t="array" ref="CO55">IF(INDEX(Data!$B$4:$L$947,MATCH(Graphs!$CK55,Data!$A$4:$A$947,0),MATCH(Graphs!CO$4,Data!$B$3:$L$3,0))="n.q.",NA(),INDEX(Data!$B$4:$L$947,MATCH(Graphs!$CK55,Data!$A$4:$A$947,0),MATCH(Graphs!CO$4,Data!$B$3:$L$3,0)))</f>
        <v>#N/A</v>
      </c>
      <c r="CP55" s="24" t="str">
        <f t="array" ref="CP55">IF(INDEX(Data!$B$4:$L$947,MATCH(Graphs!$CK55,Data!$A$4:$A$947,0),MATCH(Graphs!CP$4,Data!$B$3:$L$3,0))="n.q.",NA(),INDEX(Data!$B$4:$L$947,MATCH(Graphs!$CK55,Data!$A$4:$A$947,0),MATCH(Graphs!CP$4,Data!$B$3:$L$3,0)))</f>
        <v>#N/A</v>
      </c>
      <c r="CQ55" s="5"/>
      <c r="CR55" s="24">
        <f t="array" ref="CR55">IF(INDEX(Data!$P$4:$Z$947,MATCH(Graphs!$CK55,Data!$A$4:$A$947,0),MATCH(Graphs!CR$4,Data!$P$3:$Z$3,0))="n.q.",NA(),INDEX(Data!$P$4:$Z$947,MATCH(Graphs!$CK55,Data!$A$4:$A$947,0),MATCH(Graphs!CR$4,Data!$P$3:$Z$3,0)))</f>
        <v>200.6248817</v>
      </c>
      <c r="CS55" s="24" t="str">
        <f t="array" ref="CS55">IF(INDEX(Data!$P$4:$Z$947,MATCH(Graphs!$CK55,Data!$A$4:$A$947,0),MATCH(Graphs!CS$4,Data!$P$3:$Z$3,0))="n.q.",NA(),INDEX(Data!$P$4:$Z$947,MATCH(Graphs!$CK55,Data!$A$4:$A$947,0),MATCH(Graphs!CS$4,Data!$P$3:$Z$3,0)))</f>
        <v>#N/A</v>
      </c>
      <c r="CT55" s="24">
        <f t="array" ref="CT55">IF(INDEX(Data!$P$4:$Z$947,MATCH(Graphs!$CK55,Data!$A$4:$A$947,0),MATCH(Graphs!CT$4,Data!$P$3:$Z$3,0))="n.q.",NA(),INDEX(Data!$P$4:$Z$947,MATCH(Graphs!$CK55,Data!$A$4:$A$947,0),MATCH(Graphs!CT$4,Data!$P$3:$Z$3,0)))</f>
        <v>201.6663511</v>
      </c>
      <c r="CU55" s="24" t="str">
        <f t="array" ref="CU55">IF(INDEX(Data!$P$4:$Z$947,MATCH(Graphs!$CK55,Data!$A$4:$A$947,0),MATCH(Graphs!CU$4,Data!$P$3:$Z$3,0))="n.q.",NA(),INDEX(Data!$P$4:$Z$947,MATCH(Graphs!$CK55,Data!$A$4:$A$947,0),MATCH(Graphs!CU$4,Data!$P$3:$Z$3,0)))</f>
        <v>#N/A</v>
      </c>
      <c r="CV55" s="24" t="str">
        <f t="array" ref="CV55">IF(INDEX(Data!$P$4:$Z$947,MATCH(Graphs!$CK55,Data!$A$4:$A$947,0),MATCH(Graphs!CV$4,Data!$P$3:$Z$3,0))="n.q.",NA(),INDEX(Data!$P$4:$Z$947,MATCH(Graphs!$CK55,Data!$A$4:$A$947,0),MATCH(Graphs!CV$4,Data!$P$3:$Z$3,0)))</f>
        <v>#N/A</v>
      </c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5"/>
      <c r="CK56" s="22">
        <f>Data!A55</f>
        <v>45609</v>
      </c>
      <c r="CL56" s="24">
        <f t="array" ref="CL56">IF(INDEX(Data!$B$4:$L$947,MATCH(Graphs!$CK56,Data!$A$4:$A$947,0),MATCH(Graphs!CL$4,Data!$B$3:$L$3,0))="n.q.",NA(),INDEX(Data!$B$4:$L$947,MATCH(Graphs!$CK56,Data!$A$4:$A$947,0),MATCH(Graphs!CL$4,Data!$B$3:$L$3,0)))</f>
        <v>226.67</v>
      </c>
      <c r="CM56" s="24">
        <f t="array" ref="CM56">IF(INDEX(Data!$B$4:$L$947,MATCH(Graphs!$CK56,Data!$A$4:$A$947,0),MATCH(Graphs!CM$4,Data!$B$3:$L$3,0))="n.q.",NA(),INDEX(Data!$B$4:$L$947,MATCH(Graphs!$CK56,Data!$A$4:$A$947,0),MATCH(Graphs!CM$4,Data!$B$3:$L$3,0)))</f>
        <v>248.3</v>
      </c>
      <c r="CN56" s="24">
        <f t="array" ref="CN56">IF(INDEX(Data!$B$4:$L$947,MATCH(Graphs!$CK56,Data!$A$4:$A$947,0),MATCH(Graphs!CN$4,Data!$B$3:$L$3,0))="n.q.",NA(),INDEX(Data!$B$4:$L$947,MATCH(Graphs!$CK56,Data!$A$4:$A$947,0),MATCH(Graphs!CN$4,Data!$B$3:$L$3,0)))</f>
        <v>217</v>
      </c>
      <c r="CO56" s="24" t="str">
        <f t="array" ref="CO56">IF(INDEX(Data!$B$4:$L$947,MATCH(Graphs!$CK56,Data!$A$4:$A$947,0),MATCH(Graphs!CO$4,Data!$B$3:$L$3,0))="n.q.",NA(),INDEX(Data!$B$4:$L$947,MATCH(Graphs!$CK56,Data!$A$4:$A$947,0),MATCH(Graphs!CO$4,Data!$B$3:$L$3,0)))</f>
        <v>#N/A</v>
      </c>
      <c r="CP56" s="24" t="str">
        <f t="array" ref="CP56">IF(INDEX(Data!$B$4:$L$947,MATCH(Graphs!$CK56,Data!$A$4:$A$947,0),MATCH(Graphs!CP$4,Data!$B$3:$L$3,0))="n.q.",NA(),INDEX(Data!$B$4:$L$947,MATCH(Graphs!$CK56,Data!$A$4:$A$947,0),MATCH(Graphs!CP$4,Data!$B$3:$L$3,0)))</f>
        <v>#N/A</v>
      </c>
      <c r="CQ56" s="5"/>
      <c r="CR56" s="24">
        <f t="array" ref="CR56">IF(INDEX(Data!$P$4:$Z$947,MATCH(Graphs!$CK56,Data!$A$4:$A$947,0),MATCH(Graphs!CR$4,Data!$P$3:$Z$3,0))="n.q.",NA(),INDEX(Data!$P$4:$Z$947,MATCH(Graphs!$CK56,Data!$A$4:$A$947,0),MATCH(Graphs!CR$4,Data!$P$3:$Z$3,0)))</f>
        <v>198.7110735</v>
      </c>
      <c r="CS56" s="24" t="str">
        <f t="array" ref="CS56">IF(INDEX(Data!$P$4:$Z$947,MATCH(Graphs!$CK56,Data!$A$4:$A$947,0),MATCH(Graphs!CS$4,Data!$P$3:$Z$3,0))="n.q.",NA(),INDEX(Data!$P$4:$Z$947,MATCH(Graphs!$CK56,Data!$A$4:$A$947,0),MATCH(Graphs!CS$4,Data!$P$3:$Z$3,0)))</f>
        <v>#N/A</v>
      </c>
      <c r="CT56" s="24">
        <f t="array" ref="CT56">IF(INDEX(Data!$P$4:$Z$947,MATCH(Graphs!$CK56,Data!$A$4:$A$947,0),MATCH(Graphs!CT$4,Data!$P$3:$Z$3,0))="n.q.",NA(),INDEX(Data!$P$4:$Z$947,MATCH(Graphs!$CK56,Data!$A$4:$A$947,0),MATCH(Graphs!CT$4,Data!$P$3:$Z$3,0)))</f>
        <v>197.5726785</v>
      </c>
      <c r="CU56" s="24" t="str">
        <f t="array" ref="CU56">IF(INDEX(Data!$P$4:$Z$947,MATCH(Graphs!$CK56,Data!$A$4:$A$947,0),MATCH(Graphs!CU$4,Data!$P$3:$Z$3,0))="n.q.",NA(),INDEX(Data!$P$4:$Z$947,MATCH(Graphs!$CK56,Data!$A$4:$A$947,0),MATCH(Graphs!CU$4,Data!$P$3:$Z$3,0)))</f>
        <v>#N/A</v>
      </c>
      <c r="CV56" s="24" t="str">
        <f t="array" ref="CV56">IF(INDEX(Data!$P$4:$Z$947,MATCH(Graphs!$CK56,Data!$A$4:$A$947,0),MATCH(Graphs!CV$4,Data!$P$3:$Z$3,0))="n.q.",NA(),INDEX(Data!$P$4:$Z$947,MATCH(Graphs!$CK56,Data!$A$4:$A$947,0),MATCH(Graphs!CV$4,Data!$P$3:$Z$3,0)))</f>
        <v>#N/A</v>
      </c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5"/>
      <c r="CK57" s="22">
        <f>Data!A56</f>
        <v>45602</v>
      </c>
      <c r="CL57" s="24">
        <f t="array" ref="CL57">IF(INDEX(Data!$B$4:$L$947,MATCH(Graphs!$CK57,Data!$A$4:$A$947,0),MATCH(Graphs!CL$4,Data!$B$3:$L$3,0))="n.q.",NA(),INDEX(Data!$B$4:$L$947,MATCH(Graphs!$CK57,Data!$A$4:$A$947,0),MATCH(Graphs!CL$4,Data!$B$3:$L$3,0)))</f>
        <v>233.42</v>
      </c>
      <c r="CM57" s="24">
        <f t="array" ref="CM57">IF(INDEX(Data!$B$4:$L$947,MATCH(Graphs!$CK57,Data!$A$4:$A$947,0),MATCH(Graphs!CM$4,Data!$B$3:$L$3,0))="n.q.",NA(),INDEX(Data!$B$4:$L$947,MATCH(Graphs!$CK57,Data!$A$4:$A$947,0),MATCH(Graphs!CM$4,Data!$B$3:$L$3,0)))</f>
        <v>262.35</v>
      </c>
      <c r="CN57" s="24">
        <f t="array" ref="CN57">IF(INDEX(Data!$B$4:$L$947,MATCH(Graphs!$CK57,Data!$A$4:$A$947,0),MATCH(Graphs!CN$4,Data!$B$3:$L$3,0))="n.q.",NA(),INDEX(Data!$B$4:$L$947,MATCH(Graphs!$CK57,Data!$A$4:$A$947,0),MATCH(Graphs!CN$4,Data!$B$3:$L$3,0)))</f>
        <v>219</v>
      </c>
      <c r="CO57" s="24" t="str">
        <f t="array" ref="CO57">IF(INDEX(Data!$B$4:$L$947,MATCH(Graphs!$CK57,Data!$A$4:$A$947,0),MATCH(Graphs!CO$4,Data!$B$3:$L$3,0))="n.q.",NA(),INDEX(Data!$B$4:$L$947,MATCH(Graphs!$CK57,Data!$A$4:$A$947,0),MATCH(Graphs!CO$4,Data!$B$3:$L$3,0)))</f>
        <v>#N/A</v>
      </c>
      <c r="CP57" s="24" t="str">
        <f t="array" ref="CP57">IF(INDEX(Data!$B$4:$L$947,MATCH(Graphs!$CK57,Data!$A$4:$A$947,0),MATCH(Graphs!CP$4,Data!$B$3:$L$3,0))="n.q.",NA(),INDEX(Data!$B$4:$L$947,MATCH(Graphs!$CK57,Data!$A$4:$A$947,0),MATCH(Graphs!CP$4,Data!$B$3:$L$3,0)))</f>
        <v>#N/A</v>
      </c>
      <c r="CQ57" s="5"/>
      <c r="CR57" s="24">
        <f t="array" ref="CR57">IF(INDEX(Data!$P$4:$Z$947,MATCH(Graphs!$CK57,Data!$A$4:$A$947,0),MATCH(Graphs!CR$4,Data!$P$3:$Z$3,0))="n.q.",NA(),INDEX(Data!$P$4:$Z$947,MATCH(Graphs!$CK57,Data!$A$4:$A$947,0),MATCH(Graphs!CR$4,Data!$P$3:$Z$3,0)))</f>
        <v>198.8686302</v>
      </c>
      <c r="CS57" s="24" t="str">
        <f t="array" ref="CS57">IF(INDEX(Data!$P$4:$Z$947,MATCH(Graphs!$CK57,Data!$A$4:$A$947,0),MATCH(Graphs!CS$4,Data!$P$3:$Z$3,0))="n.q.",NA(),INDEX(Data!$P$4:$Z$947,MATCH(Graphs!$CK57,Data!$A$4:$A$947,0),MATCH(Graphs!CS$4,Data!$P$3:$Z$3,0)))</f>
        <v>#N/A</v>
      </c>
      <c r="CT57" s="24">
        <f t="array" ref="CT57">IF(INDEX(Data!$P$4:$Z$947,MATCH(Graphs!$CK57,Data!$A$4:$A$947,0),MATCH(Graphs!CT$4,Data!$P$3:$Z$3,0))="n.q.",NA(),INDEX(Data!$P$4:$Z$947,MATCH(Graphs!$CK57,Data!$A$4:$A$947,0),MATCH(Graphs!CT$4,Data!$P$3:$Z$3,0)))</f>
        <v>199.1584853</v>
      </c>
      <c r="CU57" s="24" t="str">
        <f t="array" ref="CU57">IF(INDEX(Data!$P$4:$Z$947,MATCH(Graphs!$CK57,Data!$A$4:$A$947,0),MATCH(Graphs!CU$4,Data!$P$3:$Z$3,0))="n.q.",NA(),INDEX(Data!$P$4:$Z$947,MATCH(Graphs!$CK57,Data!$A$4:$A$947,0),MATCH(Graphs!CU$4,Data!$P$3:$Z$3,0)))</f>
        <v>#N/A</v>
      </c>
      <c r="CV57" s="24" t="str">
        <f t="array" ref="CV57">IF(INDEX(Data!$P$4:$Z$947,MATCH(Graphs!$CK57,Data!$A$4:$A$947,0),MATCH(Graphs!CV$4,Data!$P$3:$Z$3,0))="n.q.",NA(),INDEX(Data!$P$4:$Z$947,MATCH(Graphs!$CK57,Data!$A$4:$A$947,0),MATCH(Graphs!CV$4,Data!$P$3:$Z$3,0)))</f>
        <v>#N/A</v>
      </c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5"/>
      <c r="CK58" s="22">
        <f>Data!A57</f>
        <v>45595</v>
      </c>
      <c r="CL58" s="24">
        <f t="array" ref="CL58">IF(INDEX(Data!$B$4:$L$947,MATCH(Graphs!$CK58,Data!$A$4:$A$947,0),MATCH(Graphs!CL$4,Data!$B$3:$L$3,0))="n.q.",NA(),INDEX(Data!$B$4:$L$947,MATCH(Graphs!$CK58,Data!$A$4:$A$947,0),MATCH(Graphs!CL$4,Data!$B$3:$L$3,0)))</f>
        <v>242.85</v>
      </c>
      <c r="CM58" s="24">
        <f t="array" ref="CM58">IF(INDEX(Data!$B$4:$L$947,MATCH(Graphs!$CK58,Data!$A$4:$A$947,0),MATCH(Graphs!CM$4,Data!$B$3:$L$3,0))="n.q.",NA(),INDEX(Data!$B$4:$L$947,MATCH(Graphs!$CK58,Data!$A$4:$A$947,0),MATCH(Graphs!CM$4,Data!$B$3:$L$3,0)))</f>
        <v>266.67</v>
      </c>
      <c r="CN58" s="24">
        <f t="array" ref="CN58">IF(INDEX(Data!$B$4:$L$947,MATCH(Graphs!$CK58,Data!$A$4:$A$947,0),MATCH(Graphs!CN$4,Data!$B$3:$L$3,0))="n.q.",NA(),INDEX(Data!$B$4:$L$947,MATCH(Graphs!$CK58,Data!$A$4:$A$947,0),MATCH(Graphs!CN$4,Data!$B$3:$L$3,0)))</f>
        <v>219</v>
      </c>
      <c r="CO58" s="24" t="str">
        <f t="array" ref="CO58">IF(INDEX(Data!$B$4:$L$947,MATCH(Graphs!$CK58,Data!$A$4:$A$947,0),MATCH(Graphs!CO$4,Data!$B$3:$L$3,0))="n.q.",NA(),INDEX(Data!$B$4:$L$947,MATCH(Graphs!$CK58,Data!$A$4:$A$947,0),MATCH(Graphs!CO$4,Data!$B$3:$L$3,0)))</f>
        <v>#N/A</v>
      </c>
      <c r="CP58" s="24" t="str">
        <f t="array" ref="CP58">IF(INDEX(Data!$B$4:$L$947,MATCH(Graphs!$CK58,Data!$A$4:$A$947,0),MATCH(Graphs!CP$4,Data!$B$3:$L$3,0))="n.q.",NA(),INDEX(Data!$B$4:$L$947,MATCH(Graphs!$CK58,Data!$A$4:$A$947,0),MATCH(Graphs!CP$4,Data!$B$3:$L$3,0)))</f>
        <v>#N/A</v>
      </c>
      <c r="CQ58" s="5"/>
      <c r="CR58" s="24">
        <f t="array" ref="CR58">IF(INDEX(Data!$P$4:$Z$947,MATCH(Graphs!$CK58,Data!$A$4:$A$947,0),MATCH(Graphs!CR$4,Data!$P$3:$Z$3,0))="n.q.",NA(),INDEX(Data!$P$4:$Z$947,MATCH(Graphs!$CK58,Data!$A$4:$A$947,0),MATCH(Graphs!CR$4,Data!$P$3:$Z$3,0)))</f>
        <v>194.5631068</v>
      </c>
      <c r="CS58" s="24" t="str">
        <f t="array" ref="CS58">IF(INDEX(Data!$P$4:$Z$947,MATCH(Graphs!$CK58,Data!$A$4:$A$947,0),MATCH(Graphs!CS$4,Data!$P$3:$Z$3,0))="n.q.",NA(),INDEX(Data!$P$4:$Z$947,MATCH(Graphs!$CK58,Data!$A$4:$A$947,0),MATCH(Graphs!CS$4,Data!$P$3:$Z$3,0)))</f>
        <v>#N/A</v>
      </c>
      <c r="CT58" s="24">
        <f t="array" ref="CT58">IF(INDEX(Data!$P$4:$Z$947,MATCH(Graphs!$CK58,Data!$A$4:$A$947,0),MATCH(Graphs!CT$4,Data!$P$3:$Z$3,0))="n.q.",NA(),INDEX(Data!$P$4:$Z$947,MATCH(Graphs!$CK58,Data!$A$4:$A$947,0),MATCH(Graphs!CT$4,Data!$P$3:$Z$3,0)))</f>
        <v>197.8733241</v>
      </c>
      <c r="CU58" s="24" t="str">
        <f t="array" ref="CU58">IF(INDEX(Data!$P$4:$Z$947,MATCH(Graphs!$CK58,Data!$A$4:$A$947,0),MATCH(Graphs!CU$4,Data!$P$3:$Z$3,0))="n.q.",NA(),INDEX(Data!$P$4:$Z$947,MATCH(Graphs!$CK58,Data!$A$4:$A$947,0),MATCH(Graphs!CU$4,Data!$P$3:$Z$3,0)))</f>
        <v>#N/A</v>
      </c>
      <c r="CV58" s="24" t="str">
        <f t="array" ref="CV58">IF(INDEX(Data!$P$4:$Z$947,MATCH(Graphs!$CK58,Data!$A$4:$A$947,0),MATCH(Graphs!CV$4,Data!$P$3:$Z$3,0))="n.q.",NA(),INDEX(Data!$P$4:$Z$947,MATCH(Graphs!$CK58,Data!$A$4:$A$947,0),MATCH(Graphs!CV$4,Data!$P$3:$Z$3,0)))</f>
        <v>#N/A</v>
      </c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5"/>
      <c r="CK59" s="22">
        <f>Data!A58</f>
        <v>45588</v>
      </c>
      <c r="CL59" s="24">
        <f t="array" ref="CL59">IF(INDEX(Data!$B$4:$L$947,MATCH(Graphs!$CK59,Data!$A$4:$A$947,0),MATCH(Graphs!CL$4,Data!$B$3:$L$3,0))="n.q.",NA(),INDEX(Data!$B$4:$L$947,MATCH(Graphs!$CK59,Data!$A$4:$A$947,0),MATCH(Graphs!CL$4,Data!$B$3:$L$3,0)))</f>
        <v>243.15</v>
      </c>
      <c r="CM59" s="24">
        <f t="array" ref="CM59">IF(INDEX(Data!$B$4:$L$947,MATCH(Graphs!$CK59,Data!$A$4:$A$947,0),MATCH(Graphs!CM$4,Data!$B$3:$L$3,0))="n.q.",NA(),INDEX(Data!$B$4:$L$947,MATCH(Graphs!$CK59,Data!$A$4:$A$947,0),MATCH(Graphs!CM$4,Data!$B$3:$L$3,0)))</f>
        <v>270.25</v>
      </c>
      <c r="CN59" s="24">
        <f t="array" ref="CN59">IF(INDEX(Data!$B$4:$L$947,MATCH(Graphs!$CK59,Data!$A$4:$A$947,0),MATCH(Graphs!CN$4,Data!$B$3:$L$3,0))="n.q.",NA(),INDEX(Data!$B$4:$L$947,MATCH(Graphs!$CK59,Data!$A$4:$A$947,0),MATCH(Graphs!CN$4,Data!$B$3:$L$3,0)))</f>
        <v>220</v>
      </c>
      <c r="CO59" s="24" t="str">
        <f t="array" ref="CO59">IF(INDEX(Data!$B$4:$L$947,MATCH(Graphs!$CK59,Data!$A$4:$A$947,0),MATCH(Graphs!CO$4,Data!$B$3:$L$3,0))="n.q.",NA(),INDEX(Data!$B$4:$L$947,MATCH(Graphs!$CK59,Data!$A$4:$A$947,0),MATCH(Graphs!CO$4,Data!$B$3:$L$3,0)))</f>
        <v>#N/A</v>
      </c>
      <c r="CP59" s="24" t="str">
        <f t="array" ref="CP59">IF(INDEX(Data!$B$4:$L$947,MATCH(Graphs!$CK59,Data!$A$4:$A$947,0),MATCH(Graphs!CP$4,Data!$B$3:$L$3,0))="n.q.",NA(),INDEX(Data!$B$4:$L$947,MATCH(Graphs!$CK59,Data!$A$4:$A$947,0),MATCH(Graphs!CP$4,Data!$B$3:$L$3,0)))</f>
        <v>#N/A</v>
      </c>
      <c r="CQ59" s="5"/>
      <c r="CR59" s="24">
        <f t="array" ref="CR59">IF(INDEX(Data!$P$4:$Z$947,MATCH(Graphs!$CK59,Data!$A$4:$A$947,0),MATCH(Graphs!CR$4,Data!$P$3:$Z$3,0))="n.q.",NA(),INDEX(Data!$P$4:$Z$947,MATCH(Graphs!$CK59,Data!$A$4:$A$947,0),MATCH(Graphs!CR$4,Data!$P$3:$Z$3,0)))</f>
        <v>198.9040587</v>
      </c>
      <c r="CS59" s="24" t="str">
        <f t="array" ref="CS59">IF(INDEX(Data!$P$4:$Z$947,MATCH(Graphs!$CK59,Data!$A$4:$A$947,0),MATCH(Graphs!CS$4,Data!$P$3:$Z$3,0))="n.q.",NA(),INDEX(Data!$P$4:$Z$947,MATCH(Graphs!$CK59,Data!$A$4:$A$947,0),MATCH(Graphs!CS$4,Data!$P$3:$Z$3,0)))</f>
        <v>#N/A</v>
      </c>
      <c r="CT59" s="24">
        <f t="array" ref="CT59">IF(INDEX(Data!$P$4:$Z$947,MATCH(Graphs!$CK59,Data!$A$4:$A$947,0),MATCH(Graphs!CT$4,Data!$P$3:$Z$3,0))="n.q.",NA(),INDEX(Data!$P$4:$Z$947,MATCH(Graphs!$CK59,Data!$A$4:$A$947,0),MATCH(Graphs!CT$4,Data!$P$3:$Z$3,0)))</f>
        <v>202.4705117</v>
      </c>
      <c r="CU59" s="24" t="str">
        <f t="array" ref="CU59">IF(INDEX(Data!$P$4:$Z$947,MATCH(Graphs!$CK59,Data!$A$4:$A$947,0),MATCH(Graphs!CU$4,Data!$P$3:$Z$3,0))="n.q.",NA(),INDEX(Data!$P$4:$Z$947,MATCH(Graphs!$CK59,Data!$A$4:$A$947,0),MATCH(Graphs!CU$4,Data!$P$3:$Z$3,0)))</f>
        <v>#N/A</v>
      </c>
      <c r="CV59" s="24" t="str">
        <f t="array" ref="CV59">IF(INDEX(Data!$P$4:$Z$947,MATCH(Graphs!$CK59,Data!$A$4:$A$947,0),MATCH(Graphs!CV$4,Data!$P$3:$Z$3,0))="n.q.",NA(),INDEX(Data!$P$4:$Z$947,MATCH(Graphs!$CK59,Data!$A$4:$A$947,0),MATCH(Graphs!CV$4,Data!$P$3:$Z$3,0)))</f>
        <v>#N/A</v>
      </c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5"/>
      <c r="CK60" s="22">
        <f>Data!A59</f>
        <v>45581</v>
      </c>
      <c r="CL60" s="24">
        <f t="array" ref="CL60">IF(INDEX(Data!$B$4:$L$947,MATCH(Graphs!$CK60,Data!$A$4:$A$947,0),MATCH(Graphs!CL$4,Data!$B$3:$L$3,0))="n.q.",NA(),INDEX(Data!$B$4:$L$947,MATCH(Graphs!$CK60,Data!$A$4:$A$947,0),MATCH(Graphs!CL$4,Data!$B$3:$L$3,0)))</f>
        <v>249.61</v>
      </c>
      <c r="CM60" s="24">
        <f t="array" ref="CM60">IF(INDEX(Data!$B$4:$L$947,MATCH(Graphs!$CK60,Data!$A$4:$A$947,0),MATCH(Graphs!CM$4,Data!$B$3:$L$3,0))="n.q.",NA(),INDEX(Data!$B$4:$L$947,MATCH(Graphs!$CK60,Data!$A$4:$A$947,0),MATCH(Graphs!CM$4,Data!$B$3:$L$3,0)))</f>
        <v>271.44</v>
      </c>
      <c r="CN60" s="24">
        <f t="array" ref="CN60">IF(INDEX(Data!$B$4:$L$947,MATCH(Graphs!$CK60,Data!$A$4:$A$947,0),MATCH(Graphs!CN$4,Data!$B$3:$L$3,0))="n.q.",NA(),INDEX(Data!$B$4:$L$947,MATCH(Graphs!$CK60,Data!$A$4:$A$947,0),MATCH(Graphs!CN$4,Data!$B$3:$L$3,0)))</f>
        <v>220</v>
      </c>
      <c r="CO60" s="24" t="str">
        <f t="array" ref="CO60">IF(INDEX(Data!$B$4:$L$947,MATCH(Graphs!$CK60,Data!$A$4:$A$947,0),MATCH(Graphs!CO$4,Data!$B$3:$L$3,0))="n.q.",NA(),INDEX(Data!$B$4:$L$947,MATCH(Graphs!$CK60,Data!$A$4:$A$947,0),MATCH(Graphs!CO$4,Data!$B$3:$L$3,0)))</f>
        <v>#N/A</v>
      </c>
      <c r="CP60" s="24" t="str">
        <f t="array" ref="CP60">IF(INDEX(Data!$B$4:$L$947,MATCH(Graphs!$CK60,Data!$A$4:$A$947,0),MATCH(Graphs!CP$4,Data!$B$3:$L$3,0))="n.q.",NA(),INDEX(Data!$B$4:$L$947,MATCH(Graphs!$CK60,Data!$A$4:$A$947,0),MATCH(Graphs!CP$4,Data!$B$3:$L$3,0)))</f>
        <v>#N/A</v>
      </c>
      <c r="CQ60" s="5"/>
      <c r="CR60" s="24">
        <f t="array" ref="CR60">IF(INDEX(Data!$P$4:$Z$947,MATCH(Graphs!$CK60,Data!$A$4:$A$947,0),MATCH(Graphs!CR$4,Data!$P$3:$Z$3,0))="n.q.",NA(),INDEX(Data!$P$4:$Z$947,MATCH(Graphs!$CK60,Data!$A$4:$A$947,0),MATCH(Graphs!CR$4,Data!$P$3:$Z$3,0)))</f>
        <v>188.1343489</v>
      </c>
      <c r="CS60" s="24" t="str">
        <f t="array" ref="CS60">IF(INDEX(Data!$P$4:$Z$947,MATCH(Graphs!$CK60,Data!$A$4:$A$947,0),MATCH(Graphs!CS$4,Data!$P$3:$Z$3,0))="n.q.",NA(),INDEX(Data!$P$4:$Z$947,MATCH(Graphs!$CK60,Data!$A$4:$A$947,0),MATCH(Graphs!CS$4,Data!$P$3:$Z$3,0)))</f>
        <v>#N/A</v>
      </c>
      <c r="CT60" s="24">
        <f t="array" ref="CT60">IF(INDEX(Data!$P$4:$Z$947,MATCH(Graphs!$CK60,Data!$A$4:$A$947,0),MATCH(Graphs!CT$4,Data!$P$3:$Z$3,0))="n.q.",NA(),INDEX(Data!$P$4:$Z$947,MATCH(Graphs!$CK60,Data!$A$4:$A$947,0),MATCH(Graphs!CT$4,Data!$P$3:$Z$3,0)))</f>
        <v>198.2196935</v>
      </c>
      <c r="CU60" s="24" t="str">
        <f t="array" ref="CU60">IF(INDEX(Data!$P$4:$Z$947,MATCH(Graphs!$CK60,Data!$A$4:$A$947,0),MATCH(Graphs!CU$4,Data!$P$3:$Z$3,0))="n.q.",NA(),INDEX(Data!$P$4:$Z$947,MATCH(Graphs!$CK60,Data!$A$4:$A$947,0),MATCH(Graphs!CU$4,Data!$P$3:$Z$3,0)))</f>
        <v>#N/A</v>
      </c>
      <c r="CV60" s="24" t="str">
        <f t="array" ref="CV60">IF(INDEX(Data!$P$4:$Z$947,MATCH(Graphs!$CK60,Data!$A$4:$A$947,0),MATCH(Graphs!CV$4,Data!$P$3:$Z$3,0))="n.q.",NA(),INDEX(Data!$P$4:$Z$947,MATCH(Graphs!$CK60,Data!$A$4:$A$947,0),MATCH(Graphs!CV$4,Data!$P$3:$Z$3,0)))</f>
        <v>#N/A</v>
      </c>
    </row>
    <row r="61" ht="14.25" customHeight="1"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5"/>
      <c r="CK61" s="22">
        <f>Data!A60</f>
        <v>45574</v>
      </c>
      <c r="CL61" s="24">
        <f t="array" ref="CL61">IF(INDEX(Data!$B$4:$L$947,MATCH(Graphs!$CK61,Data!$A$4:$A$947,0),MATCH(Graphs!CL$4,Data!$B$3:$L$3,0))="n.q.",NA(),INDEX(Data!$B$4:$L$947,MATCH(Graphs!$CK61,Data!$A$4:$A$947,0),MATCH(Graphs!CL$4,Data!$B$3:$L$3,0)))</f>
        <v>253.6</v>
      </c>
      <c r="CM61" s="24">
        <f t="array" ref="CM61">IF(INDEX(Data!$B$4:$L$947,MATCH(Graphs!$CK61,Data!$A$4:$A$947,0),MATCH(Graphs!CM$4,Data!$B$3:$L$3,0))="n.q.",NA(),INDEX(Data!$B$4:$L$947,MATCH(Graphs!$CK61,Data!$A$4:$A$947,0),MATCH(Graphs!CM$4,Data!$B$3:$L$3,0)))</f>
        <v>278.79</v>
      </c>
      <c r="CN61" s="24">
        <f t="array" ref="CN61">IF(INDEX(Data!$B$4:$L$947,MATCH(Graphs!$CK61,Data!$A$4:$A$947,0),MATCH(Graphs!CN$4,Data!$B$3:$L$3,0))="n.q.",NA(),INDEX(Data!$B$4:$L$947,MATCH(Graphs!$CK61,Data!$A$4:$A$947,0),MATCH(Graphs!CN$4,Data!$B$3:$L$3,0)))</f>
        <v>219</v>
      </c>
      <c r="CO61" s="24" t="str">
        <f t="array" ref="CO61">IF(INDEX(Data!$B$4:$L$947,MATCH(Graphs!$CK61,Data!$A$4:$A$947,0),MATCH(Graphs!CO$4,Data!$B$3:$L$3,0))="n.q.",NA(),INDEX(Data!$B$4:$L$947,MATCH(Graphs!$CK61,Data!$A$4:$A$947,0),MATCH(Graphs!CO$4,Data!$B$3:$L$3,0)))</f>
        <v>#N/A</v>
      </c>
      <c r="CP61" s="24" t="str">
        <f t="array" ref="CP61">IF(INDEX(Data!$B$4:$L$947,MATCH(Graphs!$CK61,Data!$A$4:$A$947,0),MATCH(Graphs!CP$4,Data!$B$3:$L$3,0))="n.q.",NA(),INDEX(Data!$B$4:$L$947,MATCH(Graphs!$CK61,Data!$A$4:$A$947,0),MATCH(Graphs!CP$4,Data!$B$3:$L$3,0)))</f>
        <v>#N/A</v>
      </c>
      <c r="CQ61" s="5"/>
      <c r="CR61" s="24">
        <f t="array" ref="CR61">IF(INDEX(Data!$P$4:$Z$947,MATCH(Graphs!$CK61,Data!$A$4:$A$947,0),MATCH(Graphs!CR$4,Data!$P$3:$Z$3,0))="n.q.",NA(),INDEX(Data!$P$4:$Z$947,MATCH(Graphs!$CK61,Data!$A$4:$A$947,0),MATCH(Graphs!CR$4,Data!$P$3:$Z$3,0)))</f>
        <v>192.9451492</v>
      </c>
      <c r="CS61" s="24" t="str">
        <f t="array" ref="CS61">IF(INDEX(Data!$P$4:$Z$947,MATCH(Graphs!$CK61,Data!$A$4:$A$947,0),MATCH(Graphs!CS$4,Data!$P$3:$Z$3,0))="n.q.",NA(),INDEX(Data!$P$4:$Z$947,MATCH(Graphs!$CK61,Data!$A$4:$A$947,0),MATCH(Graphs!CS$4,Data!$P$3:$Z$3,0)))</f>
        <v>#N/A</v>
      </c>
      <c r="CT61" s="24">
        <f t="array" ref="CT61">IF(INDEX(Data!$P$4:$Z$947,MATCH(Graphs!$CK61,Data!$A$4:$A$947,0),MATCH(Graphs!CT$4,Data!$P$3:$Z$3,0))="n.q.",NA(),INDEX(Data!$P$4:$Z$947,MATCH(Graphs!$CK61,Data!$A$4:$A$947,0),MATCH(Graphs!CT$4,Data!$P$3:$Z$3,0)))</f>
        <v>200.7848864</v>
      </c>
      <c r="CU61" s="24" t="str">
        <f t="array" ref="CU61">IF(INDEX(Data!$P$4:$Z$947,MATCH(Graphs!$CK61,Data!$A$4:$A$947,0),MATCH(Graphs!CU$4,Data!$P$3:$Z$3,0))="n.q.",NA(),INDEX(Data!$P$4:$Z$947,MATCH(Graphs!$CK61,Data!$A$4:$A$947,0),MATCH(Graphs!CU$4,Data!$P$3:$Z$3,0)))</f>
        <v>#N/A</v>
      </c>
      <c r="CV61" s="24" t="str">
        <f t="array" ref="CV61">IF(INDEX(Data!$P$4:$Z$947,MATCH(Graphs!$CK61,Data!$A$4:$A$947,0),MATCH(Graphs!CV$4,Data!$P$3:$Z$3,0))="n.q.",NA(),INDEX(Data!$P$4:$Z$947,MATCH(Graphs!$CK61,Data!$A$4:$A$947,0),MATCH(Graphs!CV$4,Data!$P$3:$Z$3,0)))</f>
        <v>#N/A</v>
      </c>
    </row>
    <row r="62" ht="14.25" customHeight="1"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5"/>
      <c r="CK62" s="22">
        <f>Data!A61</f>
        <v>45567</v>
      </c>
      <c r="CL62" s="24">
        <f t="array" ref="CL62">IF(INDEX(Data!$B$4:$L$947,MATCH(Graphs!$CK62,Data!$A$4:$A$947,0),MATCH(Graphs!CL$4,Data!$B$3:$L$3,0))="n.q.",NA(),INDEX(Data!$B$4:$L$947,MATCH(Graphs!$CK62,Data!$A$4:$A$947,0),MATCH(Graphs!CL$4,Data!$B$3:$L$3,0)))</f>
        <v>260.29</v>
      </c>
      <c r="CM62" s="24">
        <f t="array" ref="CM62">IF(INDEX(Data!$B$4:$L$947,MATCH(Graphs!$CK62,Data!$A$4:$A$947,0),MATCH(Graphs!CM$4,Data!$B$3:$L$3,0))="n.q.",NA(),INDEX(Data!$B$4:$L$947,MATCH(Graphs!$CK62,Data!$A$4:$A$947,0),MATCH(Graphs!CM$4,Data!$B$3:$L$3,0)))</f>
        <v>282.65</v>
      </c>
      <c r="CN62" s="24">
        <f t="array" ref="CN62">IF(INDEX(Data!$B$4:$L$947,MATCH(Graphs!$CK62,Data!$A$4:$A$947,0),MATCH(Graphs!CN$4,Data!$B$3:$L$3,0))="n.q.",NA(),INDEX(Data!$B$4:$L$947,MATCH(Graphs!$CK62,Data!$A$4:$A$947,0),MATCH(Graphs!CN$4,Data!$B$3:$L$3,0)))</f>
        <v>215</v>
      </c>
      <c r="CO62" s="24" t="str">
        <f t="array" ref="CO62">IF(INDEX(Data!$B$4:$L$947,MATCH(Graphs!$CK62,Data!$A$4:$A$947,0),MATCH(Graphs!CO$4,Data!$B$3:$L$3,0))="n.q.",NA(),INDEX(Data!$B$4:$L$947,MATCH(Graphs!$CK62,Data!$A$4:$A$947,0),MATCH(Graphs!CO$4,Data!$B$3:$L$3,0)))</f>
        <v>#N/A</v>
      </c>
      <c r="CP62" s="24" t="str">
        <f t="array" ref="CP62">IF(INDEX(Data!$B$4:$L$947,MATCH(Graphs!$CK62,Data!$A$4:$A$947,0),MATCH(Graphs!CP$4,Data!$B$3:$L$3,0))="n.q.",NA(),INDEX(Data!$B$4:$L$947,MATCH(Graphs!$CK62,Data!$A$4:$A$947,0),MATCH(Graphs!CP$4,Data!$B$3:$L$3,0)))</f>
        <v>#N/A</v>
      </c>
      <c r="CQ62" s="5"/>
      <c r="CR62" s="24">
        <f t="array" ref="CR62">IF(INDEX(Data!$P$4:$Z$947,MATCH(Graphs!$CK62,Data!$A$4:$A$947,0),MATCH(Graphs!CR$4,Data!$P$3:$Z$3,0))="n.q.",NA(),INDEX(Data!$P$4:$Z$947,MATCH(Graphs!$CK62,Data!$A$4:$A$947,0),MATCH(Graphs!CR$4,Data!$P$3:$Z$3,0)))</f>
        <v>192.5571312</v>
      </c>
      <c r="CS62" s="24" t="str">
        <f t="array" ref="CS62">IF(INDEX(Data!$P$4:$Z$947,MATCH(Graphs!$CK62,Data!$A$4:$A$947,0),MATCH(Graphs!CS$4,Data!$P$3:$Z$3,0))="n.q.",NA(),INDEX(Data!$P$4:$Z$947,MATCH(Graphs!$CK62,Data!$A$4:$A$947,0),MATCH(Graphs!CS$4,Data!$P$3:$Z$3,0)))</f>
        <v>#N/A</v>
      </c>
      <c r="CT62" s="24">
        <f t="array" ref="CT62">IF(INDEX(Data!$P$4:$Z$947,MATCH(Graphs!$CK62,Data!$A$4:$A$947,0),MATCH(Graphs!CT$4,Data!$P$3:$Z$3,0))="n.q.",NA(),INDEX(Data!$P$4:$Z$947,MATCH(Graphs!$CK62,Data!$A$4:$A$947,0),MATCH(Graphs!CT$4,Data!$P$3:$Z$3,0)))</f>
        <v>196.9108482</v>
      </c>
      <c r="CU62" s="24" t="str">
        <f t="array" ref="CU62">IF(INDEX(Data!$P$4:$Z$947,MATCH(Graphs!$CK62,Data!$A$4:$A$947,0),MATCH(Graphs!CU$4,Data!$P$3:$Z$3,0))="n.q.",NA(),INDEX(Data!$P$4:$Z$947,MATCH(Graphs!$CK62,Data!$A$4:$A$947,0),MATCH(Graphs!CU$4,Data!$P$3:$Z$3,0)))</f>
        <v>#N/A</v>
      </c>
      <c r="CV62" s="24" t="str">
        <f t="array" ref="CV62">IF(INDEX(Data!$P$4:$Z$947,MATCH(Graphs!$CK62,Data!$A$4:$A$947,0),MATCH(Graphs!CV$4,Data!$P$3:$Z$3,0))="n.q.",NA(),INDEX(Data!$P$4:$Z$947,MATCH(Graphs!$CK62,Data!$A$4:$A$947,0),MATCH(Graphs!CV$4,Data!$P$3:$Z$3,0)))</f>
        <v>#N/A</v>
      </c>
    </row>
    <row r="63" ht="14.25" customHeight="1"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5"/>
      <c r="CK63" s="22">
        <f>Data!A62</f>
        <v>45560</v>
      </c>
      <c r="CL63" s="24">
        <f t="array" ref="CL63">IF(INDEX(Data!$B$4:$L$947,MATCH(Graphs!$CK63,Data!$A$4:$A$947,0),MATCH(Graphs!CL$4,Data!$B$3:$L$3,0))="n.q.",NA(),INDEX(Data!$B$4:$L$947,MATCH(Graphs!$CK63,Data!$A$4:$A$947,0),MATCH(Graphs!CL$4,Data!$B$3:$L$3,0)))</f>
        <v>249.23</v>
      </c>
      <c r="CM63" s="24">
        <f t="array" ref="CM63">IF(INDEX(Data!$B$4:$L$947,MATCH(Graphs!$CK63,Data!$A$4:$A$947,0),MATCH(Graphs!CM$4,Data!$B$3:$L$3,0))="n.q.",NA(),INDEX(Data!$B$4:$L$947,MATCH(Graphs!$CK63,Data!$A$4:$A$947,0),MATCH(Graphs!CM$4,Data!$B$3:$L$3,0)))</f>
        <v>268.6</v>
      </c>
      <c r="CN63" s="24">
        <f t="array" ref="CN63">IF(INDEX(Data!$B$4:$L$947,MATCH(Graphs!$CK63,Data!$A$4:$A$947,0),MATCH(Graphs!CN$4,Data!$B$3:$L$3,0))="n.q.",NA(),INDEX(Data!$B$4:$L$947,MATCH(Graphs!$CK63,Data!$A$4:$A$947,0),MATCH(Graphs!CN$4,Data!$B$3:$L$3,0)))</f>
        <v>206</v>
      </c>
      <c r="CO63" s="24" t="str">
        <f t="array" ref="CO63">IF(INDEX(Data!$B$4:$L$947,MATCH(Graphs!$CK63,Data!$A$4:$A$947,0),MATCH(Graphs!CO$4,Data!$B$3:$L$3,0))="n.q.",NA(),INDEX(Data!$B$4:$L$947,MATCH(Graphs!$CK63,Data!$A$4:$A$947,0),MATCH(Graphs!CO$4,Data!$B$3:$L$3,0)))</f>
        <v>#N/A</v>
      </c>
      <c r="CP63" s="24" t="str">
        <f t="array" ref="CP63">IF(INDEX(Data!$B$4:$L$947,MATCH(Graphs!$CK63,Data!$A$4:$A$947,0),MATCH(Graphs!CP$4,Data!$B$3:$L$3,0))="n.q.",NA(),INDEX(Data!$B$4:$L$947,MATCH(Graphs!$CK63,Data!$A$4:$A$947,0),MATCH(Graphs!CP$4,Data!$B$3:$L$3,0)))</f>
        <v>#N/A</v>
      </c>
      <c r="CQ63" s="5"/>
      <c r="CR63" s="24">
        <f t="array" ref="CR63">IF(INDEX(Data!$P$4:$Z$947,MATCH(Graphs!$CK63,Data!$A$4:$A$947,0),MATCH(Graphs!CR$4,Data!$P$3:$Z$3,0))="n.q.",NA(),INDEX(Data!$P$4:$Z$947,MATCH(Graphs!$CK63,Data!$A$4:$A$947,0),MATCH(Graphs!CR$4,Data!$P$3:$Z$3,0)))</f>
        <v>185.4296945</v>
      </c>
      <c r="CS63" s="24" t="str">
        <f t="array" ref="CS63">IF(INDEX(Data!$P$4:$Z$947,MATCH(Graphs!$CK63,Data!$A$4:$A$947,0),MATCH(Graphs!CS$4,Data!$P$3:$Z$3,0))="n.q.",NA(),INDEX(Data!$P$4:$Z$947,MATCH(Graphs!$CK63,Data!$A$4:$A$947,0),MATCH(Graphs!CS$4,Data!$P$3:$Z$3,0)))</f>
        <v>#N/A</v>
      </c>
      <c r="CT63" s="24">
        <f t="array" ref="CT63">IF(INDEX(Data!$P$4:$Z$947,MATCH(Graphs!$CK63,Data!$A$4:$A$947,0),MATCH(Graphs!CT$4,Data!$P$3:$Z$3,0))="n.q.",NA(),INDEX(Data!$P$4:$Z$947,MATCH(Graphs!$CK63,Data!$A$4:$A$947,0),MATCH(Graphs!CT$4,Data!$P$3:$Z$3,0)))</f>
        <v>187.6005003</v>
      </c>
      <c r="CU63" s="24" t="str">
        <f t="array" ref="CU63">IF(INDEX(Data!$P$4:$Z$947,MATCH(Graphs!$CK63,Data!$A$4:$A$947,0),MATCH(Graphs!CU$4,Data!$P$3:$Z$3,0))="n.q.",NA(),INDEX(Data!$P$4:$Z$947,MATCH(Graphs!$CK63,Data!$A$4:$A$947,0),MATCH(Graphs!CU$4,Data!$P$3:$Z$3,0)))</f>
        <v>#N/A</v>
      </c>
      <c r="CV63" s="24" t="str">
        <f t="array" ref="CV63">IF(INDEX(Data!$P$4:$Z$947,MATCH(Graphs!$CK63,Data!$A$4:$A$947,0),MATCH(Graphs!CV$4,Data!$P$3:$Z$3,0))="n.q.",NA(),INDEX(Data!$P$4:$Z$947,MATCH(Graphs!$CK63,Data!$A$4:$A$947,0),MATCH(Graphs!CV$4,Data!$P$3:$Z$3,0)))</f>
        <v>#N/A</v>
      </c>
    </row>
    <row r="64" ht="14.25" customHeight="1"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5"/>
      <c r="CK64" s="22">
        <f>Data!A63</f>
        <v>45553</v>
      </c>
      <c r="CL64" s="24">
        <f t="array" ref="CL64">IF(INDEX(Data!$B$4:$L$947,MATCH(Graphs!$CK64,Data!$A$4:$A$947,0),MATCH(Graphs!CL$4,Data!$B$3:$L$3,0))="n.q.",NA(),INDEX(Data!$B$4:$L$947,MATCH(Graphs!$CK64,Data!$A$4:$A$947,0),MATCH(Graphs!CL$4,Data!$B$3:$L$3,0)))</f>
        <v>246.37</v>
      </c>
      <c r="CM64" s="24">
        <f t="array" ref="CM64">IF(INDEX(Data!$B$4:$L$947,MATCH(Graphs!$CK64,Data!$A$4:$A$947,0),MATCH(Graphs!CM$4,Data!$B$3:$L$3,0))="n.q.",NA(),INDEX(Data!$B$4:$L$947,MATCH(Graphs!$CK64,Data!$A$4:$A$947,0),MATCH(Graphs!CM$4,Data!$B$3:$L$3,0)))</f>
        <v>267.68</v>
      </c>
      <c r="CN64" s="24">
        <f t="array" ref="CN64">IF(INDEX(Data!$B$4:$L$947,MATCH(Graphs!$CK64,Data!$A$4:$A$947,0),MATCH(Graphs!CN$4,Data!$B$3:$L$3,0))="n.q.",NA(),INDEX(Data!$B$4:$L$947,MATCH(Graphs!$CK64,Data!$A$4:$A$947,0),MATCH(Graphs!CN$4,Data!$B$3:$L$3,0)))</f>
        <v>205</v>
      </c>
      <c r="CO64" s="24" t="str">
        <f t="array" ref="CO64">IF(INDEX(Data!$B$4:$L$947,MATCH(Graphs!$CK64,Data!$A$4:$A$947,0),MATCH(Graphs!CO$4,Data!$B$3:$L$3,0))="n.q.",NA(),INDEX(Data!$B$4:$L$947,MATCH(Graphs!$CK64,Data!$A$4:$A$947,0),MATCH(Graphs!CO$4,Data!$B$3:$L$3,0)))</f>
        <v>#N/A</v>
      </c>
      <c r="CP64" s="24" t="str">
        <f t="array" ref="CP64">IF(INDEX(Data!$B$4:$L$947,MATCH(Graphs!$CK64,Data!$A$4:$A$947,0),MATCH(Graphs!CP$4,Data!$B$3:$L$3,0))="n.q.",NA(),INDEX(Data!$B$4:$L$947,MATCH(Graphs!$CK64,Data!$A$4:$A$947,0),MATCH(Graphs!CP$4,Data!$B$3:$L$3,0)))</f>
        <v>#N/A</v>
      </c>
      <c r="CQ64" s="5"/>
      <c r="CR64" s="24">
        <f t="array" ref="CR64">IF(INDEX(Data!$P$4:$Z$947,MATCH(Graphs!$CK64,Data!$A$4:$A$947,0),MATCH(Graphs!CR$4,Data!$P$3:$Z$3,0))="n.q.",NA(),INDEX(Data!$P$4:$Z$947,MATCH(Graphs!$CK64,Data!$A$4:$A$947,0),MATCH(Graphs!CR$4,Data!$P$3:$Z$3,0)))</f>
        <v>185.7065804</v>
      </c>
      <c r="CS64" s="24" t="str">
        <f t="array" ref="CS64">IF(INDEX(Data!$P$4:$Z$947,MATCH(Graphs!$CK64,Data!$A$4:$A$947,0),MATCH(Graphs!CS$4,Data!$P$3:$Z$3,0))="n.q.",NA(),INDEX(Data!$P$4:$Z$947,MATCH(Graphs!$CK64,Data!$A$4:$A$947,0),MATCH(Graphs!CS$4,Data!$P$3:$Z$3,0)))</f>
        <v>#N/A</v>
      </c>
      <c r="CT64" s="24">
        <f t="array" ref="CT64">IF(INDEX(Data!$P$4:$Z$947,MATCH(Graphs!$CK64,Data!$A$4:$A$947,0),MATCH(Graphs!CT$4,Data!$P$3:$Z$3,0))="n.q.",NA(),INDEX(Data!$P$4:$Z$947,MATCH(Graphs!$CK64,Data!$A$4:$A$947,0),MATCH(Graphs!CT$4,Data!$P$3:$Z$3,0)))</f>
        <v>183.3872708</v>
      </c>
      <c r="CU64" s="24" t="str">
        <f t="array" ref="CU64">IF(INDEX(Data!$P$4:$Z$947,MATCH(Graphs!$CK64,Data!$A$4:$A$947,0),MATCH(Graphs!CU$4,Data!$P$3:$Z$3,0))="n.q.",NA(),INDEX(Data!$P$4:$Z$947,MATCH(Graphs!$CK64,Data!$A$4:$A$947,0),MATCH(Graphs!CU$4,Data!$P$3:$Z$3,0)))</f>
        <v>#N/A</v>
      </c>
      <c r="CV64" s="24" t="str">
        <f t="array" ref="CV64">IF(INDEX(Data!$P$4:$Z$947,MATCH(Graphs!$CK64,Data!$A$4:$A$947,0),MATCH(Graphs!CV$4,Data!$P$3:$Z$3,0))="n.q.",NA(),INDEX(Data!$P$4:$Z$947,MATCH(Graphs!$CK64,Data!$A$4:$A$947,0),MATCH(Graphs!CV$4,Data!$P$3:$Z$3,0)))</f>
        <v>#N/A</v>
      </c>
    </row>
    <row r="65" ht="14.25" customHeight="1"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5"/>
      <c r="CK65" s="22">
        <f>Data!A64</f>
        <v>45546</v>
      </c>
      <c r="CL65" s="24">
        <f t="array" ref="CL65">IF(INDEX(Data!$B$4:$L$947,MATCH(Graphs!$CK65,Data!$A$4:$A$947,0),MATCH(Graphs!CL$4,Data!$B$3:$L$3,0))="n.q.",NA(),INDEX(Data!$B$4:$L$947,MATCH(Graphs!$CK65,Data!$A$4:$A$947,0),MATCH(Graphs!CL$4,Data!$B$3:$L$3,0)))</f>
        <v>245.17</v>
      </c>
      <c r="CM65" s="24">
        <f t="array" ref="CM65">IF(INDEX(Data!$B$4:$L$947,MATCH(Graphs!$CK65,Data!$A$4:$A$947,0),MATCH(Graphs!CM$4,Data!$B$3:$L$3,0))="n.q.",NA(),INDEX(Data!$B$4:$L$947,MATCH(Graphs!$CK65,Data!$A$4:$A$947,0),MATCH(Graphs!CM$4,Data!$B$3:$L$3,0)))</f>
        <v>274.93</v>
      </c>
      <c r="CN65" s="24">
        <f t="array" ref="CN65">IF(INDEX(Data!$B$4:$L$947,MATCH(Graphs!$CK65,Data!$A$4:$A$947,0),MATCH(Graphs!CN$4,Data!$B$3:$L$3,0))="n.q.",NA(),INDEX(Data!$B$4:$L$947,MATCH(Graphs!$CK65,Data!$A$4:$A$947,0),MATCH(Graphs!CN$4,Data!$B$3:$L$3,0)))</f>
        <v>203</v>
      </c>
      <c r="CO65" s="24" t="str">
        <f t="array" ref="CO65">IF(INDEX(Data!$B$4:$L$947,MATCH(Graphs!$CK65,Data!$A$4:$A$947,0),MATCH(Graphs!CO$4,Data!$B$3:$L$3,0))="n.q.",NA(),INDEX(Data!$B$4:$L$947,MATCH(Graphs!$CK65,Data!$A$4:$A$947,0),MATCH(Graphs!CO$4,Data!$B$3:$L$3,0)))</f>
        <v>#N/A</v>
      </c>
      <c r="CP65" s="24" t="str">
        <f t="array" ref="CP65">IF(INDEX(Data!$B$4:$L$947,MATCH(Graphs!$CK65,Data!$A$4:$A$947,0),MATCH(Graphs!CP$4,Data!$B$3:$L$3,0))="n.q.",NA(),INDEX(Data!$B$4:$L$947,MATCH(Graphs!$CK65,Data!$A$4:$A$947,0),MATCH(Graphs!CP$4,Data!$B$3:$L$3,0)))</f>
        <v>#N/A</v>
      </c>
      <c r="CQ65" s="5"/>
      <c r="CR65" s="24">
        <f t="array" ref="CR65">IF(INDEX(Data!$P$4:$Z$947,MATCH(Graphs!$CK65,Data!$A$4:$A$947,0),MATCH(Graphs!CR$4,Data!$P$3:$Z$3,0))="n.q.",NA(),INDEX(Data!$P$4:$Z$947,MATCH(Graphs!$CK65,Data!$A$4:$A$947,0),MATCH(Graphs!CR$4,Data!$P$3:$Z$3,0)))</f>
        <v>185.2938513</v>
      </c>
      <c r="CS65" s="24" t="str">
        <f t="array" ref="CS65">IF(INDEX(Data!$P$4:$Z$947,MATCH(Graphs!$CK65,Data!$A$4:$A$947,0),MATCH(Graphs!CS$4,Data!$P$3:$Z$3,0))="n.q.",NA(),INDEX(Data!$P$4:$Z$947,MATCH(Graphs!$CK65,Data!$A$4:$A$947,0),MATCH(Graphs!CS$4,Data!$P$3:$Z$3,0)))</f>
        <v>#N/A</v>
      </c>
      <c r="CT65" s="24">
        <f t="array" ref="CT65">IF(INDEX(Data!$P$4:$Z$947,MATCH(Graphs!$CK65,Data!$A$4:$A$947,0),MATCH(Graphs!CT$4,Data!$P$3:$Z$3,0))="n.q.",NA(),INDEX(Data!$P$4:$Z$947,MATCH(Graphs!$CK65,Data!$A$4:$A$947,0),MATCH(Graphs!CT$4,Data!$P$3:$Z$3,0)))</f>
        <v>182.9213076</v>
      </c>
      <c r="CU65" s="24" t="str">
        <f t="array" ref="CU65">IF(INDEX(Data!$P$4:$Z$947,MATCH(Graphs!$CK65,Data!$A$4:$A$947,0),MATCH(Graphs!CU$4,Data!$P$3:$Z$3,0))="n.q.",NA(),INDEX(Data!$P$4:$Z$947,MATCH(Graphs!$CK65,Data!$A$4:$A$947,0),MATCH(Graphs!CU$4,Data!$P$3:$Z$3,0)))</f>
        <v>#N/A</v>
      </c>
      <c r="CV65" s="24" t="str">
        <f t="array" ref="CV65">IF(INDEX(Data!$P$4:$Z$947,MATCH(Graphs!$CK65,Data!$A$4:$A$947,0),MATCH(Graphs!CV$4,Data!$P$3:$Z$3,0))="n.q.",NA(),INDEX(Data!$P$4:$Z$947,MATCH(Graphs!$CK65,Data!$A$4:$A$947,0),MATCH(Graphs!CV$4,Data!$P$3:$Z$3,0)))</f>
        <v>#N/A</v>
      </c>
    </row>
    <row r="66" ht="14.25" customHeight="1"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5"/>
      <c r="CK66" s="22">
        <f>Data!A65</f>
        <v>45539</v>
      </c>
      <c r="CL66" s="24">
        <f t="array" ref="CL66">IF(INDEX(Data!$B$4:$L$947,MATCH(Graphs!$CK66,Data!$A$4:$A$947,0),MATCH(Graphs!CL$4,Data!$B$3:$L$3,0))="n.q.",NA(),INDEX(Data!$B$4:$L$947,MATCH(Graphs!$CK66,Data!$A$4:$A$947,0),MATCH(Graphs!CL$4,Data!$B$3:$L$3,0)))</f>
        <v>242.28</v>
      </c>
      <c r="CM66" s="24">
        <f t="array" ref="CM66">IF(INDEX(Data!$B$4:$L$947,MATCH(Graphs!$CK66,Data!$A$4:$A$947,0),MATCH(Graphs!CM$4,Data!$B$3:$L$3,0))="n.q.",NA(),INDEX(Data!$B$4:$L$947,MATCH(Graphs!$CK66,Data!$A$4:$A$947,0),MATCH(Graphs!CM$4,Data!$B$3:$L$3,0)))</f>
        <v>276.68</v>
      </c>
      <c r="CN66" s="24">
        <f t="array" ref="CN66">IF(INDEX(Data!$B$4:$L$947,MATCH(Graphs!$CK66,Data!$A$4:$A$947,0),MATCH(Graphs!CN$4,Data!$B$3:$L$3,0))="n.q.",NA(),INDEX(Data!$B$4:$L$947,MATCH(Graphs!$CK66,Data!$A$4:$A$947,0),MATCH(Graphs!CN$4,Data!$B$3:$L$3,0)))</f>
        <v>200</v>
      </c>
      <c r="CO66" s="24" t="str">
        <f t="array" ref="CO66">IF(INDEX(Data!$B$4:$L$947,MATCH(Graphs!$CK66,Data!$A$4:$A$947,0),MATCH(Graphs!CO$4,Data!$B$3:$L$3,0))="n.q.",NA(),INDEX(Data!$B$4:$L$947,MATCH(Graphs!$CK66,Data!$A$4:$A$947,0),MATCH(Graphs!CO$4,Data!$B$3:$L$3,0)))</f>
        <v>#N/A</v>
      </c>
      <c r="CP66" s="24" t="str">
        <f t="array" ref="CP66">IF(INDEX(Data!$B$4:$L$947,MATCH(Graphs!$CK66,Data!$A$4:$A$947,0),MATCH(Graphs!CP$4,Data!$B$3:$L$3,0))="n.q.",NA(),INDEX(Data!$B$4:$L$947,MATCH(Graphs!$CK66,Data!$A$4:$A$947,0),MATCH(Graphs!CP$4,Data!$B$3:$L$3,0)))</f>
        <v>#N/A</v>
      </c>
      <c r="CQ66" s="5"/>
      <c r="CR66" s="24">
        <f t="array" ref="CR66">IF(INDEX(Data!$P$4:$Z$947,MATCH(Graphs!$CK66,Data!$A$4:$A$947,0),MATCH(Graphs!CR$4,Data!$P$3:$Z$3,0))="n.q.",NA(),INDEX(Data!$P$4:$Z$947,MATCH(Graphs!$CK66,Data!$A$4:$A$947,0),MATCH(Graphs!CR$4,Data!$P$3:$Z$3,0)))</f>
        <v>186.5972851</v>
      </c>
      <c r="CS66" s="24" t="str">
        <f t="array" ref="CS66">IF(INDEX(Data!$P$4:$Z$947,MATCH(Graphs!$CK66,Data!$A$4:$A$947,0),MATCH(Graphs!CS$4,Data!$P$3:$Z$3,0))="n.q.",NA(),INDEX(Data!$P$4:$Z$947,MATCH(Graphs!$CK66,Data!$A$4:$A$947,0),MATCH(Graphs!CS$4,Data!$P$3:$Z$3,0)))</f>
        <v>#N/A</v>
      </c>
      <c r="CT66" s="24">
        <f t="array" ref="CT66">IF(INDEX(Data!$P$4:$Z$947,MATCH(Graphs!$CK66,Data!$A$4:$A$947,0),MATCH(Graphs!CT$4,Data!$P$3:$Z$3,0))="n.q.",NA(),INDEX(Data!$P$4:$Z$947,MATCH(Graphs!$CK66,Data!$A$4:$A$947,0),MATCH(Graphs!CT$4,Data!$P$3:$Z$3,0)))</f>
        <v>181.9004525</v>
      </c>
      <c r="CU66" s="24" t="str">
        <f t="array" ref="CU66">IF(INDEX(Data!$P$4:$Z$947,MATCH(Graphs!$CK66,Data!$A$4:$A$947,0),MATCH(Graphs!CU$4,Data!$P$3:$Z$3,0))="n.q.",NA(),INDEX(Data!$P$4:$Z$947,MATCH(Graphs!$CK66,Data!$A$4:$A$947,0),MATCH(Graphs!CU$4,Data!$P$3:$Z$3,0)))</f>
        <v>#N/A</v>
      </c>
      <c r="CV66" s="24" t="str">
        <f t="array" ref="CV66">IF(INDEX(Data!$P$4:$Z$947,MATCH(Graphs!$CK66,Data!$A$4:$A$947,0),MATCH(Graphs!CV$4,Data!$P$3:$Z$3,0))="n.q.",NA(),INDEX(Data!$P$4:$Z$947,MATCH(Graphs!$CK66,Data!$A$4:$A$947,0),MATCH(Graphs!CV$4,Data!$P$3:$Z$3,0)))</f>
        <v>#N/A</v>
      </c>
    </row>
    <row r="67" ht="14.25" customHeight="1"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5"/>
      <c r="CK67" s="22">
        <f>Data!A66</f>
        <v>45532</v>
      </c>
      <c r="CL67" s="24">
        <f t="array" ref="CL67">IF(INDEX(Data!$B$4:$L$947,MATCH(Graphs!$CK67,Data!$A$4:$A$947,0),MATCH(Graphs!CL$4,Data!$B$3:$L$3,0))="n.q.",NA(),INDEX(Data!$B$4:$L$947,MATCH(Graphs!$CK67,Data!$A$4:$A$947,0),MATCH(Graphs!CL$4,Data!$B$3:$L$3,0)))</f>
        <v>228.89</v>
      </c>
      <c r="CM67" s="24">
        <f t="array" ref="CM67">IF(INDEX(Data!$B$4:$L$947,MATCH(Graphs!$CK67,Data!$A$4:$A$947,0),MATCH(Graphs!CM$4,Data!$B$3:$L$3,0))="n.q.",NA(),INDEX(Data!$B$4:$L$947,MATCH(Graphs!$CK67,Data!$A$4:$A$947,0),MATCH(Graphs!CM$4,Data!$B$3:$L$3,0)))</f>
        <v>251.6</v>
      </c>
      <c r="CN67" s="24">
        <f t="array" ref="CN67">IF(INDEX(Data!$B$4:$L$947,MATCH(Graphs!$CK67,Data!$A$4:$A$947,0),MATCH(Graphs!CN$4,Data!$B$3:$L$3,0))="n.q.",NA(),INDEX(Data!$B$4:$L$947,MATCH(Graphs!$CK67,Data!$A$4:$A$947,0),MATCH(Graphs!CN$4,Data!$B$3:$L$3,0)))</f>
        <v>200</v>
      </c>
      <c r="CO67" s="24" t="str">
        <f t="array" ref="CO67">IF(INDEX(Data!$B$4:$L$947,MATCH(Graphs!$CK67,Data!$A$4:$A$947,0),MATCH(Graphs!CO$4,Data!$B$3:$L$3,0))="n.q.",NA(),INDEX(Data!$B$4:$L$947,MATCH(Graphs!$CK67,Data!$A$4:$A$947,0),MATCH(Graphs!CO$4,Data!$B$3:$L$3,0)))</f>
        <v>#N/A</v>
      </c>
      <c r="CP67" s="24" t="str">
        <f t="array" ref="CP67">IF(INDEX(Data!$B$4:$L$947,MATCH(Graphs!$CK67,Data!$A$4:$A$947,0),MATCH(Graphs!CP$4,Data!$B$3:$L$3,0))="n.q.",NA(),INDEX(Data!$B$4:$L$947,MATCH(Graphs!$CK67,Data!$A$4:$A$947,0),MATCH(Graphs!CP$4,Data!$B$3:$L$3,0)))</f>
        <v>#N/A</v>
      </c>
      <c r="CQ67" s="5"/>
      <c r="CR67" s="24">
        <f t="array" ref="CR67">IF(INDEX(Data!$P$4:$Z$947,MATCH(Graphs!$CK67,Data!$A$4:$A$947,0),MATCH(Graphs!CR$4,Data!$P$3:$Z$3,0))="n.q.",NA(),INDEX(Data!$P$4:$Z$947,MATCH(Graphs!$CK67,Data!$A$4:$A$947,0),MATCH(Graphs!CR$4,Data!$P$3:$Z$3,0)))</f>
        <v>161.9231807</v>
      </c>
      <c r="CS67" s="24" t="str">
        <f t="array" ref="CS67">IF(INDEX(Data!$P$4:$Z$947,MATCH(Graphs!$CK67,Data!$A$4:$A$947,0),MATCH(Graphs!CS$4,Data!$P$3:$Z$3,0))="n.q.",NA(),INDEX(Data!$P$4:$Z$947,MATCH(Graphs!$CK67,Data!$A$4:$A$947,0),MATCH(Graphs!CS$4,Data!$P$3:$Z$3,0)))</f>
        <v>#N/A</v>
      </c>
      <c r="CT67" s="24">
        <f t="array" ref="CT67">IF(INDEX(Data!$P$4:$Z$947,MATCH(Graphs!$CK67,Data!$A$4:$A$947,0),MATCH(Graphs!CT$4,Data!$P$3:$Z$3,0))="n.q.",NA(),INDEX(Data!$P$4:$Z$947,MATCH(Graphs!$CK67,Data!$A$4:$A$947,0),MATCH(Graphs!CT$4,Data!$P$3:$Z$3,0)))</f>
        <v>177.2060808</v>
      </c>
      <c r="CU67" s="24" t="str">
        <f t="array" ref="CU67">IF(INDEX(Data!$P$4:$Z$947,MATCH(Graphs!$CK67,Data!$A$4:$A$947,0),MATCH(Graphs!CU$4,Data!$P$3:$Z$3,0))="n.q.",NA(),INDEX(Data!$P$4:$Z$947,MATCH(Graphs!$CK67,Data!$A$4:$A$947,0),MATCH(Graphs!CU$4,Data!$P$3:$Z$3,0)))</f>
        <v>#N/A</v>
      </c>
      <c r="CV67" s="24" t="str">
        <f t="array" ref="CV67">IF(INDEX(Data!$P$4:$Z$947,MATCH(Graphs!$CK67,Data!$A$4:$A$947,0),MATCH(Graphs!CV$4,Data!$P$3:$Z$3,0))="n.q.",NA(),INDEX(Data!$P$4:$Z$947,MATCH(Graphs!$CK67,Data!$A$4:$A$947,0),MATCH(Graphs!CV$4,Data!$P$3:$Z$3,0)))</f>
        <v>#N/A</v>
      </c>
    </row>
    <row r="68" ht="14.25" customHeight="1"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5"/>
      <c r="CK68" s="22">
        <f>Data!A67</f>
        <v>45525</v>
      </c>
      <c r="CL68" s="24">
        <f t="array" ref="CL68">IF(INDEX(Data!$B$4:$L$947,MATCH(Graphs!$CK68,Data!$A$4:$A$947,0),MATCH(Graphs!CL$4,Data!$B$3:$L$3,0))="n.q.",NA(),INDEX(Data!$B$4:$L$947,MATCH(Graphs!$CK68,Data!$A$4:$A$947,0),MATCH(Graphs!CL$4,Data!$B$3:$L$3,0)))</f>
        <v>229.23</v>
      </c>
      <c r="CM68" s="24">
        <f t="array" ref="CM68">IF(INDEX(Data!$B$4:$L$947,MATCH(Graphs!$CK68,Data!$A$4:$A$947,0),MATCH(Graphs!CM$4,Data!$B$3:$L$3,0))="n.q.",NA(),INDEX(Data!$B$4:$L$947,MATCH(Graphs!$CK68,Data!$A$4:$A$947,0),MATCH(Graphs!CM$4,Data!$B$3:$L$3,0)))</f>
        <v>246.64</v>
      </c>
      <c r="CN68" s="24">
        <f t="array" ref="CN68">IF(INDEX(Data!$B$4:$L$947,MATCH(Graphs!$CK68,Data!$A$4:$A$947,0),MATCH(Graphs!CN$4,Data!$B$3:$L$3,0))="n.q.",NA(),INDEX(Data!$B$4:$L$947,MATCH(Graphs!$CK68,Data!$A$4:$A$947,0),MATCH(Graphs!CN$4,Data!$B$3:$L$3,0)))</f>
        <v>202</v>
      </c>
      <c r="CO68" s="24" t="str">
        <f t="array" ref="CO68">IF(INDEX(Data!$B$4:$L$947,MATCH(Graphs!$CK68,Data!$A$4:$A$947,0),MATCH(Graphs!CO$4,Data!$B$3:$L$3,0))="n.q.",NA(),INDEX(Data!$B$4:$L$947,MATCH(Graphs!$CK68,Data!$A$4:$A$947,0),MATCH(Graphs!CO$4,Data!$B$3:$L$3,0)))</f>
        <v>#N/A</v>
      </c>
      <c r="CP68" s="24" t="str">
        <f t="array" ref="CP68">IF(INDEX(Data!$B$4:$L$947,MATCH(Graphs!$CK68,Data!$A$4:$A$947,0),MATCH(Graphs!CP$4,Data!$B$3:$L$3,0))="n.q.",NA(),INDEX(Data!$B$4:$L$947,MATCH(Graphs!$CK68,Data!$A$4:$A$947,0),MATCH(Graphs!CP$4,Data!$B$3:$L$3,0)))</f>
        <v>#N/A</v>
      </c>
      <c r="CQ68" s="5"/>
      <c r="CR68" s="24">
        <f t="array" ref="CR68">IF(INDEX(Data!$P$4:$Z$947,MATCH(Graphs!$CK68,Data!$A$4:$A$947,0),MATCH(Graphs!CR$4,Data!$P$3:$Z$3,0))="n.q.",NA(),INDEX(Data!$P$4:$Z$947,MATCH(Graphs!$CK68,Data!$A$4:$A$947,0),MATCH(Graphs!CR$4,Data!$P$3:$Z$3,0)))</f>
        <v>165.2123066</v>
      </c>
      <c r="CS68" s="24" t="str">
        <f t="array" ref="CS68">IF(INDEX(Data!$P$4:$Z$947,MATCH(Graphs!$CK68,Data!$A$4:$A$947,0),MATCH(Graphs!CS$4,Data!$P$3:$Z$3,0))="n.q.",NA(),INDEX(Data!$P$4:$Z$947,MATCH(Graphs!$CK68,Data!$A$4:$A$947,0),MATCH(Graphs!CS$4,Data!$P$3:$Z$3,0)))</f>
        <v>#N/A</v>
      </c>
      <c r="CT68" s="24">
        <f t="array" ref="CT68">IF(INDEX(Data!$P$4:$Z$947,MATCH(Graphs!$CK68,Data!$A$4:$A$947,0),MATCH(Graphs!CT$4,Data!$P$3:$Z$3,0))="n.q.",NA(),INDEX(Data!$P$4:$Z$947,MATCH(Graphs!$CK68,Data!$A$4:$A$947,0),MATCH(Graphs!CT$4,Data!$P$3:$Z$3,0)))</f>
        <v>182.6196474</v>
      </c>
      <c r="CU68" s="24" t="str">
        <f t="array" ref="CU68">IF(INDEX(Data!$P$4:$Z$947,MATCH(Graphs!$CK68,Data!$A$4:$A$947,0),MATCH(Graphs!CU$4,Data!$P$3:$Z$3,0))="n.q.",NA(),INDEX(Data!$P$4:$Z$947,MATCH(Graphs!$CK68,Data!$A$4:$A$947,0),MATCH(Graphs!CU$4,Data!$P$3:$Z$3,0)))</f>
        <v>#N/A</v>
      </c>
      <c r="CV68" s="24" t="str">
        <f t="array" ref="CV68">IF(INDEX(Data!$P$4:$Z$947,MATCH(Graphs!$CK68,Data!$A$4:$A$947,0),MATCH(Graphs!CV$4,Data!$P$3:$Z$3,0))="n.q.",NA(),INDEX(Data!$P$4:$Z$947,MATCH(Graphs!$CK68,Data!$A$4:$A$947,0),MATCH(Graphs!CV$4,Data!$P$3:$Z$3,0)))</f>
        <v>#N/A</v>
      </c>
    </row>
    <row r="69" ht="14.25" customHeight="1"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5"/>
      <c r="CK69" s="22">
        <f>Data!A68</f>
        <v>45518</v>
      </c>
      <c r="CL69" s="24">
        <f t="array" ref="CL69">IF(INDEX(Data!$B$4:$L$947,MATCH(Graphs!$CK69,Data!$A$4:$A$947,0),MATCH(Graphs!CL$4,Data!$B$3:$L$3,0))="n.q.",NA(),INDEX(Data!$B$4:$L$947,MATCH(Graphs!$CK69,Data!$A$4:$A$947,0),MATCH(Graphs!CL$4,Data!$B$3:$L$3,0)))</f>
        <v>230.08</v>
      </c>
      <c r="CM69" s="24">
        <f t="array" ref="CM69">IF(INDEX(Data!$B$4:$L$947,MATCH(Graphs!$CK69,Data!$A$4:$A$947,0),MATCH(Graphs!CM$4,Data!$B$3:$L$3,0))="n.q.",NA(),INDEX(Data!$B$4:$L$947,MATCH(Graphs!$CK69,Data!$A$4:$A$947,0),MATCH(Graphs!CM$4,Data!$B$3:$L$3,0)))</f>
        <v>248.48</v>
      </c>
      <c r="CN69" s="24">
        <f t="array" ref="CN69">IF(INDEX(Data!$B$4:$L$947,MATCH(Graphs!$CK69,Data!$A$4:$A$947,0),MATCH(Graphs!CN$4,Data!$B$3:$L$3,0))="n.q.",NA(),INDEX(Data!$B$4:$L$947,MATCH(Graphs!$CK69,Data!$A$4:$A$947,0),MATCH(Graphs!CN$4,Data!$B$3:$L$3,0)))</f>
        <v>202</v>
      </c>
      <c r="CO69" s="24" t="str">
        <f t="array" ref="CO69">IF(INDEX(Data!$B$4:$L$947,MATCH(Graphs!$CK69,Data!$A$4:$A$947,0),MATCH(Graphs!CO$4,Data!$B$3:$L$3,0))="n.q.",NA(),INDEX(Data!$B$4:$L$947,MATCH(Graphs!$CK69,Data!$A$4:$A$947,0),MATCH(Graphs!CO$4,Data!$B$3:$L$3,0)))</f>
        <v>#N/A</v>
      </c>
      <c r="CP69" s="24" t="str">
        <f t="array" ref="CP69">IF(INDEX(Data!$B$4:$L$947,MATCH(Graphs!$CK69,Data!$A$4:$A$947,0),MATCH(Graphs!CP$4,Data!$B$3:$L$3,0))="n.q.",NA(),INDEX(Data!$B$4:$L$947,MATCH(Graphs!$CK69,Data!$A$4:$A$947,0),MATCH(Graphs!CP$4,Data!$B$3:$L$3,0)))</f>
        <v>#N/A</v>
      </c>
      <c r="CQ69" s="5"/>
      <c r="CR69" s="24">
        <f t="array" ref="CR69">IF(INDEX(Data!$P$4:$Z$947,MATCH(Graphs!$CK69,Data!$A$4:$A$947,0),MATCH(Graphs!CR$4,Data!$P$3:$Z$3,0))="n.q.",NA(),INDEX(Data!$P$4:$Z$947,MATCH(Graphs!$CK69,Data!$A$4:$A$947,0),MATCH(Graphs!CR$4,Data!$P$3:$Z$3,0)))</f>
        <v>166.4942372</v>
      </c>
      <c r="CS69" s="24" t="str">
        <f t="array" ref="CS69">IF(INDEX(Data!$P$4:$Z$947,MATCH(Graphs!$CK69,Data!$A$4:$A$947,0),MATCH(Graphs!CS$4,Data!$P$3:$Z$3,0))="n.q.",NA(),INDEX(Data!$P$4:$Z$947,MATCH(Graphs!$CK69,Data!$A$4:$A$947,0),MATCH(Graphs!CS$4,Data!$P$3:$Z$3,0)))</f>
        <v>#N/A</v>
      </c>
      <c r="CT69" s="24">
        <f t="array" ref="CT69">IF(INDEX(Data!$P$4:$Z$947,MATCH(Graphs!$CK69,Data!$A$4:$A$947,0),MATCH(Graphs!CT$4,Data!$P$3:$Z$3,0))="n.q.",NA(),INDEX(Data!$P$4:$Z$947,MATCH(Graphs!$CK69,Data!$A$4:$A$947,0),MATCH(Graphs!CT$4,Data!$P$3:$Z$3,0)))</f>
        <v>186.4960523</v>
      </c>
      <c r="CU69" s="24" t="str">
        <f t="array" ref="CU69">IF(INDEX(Data!$P$4:$Z$947,MATCH(Graphs!$CK69,Data!$A$4:$A$947,0),MATCH(Graphs!CU$4,Data!$P$3:$Z$3,0))="n.q.",NA(),INDEX(Data!$P$4:$Z$947,MATCH(Graphs!$CK69,Data!$A$4:$A$947,0),MATCH(Graphs!CU$4,Data!$P$3:$Z$3,0)))</f>
        <v>#N/A</v>
      </c>
      <c r="CV69" s="24" t="str">
        <f t="array" ref="CV69">IF(INDEX(Data!$P$4:$Z$947,MATCH(Graphs!$CK69,Data!$A$4:$A$947,0),MATCH(Graphs!CV$4,Data!$P$3:$Z$3,0))="n.q.",NA(),INDEX(Data!$P$4:$Z$947,MATCH(Graphs!$CK69,Data!$A$4:$A$947,0),MATCH(Graphs!CV$4,Data!$P$3:$Z$3,0)))</f>
        <v>#N/A</v>
      </c>
    </row>
    <row r="70" ht="14.25" customHeight="1"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5"/>
      <c r="CK70" s="22">
        <f>Data!A69</f>
        <v>45511</v>
      </c>
      <c r="CL70" s="24">
        <f t="array" ref="CL70">IF(INDEX(Data!$B$4:$L$947,MATCH(Graphs!$CK70,Data!$A$4:$A$947,0),MATCH(Graphs!CL$4,Data!$B$3:$L$3,0))="n.q.",NA(),INDEX(Data!$B$4:$L$947,MATCH(Graphs!$CK70,Data!$A$4:$A$947,0),MATCH(Graphs!CL$4,Data!$B$3:$L$3,0)))</f>
        <v>241.13</v>
      </c>
      <c r="CM70" s="24">
        <f t="array" ref="CM70">IF(INDEX(Data!$B$4:$L$947,MATCH(Graphs!$CK70,Data!$A$4:$A$947,0),MATCH(Graphs!CM$4,Data!$B$3:$L$3,0))="n.q.",NA(),INDEX(Data!$B$4:$L$947,MATCH(Graphs!$CK70,Data!$A$4:$A$947,0),MATCH(Graphs!CM$4,Data!$B$3:$L$3,0)))</f>
        <v>253.72</v>
      </c>
      <c r="CN70" s="24">
        <f t="array" ref="CN70">IF(INDEX(Data!$B$4:$L$947,MATCH(Graphs!$CK70,Data!$A$4:$A$947,0),MATCH(Graphs!CN$4,Data!$B$3:$L$3,0))="n.q.",NA(),INDEX(Data!$B$4:$L$947,MATCH(Graphs!$CK70,Data!$A$4:$A$947,0),MATCH(Graphs!CN$4,Data!$B$3:$L$3,0)))</f>
        <v>199</v>
      </c>
      <c r="CO70" s="24" t="str">
        <f t="array" ref="CO70">IF(INDEX(Data!$B$4:$L$947,MATCH(Graphs!$CK70,Data!$A$4:$A$947,0),MATCH(Graphs!CO$4,Data!$B$3:$L$3,0))="n.q.",NA(),INDEX(Data!$B$4:$L$947,MATCH(Graphs!$CK70,Data!$A$4:$A$947,0),MATCH(Graphs!CO$4,Data!$B$3:$L$3,0)))</f>
        <v>#N/A</v>
      </c>
      <c r="CP70" s="24" t="str">
        <f t="array" ref="CP70">IF(INDEX(Data!$B$4:$L$947,MATCH(Graphs!$CK70,Data!$A$4:$A$947,0),MATCH(Graphs!CP$4,Data!$B$3:$L$3,0))="n.q.",NA(),INDEX(Data!$B$4:$L$947,MATCH(Graphs!$CK70,Data!$A$4:$A$947,0),MATCH(Graphs!CP$4,Data!$B$3:$L$3,0)))</f>
        <v>#N/A</v>
      </c>
      <c r="CQ70" s="5"/>
      <c r="CR70" s="24">
        <f t="array" ref="CR70">IF(INDEX(Data!$P$4:$Z$947,MATCH(Graphs!$CK70,Data!$A$4:$A$947,0),MATCH(Graphs!CR$4,Data!$P$3:$Z$3,0))="n.q.",NA(),INDEX(Data!$P$4:$Z$947,MATCH(Graphs!$CK70,Data!$A$4:$A$947,0),MATCH(Graphs!CR$4,Data!$P$3:$Z$3,0)))</f>
        <v>166.974913</v>
      </c>
      <c r="CS70" s="24" t="str">
        <f t="array" ref="CS70">IF(INDEX(Data!$P$4:$Z$947,MATCH(Graphs!$CK70,Data!$A$4:$A$947,0),MATCH(Graphs!CS$4,Data!$P$3:$Z$3,0))="n.q.",NA(),INDEX(Data!$P$4:$Z$947,MATCH(Graphs!$CK70,Data!$A$4:$A$947,0),MATCH(Graphs!CS$4,Data!$P$3:$Z$3,0)))</f>
        <v>#N/A</v>
      </c>
      <c r="CT70" s="24">
        <f t="array" ref="CT70">IF(INDEX(Data!$P$4:$Z$947,MATCH(Graphs!$CK70,Data!$A$4:$A$947,0),MATCH(Graphs!CT$4,Data!$P$3:$Z$3,0))="n.q.",NA(),INDEX(Data!$P$4:$Z$947,MATCH(Graphs!$CK70,Data!$A$4:$A$947,0),MATCH(Graphs!CT$4,Data!$P$3:$Z$3,0)))</f>
        <v>187.6945614</v>
      </c>
      <c r="CU70" s="24" t="str">
        <f t="array" ref="CU70">IF(INDEX(Data!$P$4:$Z$947,MATCH(Graphs!$CK70,Data!$A$4:$A$947,0),MATCH(Graphs!CU$4,Data!$P$3:$Z$3,0))="n.q.",NA(),INDEX(Data!$P$4:$Z$947,MATCH(Graphs!$CK70,Data!$A$4:$A$947,0),MATCH(Graphs!CU$4,Data!$P$3:$Z$3,0)))</f>
        <v>#N/A</v>
      </c>
      <c r="CV70" s="24" t="str">
        <f t="array" ref="CV70">IF(INDEX(Data!$P$4:$Z$947,MATCH(Graphs!$CK70,Data!$A$4:$A$947,0),MATCH(Graphs!CV$4,Data!$P$3:$Z$3,0))="n.q.",NA(),INDEX(Data!$P$4:$Z$947,MATCH(Graphs!$CK70,Data!$A$4:$A$947,0),MATCH(Graphs!CV$4,Data!$P$3:$Z$3,0)))</f>
        <v>#N/A</v>
      </c>
    </row>
    <row r="71" ht="14.25" customHeight="1"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5"/>
      <c r="CK71" s="22">
        <f>Data!A70</f>
        <v>45504</v>
      </c>
      <c r="CL71" s="24">
        <f t="array" ref="CL71">IF(INDEX(Data!$B$4:$L$947,MATCH(Graphs!$CK71,Data!$A$4:$A$947,0),MATCH(Graphs!CL$4,Data!$B$3:$L$3,0))="n.q.",NA(),INDEX(Data!$B$4:$L$947,MATCH(Graphs!$CK71,Data!$A$4:$A$947,0),MATCH(Graphs!CL$4,Data!$B$3:$L$3,0)))</f>
        <v>242.13</v>
      </c>
      <c r="CM71" s="24">
        <f t="array" ref="CM71">IF(INDEX(Data!$B$4:$L$947,MATCH(Graphs!$CK71,Data!$A$4:$A$947,0),MATCH(Graphs!CM$4,Data!$B$3:$L$3,0))="n.q.",NA(),INDEX(Data!$B$4:$L$947,MATCH(Graphs!$CK71,Data!$A$4:$A$947,0),MATCH(Graphs!CM$4,Data!$B$3:$L$3,0)))</f>
        <v>253.16</v>
      </c>
      <c r="CN71" s="24">
        <f t="array" ref="CN71">IF(INDEX(Data!$B$4:$L$947,MATCH(Graphs!$CK71,Data!$A$4:$A$947,0),MATCH(Graphs!CN$4,Data!$B$3:$L$3,0))="n.q.",NA(),INDEX(Data!$B$4:$L$947,MATCH(Graphs!$CK71,Data!$A$4:$A$947,0),MATCH(Graphs!CN$4,Data!$B$3:$L$3,0)))</f>
        <v>201</v>
      </c>
      <c r="CO71" s="24" t="str">
        <f t="array" ref="CO71">IF(INDEX(Data!$B$4:$L$947,MATCH(Graphs!$CK71,Data!$A$4:$A$947,0),MATCH(Graphs!CO$4,Data!$B$3:$L$3,0))="n.q.",NA(),INDEX(Data!$B$4:$L$947,MATCH(Graphs!$CK71,Data!$A$4:$A$947,0),MATCH(Graphs!CO$4,Data!$B$3:$L$3,0)))</f>
        <v>#N/A</v>
      </c>
      <c r="CP71" s="24" t="str">
        <f t="array" ref="CP71">IF(INDEX(Data!$B$4:$L$947,MATCH(Graphs!$CK71,Data!$A$4:$A$947,0),MATCH(Graphs!CP$4,Data!$B$3:$L$3,0))="n.q.",NA(),INDEX(Data!$B$4:$L$947,MATCH(Graphs!$CK71,Data!$A$4:$A$947,0),MATCH(Graphs!CP$4,Data!$B$3:$L$3,0)))</f>
        <v>#N/A</v>
      </c>
      <c r="CQ71" s="5"/>
      <c r="CR71" s="24">
        <f t="array" ref="CR71">IF(INDEX(Data!$P$4:$Z$947,MATCH(Graphs!$CK71,Data!$A$4:$A$947,0),MATCH(Graphs!CR$4,Data!$P$3:$Z$3,0))="n.q.",NA(),INDEX(Data!$P$4:$Z$947,MATCH(Graphs!$CK71,Data!$A$4:$A$947,0),MATCH(Graphs!CR$4,Data!$P$3:$Z$3,0)))</f>
        <v>168.2489841</v>
      </c>
      <c r="CS71" s="24" t="str">
        <f t="array" ref="CS71">IF(INDEX(Data!$P$4:$Z$947,MATCH(Graphs!$CK71,Data!$A$4:$A$947,0),MATCH(Graphs!CS$4,Data!$P$3:$Z$3,0))="n.q.",NA(),INDEX(Data!$P$4:$Z$947,MATCH(Graphs!$CK71,Data!$A$4:$A$947,0),MATCH(Graphs!CS$4,Data!$P$3:$Z$3,0)))</f>
        <v>#N/A</v>
      </c>
      <c r="CT71" s="24">
        <f t="array" ref="CT71">IF(INDEX(Data!$P$4:$Z$947,MATCH(Graphs!$CK71,Data!$A$4:$A$947,0),MATCH(Graphs!CT$4,Data!$P$3:$Z$3,0))="n.q.",NA(),INDEX(Data!$P$4:$Z$947,MATCH(Graphs!$CK71,Data!$A$4:$A$947,0),MATCH(Graphs!CT$4,Data!$P$3:$Z$3,0)))</f>
        <v>187.4769117</v>
      </c>
      <c r="CU71" s="24" t="str">
        <f t="array" ref="CU71">IF(INDEX(Data!$P$4:$Z$947,MATCH(Graphs!$CK71,Data!$A$4:$A$947,0),MATCH(Graphs!CU$4,Data!$P$3:$Z$3,0))="n.q.",NA(),INDEX(Data!$P$4:$Z$947,MATCH(Graphs!$CK71,Data!$A$4:$A$947,0),MATCH(Graphs!CU$4,Data!$P$3:$Z$3,0)))</f>
        <v>#N/A</v>
      </c>
      <c r="CV71" s="24" t="str">
        <f t="array" ref="CV71">IF(INDEX(Data!$P$4:$Z$947,MATCH(Graphs!$CK71,Data!$A$4:$A$947,0),MATCH(Graphs!CV$4,Data!$P$3:$Z$3,0))="n.q.",NA(),INDEX(Data!$P$4:$Z$947,MATCH(Graphs!$CK71,Data!$A$4:$A$947,0),MATCH(Graphs!CV$4,Data!$P$3:$Z$3,0)))</f>
        <v>#N/A</v>
      </c>
    </row>
    <row r="72" ht="14.25" customHeight="1"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5"/>
      <c r="CK72" s="22">
        <f>Data!A71</f>
        <v>45497</v>
      </c>
      <c r="CL72" s="24">
        <f t="array" ref="CL72">IF(INDEX(Data!$B$4:$L$947,MATCH(Graphs!$CK72,Data!$A$4:$A$947,0),MATCH(Graphs!CL$4,Data!$B$3:$L$3,0))="n.q.",NA(),INDEX(Data!$B$4:$L$947,MATCH(Graphs!$CK72,Data!$A$4:$A$947,0),MATCH(Graphs!CL$4,Data!$B$3:$L$3,0)))</f>
        <v>241.75</v>
      </c>
      <c r="CM72" s="24">
        <f t="array" ref="CM72">IF(INDEX(Data!$B$4:$L$947,MATCH(Graphs!$CK72,Data!$A$4:$A$947,0),MATCH(Graphs!CM$4,Data!$B$3:$L$3,0))="n.q.",NA(),INDEX(Data!$B$4:$L$947,MATCH(Graphs!$CK72,Data!$A$4:$A$947,0),MATCH(Graphs!CM$4,Data!$B$3:$L$3,0)))</f>
        <v>259.96</v>
      </c>
      <c r="CN72" s="24">
        <f t="array" ref="CN72">IF(INDEX(Data!$B$4:$L$947,MATCH(Graphs!$CK72,Data!$A$4:$A$947,0),MATCH(Graphs!CN$4,Data!$B$3:$L$3,0))="n.q.",NA(),INDEX(Data!$B$4:$L$947,MATCH(Graphs!$CK72,Data!$A$4:$A$947,0),MATCH(Graphs!CN$4,Data!$B$3:$L$3,0)))</f>
        <v>201</v>
      </c>
      <c r="CO72" s="24" t="str">
        <f t="array" ref="CO72">IF(INDEX(Data!$B$4:$L$947,MATCH(Graphs!$CK72,Data!$A$4:$A$947,0),MATCH(Graphs!CO$4,Data!$B$3:$L$3,0))="n.q.",NA(),INDEX(Data!$B$4:$L$947,MATCH(Graphs!$CK72,Data!$A$4:$A$947,0),MATCH(Graphs!CO$4,Data!$B$3:$L$3,0)))</f>
        <v>#N/A</v>
      </c>
      <c r="CP72" s="24" t="str">
        <f t="array" ref="CP72">IF(INDEX(Data!$B$4:$L$947,MATCH(Graphs!$CK72,Data!$A$4:$A$947,0),MATCH(Graphs!CP$4,Data!$B$3:$L$3,0))="n.q.",NA(),INDEX(Data!$B$4:$L$947,MATCH(Graphs!$CK72,Data!$A$4:$A$947,0),MATCH(Graphs!CP$4,Data!$B$3:$L$3,0)))</f>
        <v>#N/A</v>
      </c>
      <c r="CQ72" s="5"/>
      <c r="CR72" s="24">
        <f t="array" ref="CR72">IF(INDEX(Data!$P$4:$Z$947,MATCH(Graphs!$CK72,Data!$A$4:$A$947,0),MATCH(Graphs!CR$4,Data!$P$3:$Z$3,0))="n.q.",NA(),INDEX(Data!$P$4:$Z$947,MATCH(Graphs!$CK72,Data!$A$4:$A$947,0),MATCH(Graphs!CR$4,Data!$P$3:$Z$3,0)))</f>
        <v>174.8340708</v>
      </c>
      <c r="CS72" s="24" t="str">
        <f t="array" ref="CS72">IF(INDEX(Data!$P$4:$Z$947,MATCH(Graphs!$CK72,Data!$A$4:$A$947,0),MATCH(Graphs!CS$4,Data!$P$3:$Z$3,0))="n.q.",NA(),INDEX(Data!$P$4:$Z$947,MATCH(Graphs!$CK72,Data!$A$4:$A$947,0),MATCH(Graphs!CS$4,Data!$P$3:$Z$3,0)))</f>
        <v>#N/A</v>
      </c>
      <c r="CT72" s="24">
        <f t="array" ref="CT72">IF(INDEX(Data!$P$4:$Z$947,MATCH(Graphs!$CK72,Data!$A$4:$A$947,0),MATCH(Graphs!CT$4,Data!$P$3:$Z$3,0))="n.q.",NA(),INDEX(Data!$P$4:$Z$947,MATCH(Graphs!$CK72,Data!$A$4:$A$947,0),MATCH(Graphs!CT$4,Data!$P$3:$Z$3,0)))</f>
        <v>186.2094395</v>
      </c>
      <c r="CU72" s="24" t="str">
        <f t="array" ref="CU72">IF(INDEX(Data!$P$4:$Z$947,MATCH(Graphs!$CK72,Data!$A$4:$A$947,0),MATCH(Graphs!CU$4,Data!$P$3:$Z$3,0))="n.q.",NA(),INDEX(Data!$P$4:$Z$947,MATCH(Graphs!$CK72,Data!$A$4:$A$947,0),MATCH(Graphs!CU$4,Data!$P$3:$Z$3,0)))</f>
        <v>#N/A</v>
      </c>
      <c r="CV72" s="24" t="str">
        <f t="array" ref="CV72">IF(INDEX(Data!$P$4:$Z$947,MATCH(Graphs!$CK72,Data!$A$4:$A$947,0),MATCH(Graphs!CV$4,Data!$P$3:$Z$3,0))="n.q.",NA(),INDEX(Data!$P$4:$Z$947,MATCH(Graphs!$CK72,Data!$A$4:$A$947,0),MATCH(Graphs!CV$4,Data!$P$3:$Z$3,0)))</f>
        <v>#N/A</v>
      </c>
    </row>
    <row r="73" ht="14.25" customHeight="1"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5"/>
      <c r="CK73" s="22">
        <f>Data!A72</f>
        <v>45490</v>
      </c>
      <c r="CL73" s="24">
        <f t="array" ref="CL73">IF(INDEX(Data!$B$4:$L$947,MATCH(Graphs!$CK73,Data!$A$4:$A$947,0),MATCH(Graphs!CL$4,Data!$B$3:$L$3,0))="n.q.",NA(),INDEX(Data!$B$4:$L$947,MATCH(Graphs!$CK73,Data!$A$4:$A$947,0),MATCH(Graphs!CL$4,Data!$B$3:$L$3,0)))</f>
        <v>233.71</v>
      </c>
      <c r="CM73" s="24">
        <f t="array" ref="CM73">IF(INDEX(Data!$B$4:$L$947,MATCH(Graphs!$CK73,Data!$A$4:$A$947,0),MATCH(Graphs!CM$4,Data!$B$3:$L$3,0))="n.q.",NA(),INDEX(Data!$B$4:$L$947,MATCH(Graphs!$CK73,Data!$A$4:$A$947,0),MATCH(Graphs!CM$4,Data!$B$3:$L$3,0)))</f>
        <v>255.74</v>
      </c>
      <c r="CN73" s="24">
        <f t="array" ref="CN73">IF(INDEX(Data!$B$4:$L$947,MATCH(Graphs!$CK73,Data!$A$4:$A$947,0),MATCH(Graphs!CN$4,Data!$B$3:$L$3,0))="n.q.",NA(),INDEX(Data!$B$4:$L$947,MATCH(Graphs!$CK73,Data!$A$4:$A$947,0),MATCH(Graphs!CN$4,Data!$B$3:$L$3,0)))</f>
        <v>196</v>
      </c>
      <c r="CO73" s="24" t="str">
        <f t="array" ref="CO73">IF(INDEX(Data!$B$4:$L$947,MATCH(Graphs!$CK73,Data!$A$4:$A$947,0),MATCH(Graphs!CO$4,Data!$B$3:$L$3,0))="n.q.",NA(),INDEX(Data!$B$4:$L$947,MATCH(Graphs!$CK73,Data!$A$4:$A$947,0),MATCH(Graphs!CO$4,Data!$B$3:$L$3,0)))</f>
        <v>#N/A</v>
      </c>
      <c r="CP73" s="24" t="str">
        <f t="array" ref="CP73">IF(INDEX(Data!$B$4:$L$947,MATCH(Graphs!$CK73,Data!$A$4:$A$947,0),MATCH(Graphs!CP$4,Data!$B$3:$L$3,0))="n.q.",NA(),INDEX(Data!$B$4:$L$947,MATCH(Graphs!$CK73,Data!$A$4:$A$947,0),MATCH(Graphs!CP$4,Data!$B$3:$L$3,0)))</f>
        <v>#N/A</v>
      </c>
      <c r="CQ73" s="5"/>
      <c r="CR73" s="24">
        <f t="array" ref="CR73">IF(INDEX(Data!$P$4:$Z$947,MATCH(Graphs!$CK73,Data!$A$4:$A$947,0),MATCH(Graphs!CR$4,Data!$P$3:$Z$3,0))="n.q.",NA(),INDEX(Data!$P$4:$Z$947,MATCH(Graphs!$CK73,Data!$A$4:$A$947,0),MATCH(Graphs!CR$4,Data!$P$3:$Z$3,0)))</f>
        <v>170.30364</v>
      </c>
      <c r="CS73" s="24" t="str">
        <f t="array" ref="CS73">IF(INDEX(Data!$P$4:$Z$947,MATCH(Graphs!$CK73,Data!$A$4:$A$947,0),MATCH(Graphs!CS$4,Data!$P$3:$Z$3,0))="n.q.",NA(),INDEX(Data!$P$4:$Z$947,MATCH(Graphs!$CK73,Data!$A$4:$A$947,0),MATCH(Graphs!CS$4,Data!$P$3:$Z$3,0)))</f>
        <v>#N/A</v>
      </c>
      <c r="CT73" s="24">
        <f t="array" ref="CT73">IF(INDEX(Data!$P$4:$Z$947,MATCH(Graphs!$CK73,Data!$A$4:$A$947,0),MATCH(Graphs!CT$4,Data!$P$3:$Z$3,0))="n.q.",NA(),INDEX(Data!$P$4:$Z$947,MATCH(Graphs!$CK73,Data!$A$4:$A$947,0),MATCH(Graphs!CT$4,Data!$P$3:$Z$3,0)))</f>
        <v>178.342784</v>
      </c>
      <c r="CU73" s="24" t="str">
        <f t="array" ref="CU73">IF(INDEX(Data!$P$4:$Z$947,MATCH(Graphs!$CK73,Data!$A$4:$A$947,0),MATCH(Graphs!CU$4,Data!$P$3:$Z$3,0))="n.q.",NA(),INDEX(Data!$P$4:$Z$947,MATCH(Graphs!$CK73,Data!$A$4:$A$947,0),MATCH(Graphs!CU$4,Data!$P$3:$Z$3,0)))</f>
        <v>#N/A</v>
      </c>
      <c r="CV73" s="24" t="str">
        <f t="array" ref="CV73">IF(INDEX(Data!$P$4:$Z$947,MATCH(Graphs!$CK73,Data!$A$4:$A$947,0),MATCH(Graphs!CV$4,Data!$P$3:$Z$3,0))="n.q.",NA(),INDEX(Data!$P$4:$Z$947,MATCH(Graphs!$CK73,Data!$A$4:$A$947,0),MATCH(Graphs!CV$4,Data!$P$3:$Z$3,0)))</f>
        <v>#N/A</v>
      </c>
    </row>
    <row r="74" ht="14.25" customHeight="1"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5"/>
      <c r="CK74" s="22">
        <f>Data!A73</f>
        <v>45483</v>
      </c>
      <c r="CL74" s="24">
        <f t="array" ref="CL74">IF(INDEX(Data!$B$4:$L$947,MATCH(Graphs!$CK74,Data!$A$4:$A$947,0),MATCH(Graphs!CL$4,Data!$B$3:$L$3,0))="n.q.",NA(),INDEX(Data!$B$4:$L$947,MATCH(Graphs!$CK74,Data!$A$4:$A$947,0),MATCH(Graphs!CL$4,Data!$B$3:$L$3,0)))</f>
        <v>235.66</v>
      </c>
      <c r="CM74" s="24">
        <f t="array" ref="CM74">IF(INDEX(Data!$B$4:$L$947,MATCH(Graphs!$CK74,Data!$A$4:$A$947,0),MATCH(Graphs!CM$4,Data!$B$3:$L$3,0))="n.q.",NA(),INDEX(Data!$B$4:$L$947,MATCH(Graphs!$CK74,Data!$A$4:$A$947,0),MATCH(Graphs!CM$4,Data!$B$3:$L$3,0)))</f>
        <v>259.23</v>
      </c>
      <c r="CN74" s="24">
        <f t="array" ref="CN74">IF(INDEX(Data!$B$4:$L$947,MATCH(Graphs!$CK74,Data!$A$4:$A$947,0),MATCH(Graphs!CN$4,Data!$B$3:$L$3,0))="n.q.",NA(),INDEX(Data!$B$4:$L$947,MATCH(Graphs!$CK74,Data!$A$4:$A$947,0),MATCH(Graphs!CN$4,Data!$B$3:$L$3,0)))</f>
        <v>200</v>
      </c>
      <c r="CO74" s="24" t="str">
        <f t="array" ref="CO74">IF(INDEX(Data!$B$4:$L$947,MATCH(Graphs!$CK74,Data!$A$4:$A$947,0),MATCH(Graphs!CO$4,Data!$B$3:$L$3,0))="n.q.",NA(),INDEX(Data!$B$4:$L$947,MATCH(Graphs!$CK74,Data!$A$4:$A$947,0),MATCH(Graphs!CO$4,Data!$B$3:$L$3,0)))</f>
        <v>#N/A</v>
      </c>
      <c r="CP74" s="24" t="str">
        <f t="array" ref="CP74">IF(INDEX(Data!$B$4:$L$947,MATCH(Graphs!$CK74,Data!$A$4:$A$947,0),MATCH(Graphs!CP$4,Data!$B$3:$L$3,0))="n.q.",NA(),INDEX(Data!$B$4:$L$947,MATCH(Graphs!$CK74,Data!$A$4:$A$947,0),MATCH(Graphs!CP$4,Data!$B$3:$L$3,0)))</f>
        <v>#N/A</v>
      </c>
      <c r="CQ74" s="5"/>
      <c r="CR74" s="24">
        <f t="array" ref="CR74">IF(INDEX(Data!$P$4:$Z$947,MATCH(Graphs!$CK74,Data!$A$4:$A$947,0),MATCH(Graphs!CR$4,Data!$P$3:$Z$3,0))="n.q.",NA(),INDEX(Data!$P$4:$Z$947,MATCH(Graphs!$CK74,Data!$A$4:$A$947,0),MATCH(Graphs!CR$4,Data!$P$3:$Z$3,0)))</f>
        <v>170.1062356</v>
      </c>
      <c r="CS74" s="24" t="str">
        <f t="array" ref="CS74">IF(INDEX(Data!$P$4:$Z$947,MATCH(Graphs!$CK74,Data!$A$4:$A$947,0),MATCH(Graphs!CS$4,Data!$P$3:$Z$3,0))="n.q.",NA(),INDEX(Data!$P$4:$Z$947,MATCH(Graphs!$CK74,Data!$A$4:$A$947,0),MATCH(Graphs!CS$4,Data!$P$3:$Z$3,0)))</f>
        <v>#N/A</v>
      </c>
      <c r="CT74" s="24">
        <f t="array" ref="CT74">IF(INDEX(Data!$P$4:$Z$947,MATCH(Graphs!$CK74,Data!$A$4:$A$947,0),MATCH(Graphs!CT$4,Data!$P$3:$Z$3,0))="n.q.",NA(),INDEX(Data!$P$4:$Z$947,MATCH(Graphs!$CK74,Data!$A$4:$A$947,0),MATCH(Graphs!CT$4,Data!$P$3:$Z$3,0)))</f>
        <v>171.8244804</v>
      </c>
      <c r="CU74" s="24" t="str">
        <f t="array" ref="CU74">IF(INDEX(Data!$P$4:$Z$947,MATCH(Graphs!$CK74,Data!$A$4:$A$947,0),MATCH(Graphs!CU$4,Data!$P$3:$Z$3,0))="n.q.",NA(),INDEX(Data!$P$4:$Z$947,MATCH(Graphs!$CK74,Data!$A$4:$A$947,0),MATCH(Graphs!CU$4,Data!$P$3:$Z$3,0)))</f>
        <v>#N/A</v>
      </c>
      <c r="CV74" s="24" t="str">
        <f t="array" ref="CV74">IF(INDEX(Data!$P$4:$Z$947,MATCH(Graphs!$CK74,Data!$A$4:$A$947,0),MATCH(Graphs!CV$4,Data!$P$3:$Z$3,0))="n.q.",NA(),INDEX(Data!$P$4:$Z$947,MATCH(Graphs!$CK74,Data!$A$4:$A$947,0),MATCH(Graphs!CV$4,Data!$P$3:$Z$3,0)))</f>
        <v>#N/A</v>
      </c>
    </row>
    <row r="75" ht="14.25" customHeight="1"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5"/>
      <c r="CK75" s="22">
        <f>Data!A74</f>
        <v>45476</v>
      </c>
      <c r="CL75" s="24">
        <f t="array" ref="CL75">IF(INDEX(Data!$B$4:$L$947,MATCH(Graphs!$CK75,Data!$A$4:$A$947,0),MATCH(Graphs!CL$4,Data!$B$3:$L$3,0))="n.q.",NA(),INDEX(Data!$B$4:$L$947,MATCH(Graphs!$CK75,Data!$A$4:$A$947,0),MATCH(Graphs!CL$4,Data!$B$3:$L$3,0)))</f>
        <v>236.23</v>
      </c>
      <c r="CM75" s="24">
        <f t="array" ref="CM75">IF(INDEX(Data!$B$4:$L$947,MATCH(Graphs!$CK75,Data!$A$4:$A$947,0),MATCH(Graphs!CM$4,Data!$B$3:$L$3,0))="n.q.",NA(),INDEX(Data!$B$4:$L$947,MATCH(Graphs!$CK75,Data!$A$4:$A$947,0),MATCH(Graphs!CM$4,Data!$B$3:$L$3,0)))</f>
        <v>265.84</v>
      </c>
      <c r="CN75" s="24">
        <f t="array" ref="CN75">IF(INDEX(Data!$B$4:$L$947,MATCH(Graphs!$CK75,Data!$A$4:$A$947,0),MATCH(Graphs!CN$4,Data!$B$3:$L$3,0))="n.q.",NA(),INDEX(Data!$B$4:$L$947,MATCH(Graphs!$CK75,Data!$A$4:$A$947,0),MATCH(Graphs!CN$4,Data!$B$3:$L$3,0)))</f>
        <v>200</v>
      </c>
      <c r="CO75" s="24" t="str">
        <f t="array" ref="CO75">IF(INDEX(Data!$B$4:$L$947,MATCH(Graphs!$CK75,Data!$A$4:$A$947,0),MATCH(Graphs!CO$4,Data!$B$3:$L$3,0))="n.q.",NA(),INDEX(Data!$B$4:$L$947,MATCH(Graphs!$CK75,Data!$A$4:$A$947,0),MATCH(Graphs!CO$4,Data!$B$3:$L$3,0)))</f>
        <v>#N/A</v>
      </c>
      <c r="CP75" s="24" t="str">
        <f t="array" ref="CP75">IF(INDEX(Data!$B$4:$L$947,MATCH(Graphs!$CK75,Data!$A$4:$A$947,0),MATCH(Graphs!CP$4,Data!$B$3:$L$3,0))="n.q.",NA(),INDEX(Data!$B$4:$L$947,MATCH(Graphs!$CK75,Data!$A$4:$A$947,0),MATCH(Graphs!CP$4,Data!$B$3:$L$3,0)))</f>
        <v>#N/A</v>
      </c>
      <c r="CQ75" s="5"/>
      <c r="CR75" s="24">
        <f t="array" ref="CR75">IF(INDEX(Data!$P$4:$Z$947,MATCH(Graphs!$CK75,Data!$A$4:$A$947,0),MATCH(Graphs!CR$4,Data!$P$3:$Z$3,0))="n.q.",NA(),INDEX(Data!$P$4:$Z$947,MATCH(Graphs!$CK75,Data!$A$4:$A$947,0),MATCH(Graphs!CR$4,Data!$P$3:$Z$3,0)))</f>
        <v>171.4445064</v>
      </c>
      <c r="CS75" s="24" t="str">
        <f t="array" ref="CS75">IF(INDEX(Data!$P$4:$Z$947,MATCH(Graphs!$CK75,Data!$A$4:$A$947,0),MATCH(Graphs!CS$4,Data!$P$3:$Z$3,0))="n.q.",NA(),INDEX(Data!$P$4:$Z$947,MATCH(Graphs!$CK75,Data!$A$4:$A$947,0),MATCH(Graphs!CS$4,Data!$P$3:$Z$3,0)))</f>
        <v>#N/A</v>
      </c>
      <c r="CT75" s="24">
        <f t="array" ref="CT75">IF(INDEX(Data!$P$4:$Z$947,MATCH(Graphs!$CK75,Data!$A$4:$A$947,0),MATCH(Graphs!CT$4,Data!$P$3:$Z$3,0))="n.q.",NA(),INDEX(Data!$P$4:$Z$947,MATCH(Graphs!$CK75,Data!$A$4:$A$947,0),MATCH(Graphs!CT$4,Data!$P$3:$Z$3,0)))</f>
        <v>174.7536717</v>
      </c>
      <c r="CU75" s="24" t="str">
        <f t="array" ref="CU75">IF(INDEX(Data!$P$4:$Z$947,MATCH(Graphs!$CK75,Data!$A$4:$A$947,0),MATCH(Graphs!CU$4,Data!$P$3:$Z$3,0))="n.q.",NA(),INDEX(Data!$P$4:$Z$947,MATCH(Graphs!$CK75,Data!$A$4:$A$947,0),MATCH(Graphs!CU$4,Data!$P$3:$Z$3,0)))</f>
        <v>#N/A</v>
      </c>
      <c r="CV75" s="24" t="str">
        <f t="array" ref="CV75">IF(INDEX(Data!$P$4:$Z$947,MATCH(Graphs!$CK75,Data!$A$4:$A$947,0),MATCH(Graphs!CV$4,Data!$P$3:$Z$3,0))="n.q.",NA(),INDEX(Data!$P$4:$Z$947,MATCH(Graphs!$CK75,Data!$A$4:$A$947,0),MATCH(Graphs!CV$4,Data!$P$3:$Z$3,0)))</f>
        <v>#N/A</v>
      </c>
    </row>
    <row r="76" ht="14.25" customHeight="1"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5"/>
      <c r="CK76" s="22">
        <f>Data!A75</f>
        <v>45469</v>
      </c>
      <c r="CL76" s="24">
        <f t="array" ref="CL76">IF(INDEX(Data!$B$4:$L$947,MATCH(Graphs!$CK76,Data!$A$4:$A$947,0),MATCH(Graphs!CL$4,Data!$B$3:$L$3,0))="n.q.",NA(),INDEX(Data!$B$4:$L$947,MATCH(Graphs!$CK76,Data!$A$4:$A$947,0),MATCH(Graphs!CL$4,Data!$B$3:$L$3,0)))</f>
        <v>231.55</v>
      </c>
      <c r="CM76" s="24">
        <f t="array" ref="CM76">IF(INDEX(Data!$B$4:$L$947,MATCH(Graphs!$CK76,Data!$A$4:$A$947,0),MATCH(Graphs!CM$4,Data!$B$3:$L$3,0))="n.q.",NA(),INDEX(Data!$B$4:$L$947,MATCH(Graphs!$CK76,Data!$A$4:$A$947,0),MATCH(Graphs!CM$4,Data!$B$3:$L$3,0)))</f>
        <v>249.86</v>
      </c>
      <c r="CN76" s="24">
        <f t="array" ref="CN76">IF(INDEX(Data!$B$4:$L$947,MATCH(Graphs!$CK76,Data!$A$4:$A$947,0),MATCH(Graphs!CN$4,Data!$B$3:$L$3,0))="n.q.",NA(),INDEX(Data!$B$4:$L$947,MATCH(Graphs!$CK76,Data!$A$4:$A$947,0),MATCH(Graphs!CN$4,Data!$B$3:$L$3,0)))</f>
        <v>200</v>
      </c>
      <c r="CO76" s="24" t="str">
        <f t="array" ref="CO76">IF(INDEX(Data!$B$4:$L$947,MATCH(Graphs!$CK76,Data!$A$4:$A$947,0),MATCH(Graphs!CO$4,Data!$B$3:$L$3,0))="n.q.",NA(),INDEX(Data!$B$4:$L$947,MATCH(Graphs!$CK76,Data!$A$4:$A$947,0),MATCH(Graphs!CO$4,Data!$B$3:$L$3,0)))</f>
        <v>#N/A</v>
      </c>
      <c r="CP76" s="24" t="str">
        <f t="array" ref="CP76">IF(INDEX(Data!$B$4:$L$947,MATCH(Graphs!$CK76,Data!$A$4:$A$947,0),MATCH(Graphs!CP$4,Data!$B$3:$L$3,0))="n.q.",NA(),INDEX(Data!$B$4:$L$947,MATCH(Graphs!$CK76,Data!$A$4:$A$947,0),MATCH(Graphs!CP$4,Data!$B$3:$L$3,0)))</f>
        <v>#N/A</v>
      </c>
      <c r="CQ76" s="5"/>
      <c r="CR76" s="24">
        <f t="array" ref="CR76">IF(INDEX(Data!$P$4:$Z$947,MATCH(Graphs!$CK76,Data!$A$4:$A$947,0),MATCH(Graphs!CR$4,Data!$P$3:$Z$3,0))="n.q.",NA(),INDEX(Data!$P$4:$Z$947,MATCH(Graphs!$CK76,Data!$A$4:$A$947,0),MATCH(Graphs!CR$4,Data!$P$3:$Z$3,0)))</f>
        <v>176.7892226</v>
      </c>
      <c r="CS76" s="24" t="str">
        <f t="array" ref="CS76">IF(INDEX(Data!$P$4:$Z$947,MATCH(Graphs!$CK76,Data!$A$4:$A$947,0),MATCH(Graphs!CS$4,Data!$P$3:$Z$3,0))="n.q.",NA(),INDEX(Data!$P$4:$Z$947,MATCH(Graphs!$CK76,Data!$A$4:$A$947,0),MATCH(Graphs!CS$4,Data!$P$3:$Z$3,0)))</f>
        <v>#N/A</v>
      </c>
      <c r="CT76" s="24">
        <f t="array" ref="CT76">IF(INDEX(Data!$P$4:$Z$947,MATCH(Graphs!$CK76,Data!$A$4:$A$947,0),MATCH(Graphs!CT$4,Data!$P$3:$Z$3,0))="n.q.",NA(),INDEX(Data!$P$4:$Z$947,MATCH(Graphs!$CK76,Data!$A$4:$A$947,0),MATCH(Graphs!CT$4,Data!$P$3:$Z$3,0)))</f>
        <v>174.0106652</v>
      </c>
      <c r="CU76" s="24" t="str">
        <f t="array" ref="CU76">IF(INDEX(Data!$P$4:$Z$947,MATCH(Graphs!$CK76,Data!$A$4:$A$947,0),MATCH(Graphs!CU$4,Data!$P$3:$Z$3,0))="n.q.",NA(),INDEX(Data!$P$4:$Z$947,MATCH(Graphs!$CK76,Data!$A$4:$A$947,0),MATCH(Graphs!CU$4,Data!$P$3:$Z$3,0)))</f>
        <v>#N/A</v>
      </c>
      <c r="CV76" s="24" t="str">
        <f t="array" ref="CV76">IF(INDEX(Data!$P$4:$Z$947,MATCH(Graphs!$CK76,Data!$A$4:$A$947,0),MATCH(Graphs!CV$4,Data!$P$3:$Z$3,0))="n.q.",NA(),INDEX(Data!$P$4:$Z$947,MATCH(Graphs!$CK76,Data!$A$4:$A$947,0),MATCH(Graphs!CV$4,Data!$P$3:$Z$3,0)))</f>
        <v>#N/A</v>
      </c>
    </row>
    <row r="77" ht="14.25" customHeight="1"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5"/>
      <c r="CK77" s="22">
        <f>Data!A76</f>
        <v>45462</v>
      </c>
      <c r="CL77" s="24">
        <f t="array" ref="CL77">IF(INDEX(Data!$B$4:$L$947,MATCH(Graphs!$CK77,Data!$A$4:$A$947,0),MATCH(Graphs!CL$4,Data!$B$3:$L$3,0))="n.q.",NA(),INDEX(Data!$B$4:$L$947,MATCH(Graphs!$CK77,Data!$A$4:$A$947,0),MATCH(Graphs!CL$4,Data!$B$3:$L$3,0)))</f>
        <v>240.76</v>
      </c>
      <c r="CM77" s="24">
        <f t="array" ref="CM77">IF(INDEX(Data!$B$4:$L$947,MATCH(Graphs!$CK77,Data!$A$4:$A$947,0),MATCH(Graphs!CM$4,Data!$B$3:$L$3,0))="n.q.",NA(),INDEX(Data!$B$4:$L$947,MATCH(Graphs!$CK77,Data!$A$4:$A$947,0),MATCH(Graphs!CM$4,Data!$B$3:$L$3,0)))</f>
        <v>255.64</v>
      </c>
      <c r="CN77" s="24">
        <f t="array" ref="CN77">IF(INDEX(Data!$B$4:$L$947,MATCH(Graphs!$CK77,Data!$A$4:$A$947,0),MATCH(Graphs!CN$4,Data!$B$3:$L$3,0))="n.q.",NA(),INDEX(Data!$B$4:$L$947,MATCH(Graphs!$CK77,Data!$A$4:$A$947,0),MATCH(Graphs!CN$4,Data!$B$3:$L$3,0)))</f>
        <v>208</v>
      </c>
      <c r="CO77" s="24" t="str">
        <f t="array" ref="CO77">IF(INDEX(Data!$B$4:$L$947,MATCH(Graphs!$CK77,Data!$A$4:$A$947,0),MATCH(Graphs!CO$4,Data!$B$3:$L$3,0))="n.q.",NA(),INDEX(Data!$B$4:$L$947,MATCH(Graphs!$CK77,Data!$A$4:$A$947,0),MATCH(Graphs!CO$4,Data!$B$3:$L$3,0)))</f>
        <v>#N/A</v>
      </c>
      <c r="CP77" s="24" t="str">
        <f t="array" ref="CP77">IF(INDEX(Data!$B$4:$L$947,MATCH(Graphs!$CK77,Data!$A$4:$A$947,0),MATCH(Graphs!CP$4,Data!$B$3:$L$3,0))="n.q.",NA(),INDEX(Data!$B$4:$L$947,MATCH(Graphs!$CK77,Data!$A$4:$A$947,0),MATCH(Graphs!CP$4,Data!$B$3:$L$3,0)))</f>
        <v>#N/A</v>
      </c>
      <c r="CQ77" s="5"/>
      <c r="CR77" s="24">
        <f t="array" ref="CR77">IF(INDEX(Data!$P$4:$Z$947,MATCH(Graphs!$CK77,Data!$A$4:$A$947,0),MATCH(Graphs!CR$4,Data!$P$3:$Z$3,0))="n.q.",NA(),INDEX(Data!$P$4:$Z$947,MATCH(Graphs!$CK77,Data!$A$4:$A$947,0),MATCH(Graphs!CR$4,Data!$P$3:$Z$3,0)))</f>
        <v>187.5244209</v>
      </c>
      <c r="CS77" s="24" t="str">
        <f t="array" ref="CS77">IF(INDEX(Data!$P$4:$Z$947,MATCH(Graphs!$CK77,Data!$A$4:$A$947,0),MATCH(Graphs!CS$4,Data!$P$3:$Z$3,0))="n.q.",NA(),INDEX(Data!$P$4:$Z$947,MATCH(Graphs!$CK77,Data!$A$4:$A$947,0),MATCH(Graphs!CS$4,Data!$P$3:$Z$3,0)))</f>
        <v>#N/A</v>
      </c>
      <c r="CT77" s="24">
        <f t="array" ref="CT77">IF(INDEX(Data!$P$4:$Z$947,MATCH(Graphs!$CK77,Data!$A$4:$A$947,0),MATCH(Graphs!CT$4,Data!$P$3:$Z$3,0))="n.q.",NA(),INDEX(Data!$P$4:$Z$947,MATCH(Graphs!$CK77,Data!$A$4:$A$947,0),MATCH(Graphs!CT$4,Data!$P$3:$Z$3,0)))</f>
        <v>182.3425435</v>
      </c>
      <c r="CU77" s="24" t="str">
        <f t="array" ref="CU77">IF(INDEX(Data!$P$4:$Z$947,MATCH(Graphs!$CK77,Data!$A$4:$A$947,0),MATCH(Graphs!CU$4,Data!$P$3:$Z$3,0))="n.q.",NA(),INDEX(Data!$P$4:$Z$947,MATCH(Graphs!$CK77,Data!$A$4:$A$947,0),MATCH(Graphs!CU$4,Data!$P$3:$Z$3,0)))</f>
        <v>#N/A</v>
      </c>
      <c r="CV77" s="24" t="str">
        <f t="array" ref="CV77">IF(INDEX(Data!$P$4:$Z$947,MATCH(Graphs!$CK77,Data!$A$4:$A$947,0),MATCH(Graphs!CV$4,Data!$P$3:$Z$3,0))="n.q.",NA(),INDEX(Data!$P$4:$Z$947,MATCH(Graphs!$CK77,Data!$A$4:$A$947,0),MATCH(Graphs!CV$4,Data!$P$3:$Z$3,0)))</f>
        <v>#N/A</v>
      </c>
    </row>
    <row r="78" ht="14.25" customHeight="1"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5"/>
      <c r="CK78" s="22">
        <f>Data!A77</f>
        <v>45455</v>
      </c>
      <c r="CL78" s="24">
        <f t="array" ref="CL78">IF(INDEX(Data!$B$4:$L$947,MATCH(Graphs!$CK78,Data!$A$4:$A$947,0),MATCH(Graphs!CL$4,Data!$B$3:$L$3,0))="n.q.",NA(),INDEX(Data!$B$4:$L$947,MATCH(Graphs!$CK78,Data!$A$4:$A$947,0),MATCH(Graphs!CL$4,Data!$B$3:$L$3,0)))</f>
        <v>253.69</v>
      </c>
      <c r="CM78" s="24">
        <f t="array" ref="CM78">IF(INDEX(Data!$B$4:$L$947,MATCH(Graphs!$CK78,Data!$A$4:$A$947,0),MATCH(Graphs!CM$4,Data!$B$3:$L$3,0))="n.q.",NA(),INDEX(Data!$B$4:$L$947,MATCH(Graphs!$CK78,Data!$A$4:$A$947,0),MATCH(Graphs!CM$4,Data!$B$3:$L$3,0)))</f>
        <v>269.06</v>
      </c>
      <c r="CN78" s="24">
        <f t="array" ref="CN78">IF(INDEX(Data!$B$4:$L$947,MATCH(Graphs!$CK78,Data!$A$4:$A$947,0),MATCH(Graphs!CN$4,Data!$B$3:$L$3,0))="n.q.",NA(),INDEX(Data!$B$4:$L$947,MATCH(Graphs!$CK78,Data!$A$4:$A$947,0),MATCH(Graphs!CN$4,Data!$B$3:$L$3,0)))</f>
        <v>215</v>
      </c>
      <c r="CO78" s="24" t="str">
        <f t="array" ref="CO78">IF(INDEX(Data!$B$4:$L$947,MATCH(Graphs!$CK78,Data!$A$4:$A$947,0),MATCH(Graphs!CO$4,Data!$B$3:$L$3,0))="n.q.",NA(),INDEX(Data!$B$4:$L$947,MATCH(Graphs!$CK78,Data!$A$4:$A$947,0),MATCH(Graphs!CO$4,Data!$B$3:$L$3,0)))</f>
        <v>#N/A</v>
      </c>
      <c r="CP78" s="24" t="str">
        <f t="array" ref="CP78">IF(INDEX(Data!$B$4:$L$947,MATCH(Graphs!$CK78,Data!$A$4:$A$947,0),MATCH(Graphs!CP$4,Data!$B$3:$L$3,0))="n.q.",NA(),INDEX(Data!$B$4:$L$947,MATCH(Graphs!$CK78,Data!$A$4:$A$947,0),MATCH(Graphs!CP$4,Data!$B$3:$L$3,0)))</f>
        <v>#N/A</v>
      </c>
      <c r="CQ78" s="5"/>
      <c r="CR78" s="24">
        <f t="array" ref="CR78">IF(INDEX(Data!$P$4:$Z$947,MATCH(Graphs!$CK78,Data!$A$4:$A$947,0),MATCH(Graphs!CR$4,Data!$P$3:$Z$3,0))="n.q.",NA(),INDEX(Data!$P$4:$Z$947,MATCH(Graphs!$CK78,Data!$A$4:$A$947,0),MATCH(Graphs!CR$4,Data!$P$3:$Z$3,0)))</f>
        <v>188.7970274</v>
      </c>
      <c r="CS78" s="24" t="str">
        <f t="array" ref="CS78">IF(INDEX(Data!$P$4:$Z$947,MATCH(Graphs!$CK78,Data!$A$4:$A$947,0),MATCH(Graphs!CS$4,Data!$P$3:$Z$3,0))="n.q.",NA(),INDEX(Data!$P$4:$Z$947,MATCH(Graphs!$CK78,Data!$A$4:$A$947,0),MATCH(Graphs!CS$4,Data!$P$3:$Z$3,0)))</f>
        <v>#N/A</v>
      </c>
      <c r="CT78" s="24">
        <f t="array" ref="CT78">IF(INDEX(Data!$P$4:$Z$947,MATCH(Graphs!$CK78,Data!$A$4:$A$947,0),MATCH(Graphs!CT$4,Data!$P$3:$Z$3,0))="n.q.",NA(),INDEX(Data!$P$4:$Z$947,MATCH(Graphs!$CK78,Data!$A$4:$A$947,0),MATCH(Graphs!CT$4,Data!$P$3:$Z$3,0)))</f>
        <v>187.6451463</v>
      </c>
      <c r="CU78" s="24" t="str">
        <f t="array" ref="CU78">IF(INDEX(Data!$P$4:$Z$947,MATCH(Graphs!$CK78,Data!$A$4:$A$947,0),MATCH(Graphs!CU$4,Data!$P$3:$Z$3,0))="n.q.",NA(),INDEX(Data!$P$4:$Z$947,MATCH(Graphs!$CK78,Data!$A$4:$A$947,0),MATCH(Graphs!CU$4,Data!$P$3:$Z$3,0)))</f>
        <v>#N/A</v>
      </c>
      <c r="CV78" s="24" t="str">
        <f t="array" ref="CV78">IF(INDEX(Data!$P$4:$Z$947,MATCH(Graphs!$CK78,Data!$A$4:$A$947,0),MATCH(Graphs!CV$4,Data!$P$3:$Z$3,0))="n.q.",NA(),INDEX(Data!$P$4:$Z$947,MATCH(Graphs!$CK78,Data!$A$4:$A$947,0),MATCH(Graphs!CV$4,Data!$P$3:$Z$3,0)))</f>
        <v>#N/A</v>
      </c>
    </row>
    <row r="79" ht="14.25" customHeight="1"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5"/>
      <c r="CK79" s="22">
        <f>Data!A78</f>
        <v>45448</v>
      </c>
      <c r="CL79" s="24">
        <f t="array" ref="CL79">IF(INDEX(Data!$B$4:$L$947,MATCH(Graphs!$CK79,Data!$A$4:$A$947,0),MATCH(Graphs!CL$4,Data!$B$3:$L$3,0))="n.q.",NA(),INDEX(Data!$B$4:$L$947,MATCH(Graphs!$CK79,Data!$A$4:$A$947,0),MATCH(Graphs!CL$4,Data!$B$3:$L$3,0)))</f>
        <v>265.08</v>
      </c>
      <c r="CM79" s="24">
        <f t="array" ref="CM79">IF(INDEX(Data!$B$4:$L$947,MATCH(Graphs!$CK79,Data!$A$4:$A$947,0),MATCH(Graphs!CM$4,Data!$B$3:$L$3,0))="n.q.",NA(),INDEX(Data!$B$4:$L$947,MATCH(Graphs!$CK79,Data!$A$4:$A$947,0),MATCH(Graphs!CM$4,Data!$B$3:$L$3,0)))</f>
        <v>283.39</v>
      </c>
      <c r="CN79" s="24">
        <f t="array" ref="CN79">IF(INDEX(Data!$B$4:$L$947,MATCH(Graphs!$CK79,Data!$A$4:$A$947,0),MATCH(Graphs!CN$4,Data!$B$3:$L$3,0))="n.q.",NA(),INDEX(Data!$B$4:$L$947,MATCH(Graphs!$CK79,Data!$A$4:$A$947,0),MATCH(Graphs!CN$4,Data!$B$3:$L$3,0)))</f>
        <v>228</v>
      </c>
      <c r="CO79" s="24" t="str">
        <f t="array" ref="CO79">IF(INDEX(Data!$B$4:$L$947,MATCH(Graphs!$CK79,Data!$A$4:$A$947,0),MATCH(Graphs!CO$4,Data!$B$3:$L$3,0))="n.q.",NA(),INDEX(Data!$B$4:$L$947,MATCH(Graphs!$CK79,Data!$A$4:$A$947,0),MATCH(Graphs!CO$4,Data!$B$3:$L$3,0)))</f>
        <v>#N/A</v>
      </c>
      <c r="CP79" s="24" t="str">
        <f t="array" ref="CP79">IF(INDEX(Data!$B$4:$L$947,MATCH(Graphs!$CK79,Data!$A$4:$A$947,0),MATCH(Graphs!CP$4,Data!$B$3:$L$3,0))="n.q.",NA(),INDEX(Data!$B$4:$L$947,MATCH(Graphs!$CK79,Data!$A$4:$A$947,0),MATCH(Graphs!CP$4,Data!$B$3:$L$3,0)))</f>
        <v>#N/A</v>
      </c>
      <c r="CQ79" s="5"/>
      <c r="CR79" s="24">
        <f t="array" ref="CR79">IF(INDEX(Data!$P$4:$Z$947,MATCH(Graphs!$CK79,Data!$A$4:$A$947,0),MATCH(Graphs!CR$4,Data!$P$3:$Z$3,0))="n.q.",NA(),INDEX(Data!$P$4:$Z$947,MATCH(Graphs!$CK79,Data!$A$4:$A$947,0),MATCH(Graphs!CR$4,Data!$P$3:$Z$3,0)))</f>
        <v>180.4175865</v>
      </c>
      <c r="CS79" s="24" t="str">
        <f t="array" ref="CS79">IF(INDEX(Data!$P$4:$Z$947,MATCH(Graphs!$CK79,Data!$A$4:$A$947,0),MATCH(Graphs!CS$4,Data!$P$3:$Z$3,0))="n.q.",NA(),INDEX(Data!$P$4:$Z$947,MATCH(Graphs!$CK79,Data!$A$4:$A$947,0),MATCH(Graphs!CS$4,Data!$P$3:$Z$3,0)))</f>
        <v>#N/A</v>
      </c>
      <c r="CT79" s="24">
        <f t="array" ref="CT79">IF(INDEX(Data!$P$4:$Z$947,MATCH(Graphs!$CK79,Data!$A$4:$A$947,0),MATCH(Graphs!CT$4,Data!$P$3:$Z$3,0))="n.q.",NA(),INDEX(Data!$P$4:$Z$947,MATCH(Graphs!$CK79,Data!$A$4:$A$947,0),MATCH(Graphs!CT$4,Data!$P$3:$Z$3,0)))</f>
        <v>185.7983812</v>
      </c>
      <c r="CU79" s="24" t="str">
        <f t="array" ref="CU79">IF(INDEX(Data!$P$4:$Z$947,MATCH(Graphs!$CK79,Data!$A$4:$A$947,0),MATCH(Graphs!CU$4,Data!$P$3:$Z$3,0))="n.q.",NA(),INDEX(Data!$P$4:$Z$947,MATCH(Graphs!$CK79,Data!$A$4:$A$947,0),MATCH(Graphs!CU$4,Data!$P$3:$Z$3,0)))</f>
        <v>#N/A</v>
      </c>
      <c r="CV79" s="24" t="str">
        <f t="array" ref="CV79">IF(INDEX(Data!$P$4:$Z$947,MATCH(Graphs!$CK79,Data!$A$4:$A$947,0),MATCH(Graphs!CV$4,Data!$P$3:$Z$3,0))="n.q.",NA(),INDEX(Data!$P$4:$Z$947,MATCH(Graphs!$CK79,Data!$A$4:$A$947,0),MATCH(Graphs!CV$4,Data!$P$3:$Z$3,0)))</f>
        <v>#N/A</v>
      </c>
    </row>
    <row r="80" ht="14.25" customHeight="1"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5"/>
      <c r="CK80" s="22">
        <f>Data!A79</f>
        <v>45441</v>
      </c>
      <c r="CL80" s="24">
        <f t="array" ref="CL80">IF(INDEX(Data!$B$4:$L$947,MATCH(Graphs!$CK80,Data!$A$4:$A$947,0),MATCH(Graphs!CL$4,Data!$B$3:$L$3,0))="n.q.",NA(),INDEX(Data!$B$4:$L$947,MATCH(Graphs!$CK80,Data!$A$4:$A$947,0),MATCH(Graphs!CL$4,Data!$B$3:$L$3,0)))</f>
        <v>271.4</v>
      </c>
      <c r="CM80" s="24">
        <f t="array" ref="CM80">IF(INDEX(Data!$B$4:$L$947,MATCH(Graphs!$CK80,Data!$A$4:$A$947,0),MATCH(Graphs!CM$4,Data!$B$3:$L$3,0))="n.q.",NA(),INDEX(Data!$B$4:$L$947,MATCH(Graphs!$CK80,Data!$A$4:$A$947,0),MATCH(Graphs!CM$4,Data!$B$3:$L$3,0)))</f>
        <v>299.37</v>
      </c>
      <c r="CN80" s="24">
        <f t="array" ref="CN80">IF(INDEX(Data!$B$4:$L$947,MATCH(Graphs!$CK80,Data!$A$4:$A$947,0),MATCH(Graphs!CN$4,Data!$B$3:$L$3,0))="n.q.",NA(),INDEX(Data!$B$4:$L$947,MATCH(Graphs!$CK80,Data!$A$4:$A$947,0),MATCH(Graphs!CN$4,Data!$B$3:$L$3,0)))</f>
        <v>226</v>
      </c>
      <c r="CO80" s="24" t="str">
        <f t="array" ref="CO80">IF(INDEX(Data!$B$4:$L$947,MATCH(Graphs!$CK80,Data!$A$4:$A$947,0),MATCH(Graphs!CO$4,Data!$B$3:$L$3,0))="n.q.",NA(),INDEX(Data!$B$4:$L$947,MATCH(Graphs!$CK80,Data!$A$4:$A$947,0),MATCH(Graphs!CO$4,Data!$B$3:$L$3,0)))</f>
        <v>#N/A</v>
      </c>
      <c r="CP80" s="24" t="str">
        <f t="array" ref="CP80">IF(INDEX(Data!$B$4:$L$947,MATCH(Graphs!$CK80,Data!$A$4:$A$947,0),MATCH(Graphs!CP$4,Data!$B$3:$L$3,0))="n.q.",NA(),INDEX(Data!$B$4:$L$947,MATCH(Graphs!$CK80,Data!$A$4:$A$947,0),MATCH(Graphs!CP$4,Data!$B$3:$L$3,0)))</f>
        <v>#N/A</v>
      </c>
      <c r="CQ80" s="5"/>
      <c r="CR80" s="24">
        <f t="array" ref="CR80">IF(INDEX(Data!$P$4:$Z$947,MATCH(Graphs!$CK80,Data!$A$4:$A$947,0),MATCH(Graphs!CR$4,Data!$P$3:$Z$3,0))="n.q.",NA(),INDEX(Data!$P$4:$Z$947,MATCH(Graphs!$CK80,Data!$A$4:$A$947,0),MATCH(Graphs!CR$4,Data!$P$3:$Z$3,0)))</f>
        <v>182.4813484</v>
      </c>
      <c r="CS80" s="24" t="str">
        <f t="array" ref="CS80">IF(INDEX(Data!$P$4:$Z$947,MATCH(Graphs!$CK80,Data!$A$4:$A$947,0),MATCH(Graphs!CS$4,Data!$P$3:$Z$3,0))="n.q.",NA(),INDEX(Data!$P$4:$Z$947,MATCH(Graphs!$CK80,Data!$A$4:$A$947,0),MATCH(Graphs!CS$4,Data!$P$3:$Z$3,0)))</f>
        <v>#N/A</v>
      </c>
      <c r="CT80" s="24">
        <f t="array" ref="CT80">IF(INDEX(Data!$P$4:$Z$947,MATCH(Graphs!$CK80,Data!$A$4:$A$947,0),MATCH(Graphs!CT$4,Data!$P$3:$Z$3,0))="n.q.",NA(),INDEX(Data!$P$4:$Z$947,MATCH(Graphs!$CK80,Data!$A$4:$A$947,0),MATCH(Graphs!CT$4,Data!$P$3:$Z$3,0)))</f>
        <v>186.0550797</v>
      </c>
      <c r="CU80" s="24" t="str">
        <f t="array" ref="CU80">IF(INDEX(Data!$P$4:$Z$947,MATCH(Graphs!$CK80,Data!$A$4:$A$947,0),MATCH(Graphs!CU$4,Data!$P$3:$Z$3,0))="n.q.",NA(),INDEX(Data!$P$4:$Z$947,MATCH(Graphs!$CK80,Data!$A$4:$A$947,0),MATCH(Graphs!CU$4,Data!$P$3:$Z$3,0)))</f>
        <v>#N/A</v>
      </c>
      <c r="CV80" s="24" t="str">
        <f t="array" ref="CV80">IF(INDEX(Data!$P$4:$Z$947,MATCH(Graphs!$CK80,Data!$A$4:$A$947,0),MATCH(Graphs!CV$4,Data!$P$3:$Z$3,0))="n.q.",NA(),INDEX(Data!$P$4:$Z$947,MATCH(Graphs!$CK80,Data!$A$4:$A$947,0),MATCH(Graphs!CV$4,Data!$P$3:$Z$3,0)))</f>
        <v>#N/A</v>
      </c>
    </row>
    <row r="81" ht="14.25" customHeight="1"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5"/>
      <c r="CK81" s="22">
        <f>Data!A80</f>
        <v>45434</v>
      </c>
      <c r="CL81" s="24">
        <f t="array" ref="CL81">IF(INDEX(Data!$B$4:$L$947,MATCH(Graphs!$CK81,Data!$A$4:$A$947,0),MATCH(Graphs!CL$4,Data!$B$3:$L$3,0))="n.q.",NA(),INDEX(Data!$B$4:$L$947,MATCH(Graphs!$CK81,Data!$A$4:$A$947,0),MATCH(Graphs!CL$4,Data!$B$3:$L$3,0)))</f>
        <v>268.8</v>
      </c>
      <c r="CM81" s="24">
        <f t="array" ref="CM81">IF(INDEX(Data!$B$4:$L$947,MATCH(Graphs!$CK81,Data!$A$4:$A$947,0),MATCH(Graphs!CM$4,Data!$B$3:$L$3,0))="n.q.",NA(),INDEX(Data!$B$4:$L$947,MATCH(Graphs!$CK81,Data!$A$4:$A$947,0),MATCH(Graphs!CM$4,Data!$B$3:$L$3,0)))</f>
        <v>291.93</v>
      </c>
      <c r="CN81" s="24">
        <f t="array" ref="CN81">IF(INDEX(Data!$B$4:$L$947,MATCH(Graphs!$CK81,Data!$A$4:$A$947,0),MATCH(Graphs!CN$4,Data!$B$3:$L$3,0))="n.q.",NA(),INDEX(Data!$B$4:$L$947,MATCH(Graphs!$CK81,Data!$A$4:$A$947,0),MATCH(Graphs!CN$4,Data!$B$3:$L$3,0)))</f>
        <v>219</v>
      </c>
      <c r="CO81" s="24" t="str">
        <f t="array" ref="CO81">IF(INDEX(Data!$B$4:$L$947,MATCH(Graphs!$CK81,Data!$A$4:$A$947,0),MATCH(Graphs!CO$4,Data!$B$3:$L$3,0))="n.q.",NA(),INDEX(Data!$B$4:$L$947,MATCH(Graphs!$CK81,Data!$A$4:$A$947,0),MATCH(Graphs!CO$4,Data!$B$3:$L$3,0)))</f>
        <v>#N/A</v>
      </c>
      <c r="CP81" s="24" t="str">
        <f t="array" ref="CP81">IF(INDEX(Data!$B$4:$L$947,MATCH(Graphs!$CK81,Data!$A$4:$A$947,0),MATCH(Graphs!CP$4,Data!$B$3:$L$3,0))="n.q.",NA(),INDEX(Data!$B$4:$L$947,MATCH(Graphs!$CK81,Data!$A$4:$A$947,0),MATCH(Graphs!CP$4,Data!$B$3:$L$3,0)))</f>
        <v>#N/A</v>
      </c>
      <c r="CQ81" s="5"/>
      <c r="CR81" s="24">
        <f t="array" ref="CR81">IF(INDEX(Data!$P$4:$Z$947,MATCH(Graphs!$CK81,Data!$A$4:$A$947,0),MATCH(Graphs!CR$4,Data!$P$3:$Z$3,0))="n.q.",NA(),INDEX(Data!$P$4:$Z$947,MATCH(Graphs!$CK81,Data!$A$4:$A$947,0),MATCH(Graphs!CR$4,Data!$P$3:$Z$3,0)))</f>
        <v>185.1154201</v>
      </c>
      <c r="CS81" s="24" t="str">
        <f t="array" ref="CS81">IF(INDEX(Data!$P$4:$Z$947,MATCH(Graphs!$CK81,Data!$A$4:$A$947,0),MATCH(Graphs!CS$4,Data!$P$3:$Z$3,0))="n.q.",NA(),INDEX(Data!$P$4:$Z$947,MATCH(Graphs!$CK81,Data!$A$4:$A$947,0),MATCH(Graphs!CS$4,Data!$P$3:$Z$3,0)))</f>
        <v>#N/A</v>
      </c>
      <c r="CT81" s="24">
        <f t="array" ref="CT81">IF(INDEX(Data!$P$4:$Z$947,MATCH(Graphs!$CK81,Data!$A$4:$A$947,0),MATCH(Graphs!CT$4,Data!$P$3:$Z$3,0))="n.q.",NA(),INDEX(Data!$P$4:$Z$947,MATCH(Graphs!$CK81,Data!$A$4:$A$947,0),MATCH(Graphs!CT$4,Data!$P$3:$Z$3,0)))</f>
        <v>185.5955679</v>
      </c>
      <c r="CU81" s="24" t="str">
        <f t="array" ref="CU81">IF(INDEX(Data!$P$4:$Z$947,MATCH(Graphs!$CK81,Data!$A$4:$A$947,0),MATCH(Graphs!CU$4,Data!$P$3:$Z$3,0))="n.q.",NA(),INDEX(Data!$P$4:$Z$947,MATCH(Graphs!$CK81,Data!$A$4:$A$947,0),MATCH(Graphs!CU$4,Data!$P$3:$Z$3,0)))</f>
        <v>#N/A</v>
      </c>
      <c r="CV81" s="24" t="str">
        <f t="array" ref="CV81">IF(INDEX(Data!$P$4:$Z$947,MATCH(Graphs!$CK81,Data!$A$4:$A$947,0),MATCH(Graphs!CV$4,Data!$P$3:$Z$3,0))="n.q.",NA(),INDEX(Data!$P$4:$Z$947,MATCH(Graphs!$CK81,Data!$A$4:$A$947,0),MATCH(Graphs!CV$4,Data!$P$3:$Z$3,0)))</f>
        <v>#N/A</v>
      </c>
    </row>
    <row r="82" ht="14.25" customHeight="1"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5"/>
      <c r="CK82" s="22">
        <f>Data!A81</f>
        <v>45427</v>
      </c>
      <c r="CL82" s="24">
        <f t="array" ref="CL82">IF(INDEX(Data!$B$4:$L$947,MATCH(Graphs!$CK82,Data!$A$4:$A$947,0),MATCH(Graphs!CL$4,Data!$B$3:$L$3,0))="n.q.",NA(),INDEX(Data!$B$4:$L$947,MATCH(Graphs!$CK82,Data!$A$4:$A$947,0),MATCH(Graphs!CL$4,Data!$B$3:$L$3,0)))</f>
        <v>259.64</v>
      </c>
      <c r="CM82" s="24">
        <f t="array" ref="CM82">IF(INDEX(Data!$B$4:$L$947,MATCH(Graphs!$CK82,Data!$A$4:$A$947,0),MATCH(Graphs!CM$4,Data!$B$3:$L$3,0))="n.q.",NA(),INDEX(Data!$B$4:$L$947,MATCH(Graphs!$CK82,Data!$A$4:$A$947,0),MATCH(Graphs!CM$4,Data!$B$3:$L$3,0)))</f>
        <v>286.6</v>
      </c>
      <c r="CN82" s="24">
        <f t="array" ref="CN82">IF(INDEX(Data!$B$4:$L$947,MATCH(Graphs!$CK82,Data!$A$4:$A$947,0),MATCH(Graphs!CN$4,Data!$B$3:$L$3,0))="n.q.",NA(),INDEX(Data!$B$4:$L$947,MATCH(Graphs!$CK82,Data!$A$4:$A$947,0),MATCH(Graphs!CN$4,Data!$B$3:$L$3,0)))</f>
        <v>208</v>
      </c>
      <c r="CO82" s="24" t="str">
        <f t="array" ref="CO82">IF(INDEX(Data!$B$4:$L$947,MATCH(Graphs!$CK82,Data!$A$4:$A$947,0),MATCH(Graphs!CO$4,Data!$B$3:$L$3,0))="n.q.",NA(),INDEX(Data!$B$4:$L$947,MATCH(Graphs!$CK82,Data!$A$4:$A$947,0),MATCH(Graphs!CO$4,Data!$B$3:$L$3,0)))</f>
        <v>#N/A</v>
      </c>
      <c r="CP82" s="24" t="str">
        <f t="array" ref="CP82">IF(INDEX(Data!$B$4:$L$947,MATCH(Graphs!$CK82,Data!$A$4:$A$947,0),MATCH(Graphs!CP$4,Data!$B$3:$L$3,0))="n.q.",NA(),INDEX(Data!$B$4:$L$947,MATCH(Graphs!$CK82,Data!$A$4:$A$947,0),MATCH(Graphs!CP$4,Data!$B$3:$L$3,0)))</f>
        <v>#N/A</v>
      </c>
      <c r="CQ82" s="5"/>
      <c r="CR82" s="24">
        <f t="array" ref="CR82">IF(INDEX(Data!$P$4:$Z$947,MATCH(Graphs!$CK82,Data!$A$4:$A$947,0),MATCH(Graphs!CR$4,Data!$P$3:$Z$3,0))="n.q.",NA(),INDEX(Data!$P$4:$Z$947,MATCH(Graphs!$CK82,Data!$A$4:$A$947,0),MATCH(Graphs!CR$4,Data!$P$3:$Z$3,0)))</f>
        <v>185.5336041</v>
      </c>
      <c r="CS82" s="24" t="str">
        <f t="array" ref="CS82">IF(INDEX(Data!$P$4:$Z$947,MATCH(Graphs!$CK82,Data!$A$4:$A$947,0),MATCH(Graphs!CS$4,Data!$P$3:$Z$3,0))="n.q.",NA(),INDEX(Data!$P$4:$Z$947,MATCH(Graphs!$CK82,Data!$A$4:$A$947,0),MATCH(Graphs!CS$4,Data!$P$3:$Z$3,0)))</f>
        <v>#N/A</v>
      </c>
      <c r="CT82" s="24">
        <f t="array" ref="CT82">IF(INDEX(Data!$P$4:$Z$947,MATCH(Graphs!$CK82,Data!$A$4:$A$947,0),MATCH(Graphs!CT$4,Data!$P$3:$Z$3,0))="n.q.",NA(),INDEX(Data!$P$4:$Z$947,MATCH(Graphs!$CK82,Data!$A$4:$A$947,0),MATCH(Graphs!CT$4,Data!$P$3:$Z$3,0)))</f>
        <v>180.0221566</v>
      </c>
      <c r="CU82" s="24" t="str">
        <f t="array" ref="CU82">IF(INDEX(Data!$P$4:$Z$947,MATCH(Graphs!$CK82,Data!$A$4:$A$947,0),MATCH(Graphs!CU$4,Data!$P$3:$Z$3,0))="n.q.",NA(),INDEX(Data!$P$4:$Z$947,MATCH(Graphs!$CK82,Data!$A$4:$A$947,0),MATCH(Graphs!CU$4,Data!$P$3:$Z$3,0)))</f>
        <v>#N/A</v>
      </c>
      <c r="CV82" s="24" t="str">
        <f t="array" ref="CV82">IF(INDEX(Data!$P$4:$Z$947,MATCH(Graphs!$CK82,Data!$A$4:$A$947,0),MATCH(Graphs!CV$4,Data!$P$3:$Z$3,0))="n.q.",NA(),INDEX(Data!$P$4:$Z$947,MATCH(Graphs!$CK82,Data!$A$4:$A$947,0),MATCH(Graphs!CV$4,Data!$P$3:$Z$3,0)))</f>
        <v>#N/A</v>
      </c>
    </row>
    <row r="83" ht="14.25" customHeight="1"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5"/>
      <c r="CK83" s="22">
        <f>Data!A82</f>
        <v>45420</v>
      </c>
      <c r="CL83" s="24">
        <f t="array" ref="CL83">IF(INDEX(Data!$B$4:$L$947,MATCH(Graphs!$CK83,Data!$A$4:$A$947,0),MATCH(Graphs!CL$4,Data!$B$3:$L$3,0))="n.q.",NA(),INDEX(Data!$B$4:$L$947,MATCH(Graphs!$CK83,Data!$A$4:$A$947,0),MATCH(Graphs!CL$4,Data!$B$3:$L$3,0)))</f>
        <v>234.52</v>
      </c>
      <c r="CM83" s="24">
        <f t="array" ref="CM83">IF(INDEX(Data!$B$4:$L$947,MATCH(Graphs!$CK83,Data!$A$4:$A$947,0),MATCH(Graphs!CM$4,Data!$B$3:$L$3,0))="n.q.",NA(),INDEX(Data!$B$4:$L$947,MATCH(Graphs!$CK83,Data!$A$4:$A$947,0),MATCH(Graphs!CM$4,Data!$B$3:$L$3,0)))</f>
        <v>280.54</v>
      </c>
      <c r="CN83" s="24">
        <f t="array" ref="CN83">IF(INDEX(Data!$B$4:$L$947,MATCH(Graphs!$CK83,Data!$A$4:$A$947,0),MATCH(Graphs!CN$4,Data!$B$3:$L$3,0))="n.q.",NA(),INDEX(Data!$B$4:$L$947,MATCH(Graphs!$CK83,Data!$A$4:$A$947,0),MATCH(Graphs!CN$4,Data!$B$3:$L$3,0)))</f>
        <v>195</v>
      </c>
      <c r="CO83" s="24" t="str">
        <f t="array" ref="CO83">IF(INDEX(Data!$B$4:$L$947,MATCH(Graphs!$CK83,Data!$A$4:$A$947,0),MATCH(Graphs!CO$4,Data!$B$3:$L$3,0))="n.q.",NA(),INDEX(Data!$B$4:$L$947,MATCH(Graphs!$CK83,Data!$A$4:$A$947,0),MATCH(Graphs!CO$4,Data!$B$3:$L$3,0)))</f>
        <v>#N/A</v>
      </c>
      <c r="CP83" s="24" t="str">
        <f t="array" ref="CP83">IF(INDEX(Data!$B$4:$L$947,MATCH(Graphs!$CK83,Data!$A$4:$A$947,0),MATCH(Graphs!CP$4,Data!$B$3:$L$3,0))="n.q.",NA(),INDEX(Data!$B$4:$L$947,MATCH(Graphs!$CK83,Data!$A$4:$A$947,0),MATCH(Graphs!CP$4,Data!$B$3:$L$3,0)))</f>
        <v>#N/A</v>
      </c>
      <c r="CQ83" s="5"/>
      <c r="CR83" s="24">
        <f t="array" ref="CR83">IF(INDEX(Data!$P$4:$Z$947,MATCH(Graphs!$CK83,Data!$A$4:$A$947,0),MATCH(Graphs!CR$4,Data!$P$3:$Z$3,0))="n.q.",NA(),INDEX(Data!$P$4:$Z$947,MATCH(Graphs!$CK83,Data!$A$4:$A$947,0),MATCH(Graphs!CR$4,Data!$P$3:$Z$3,0)))</f>
        <v>186.3445965</v>
      </c>
      <c r="CS83" s="24" t="str">
        <f t="array" ref="CS83">IF(INDEX(Data!$P$4:$Z$947,MATCH(Graphs!$CK83,Data!$A$4:$A$947,0),MATCH(Graphs!CS$4,Data!$P$3:$Z$3,0))="n.q.",NA(),INDEX(Data!$P$4:$Z$947,MATCH(Graphs!$CK83,Data!$A$4:$A$947,0),MATCH(Graphs!CS$4,Data!$P$3:$Z$3,0)))</f>
        <v>#N/A</v>
      </c>
      <c r="CT83" s="24">
        <f t="array" ref="CT83">IF(INDEX(Data!$P$4:$Z$947,MATCH(Graphs!$CK83,Data!$A$4:$A$947,0),MATCH(Graphs!CT$4,Data!$P$3:$Z$3,0))="n.q.",NA(),INDEX(Data!$P$4:$Z$947,MATCH(Graphs!$CK83,Data!$A$4:$A$947,0),MATCH(Graphs!CT$4,Data!$P$3:$Z$3,0)))</f>
        <v>174.0668342</v>
      </c>
      <c r="CU83" s="24" t="str">
        <f t="array" ref="CU83">IF(INDEX(Data!$P$4:$Z$947,MATCH(Graphs!$CK83,Data!$A$4:$A$947,0),MATCH(Graphs!CU$4,Data!$P$3:$Z$3,0))="n.q.",NA(),INDEX(Data!$P$4:$Z$947,MATCH(Graphs!$CK83,Data!$A$4:$A$947,0),MATCH(Graphs!CU$4,Data!$P$3:$Z$3,0)))</f>
        <v>#N/A</v>
      </c>
      <c r="CV83" s="24" t="str">
        <f t="array" ref="CV83">IF(INDEX(Data!$P$4:$Z$947,MATCH(Graphs!$CK83,Data!$A$4:$A$947,0),MATCH(Graphs!CV$4,Data!$P$3:$Z$3,0))="n.q.",NA(),INDEX(Data!$P$4:$Z$947,MATCH(Graphs!$CK83,Data!$A$4:$A$947,0),MATCH(Graphs!CV$4,Data!$P$3:$Z$3,0)))</f>
        <v>#N/A</v>
      </c>
    </row>
    <row r="84" ht="14.25" customHeight="1"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5"/>
      <c r="CK84" s="22">
        <f>Data!A83</f>
        <v>45413</v>
      </c>
      <c r="CL84" s="24">
        <f t="array" ref="CL84">IF(INDEX(Data!$B$4:$L$947,MATCH(Graphs!$CK84,Data!$A$4:$A$947,0),MATCH(Graphs!CL$4,Data!$B$3:$L$3,0))="n.q.",NA(),INDEX(Data!$B$4:$L$947,MATCH(Graphs!$CK84,Data!$A$4:$A$947,0),MATCH(Graphs!CL$4,Data!$B$3:$L$3,0)))</f>
        <v>224.32</v>
      </c>
      <c r="CM84" s="24">
        <f t="array" ref="CM84">IF(INDEX(Data!$B$4:$L$947,MATCH(Graphs!$CK84,Data!$A$4:$A$947,0),MATCH(Graphs!CM$4,Data!$B$3:$L$3,0))="n.q.",NA(),INDEX(Data!$B$4:$L$947,MATCH(Graphs!$CK84,Data!$A$4:$A$947,0),MATCH(Graphs!CM$4,Data!$B$3:$L$3,0)))</f>
        <v>277.6</v>
      </c>
      <c r="CN84" s="24">
        <f t="array" ref="CN84">IF(INDEX(Data!$B$4:$L$947,MATCH(Graphs!$CK84,Data!$A$4:$A$947,0),MATCH(Graphs!CN$4,Data!$B$3:$L$3,0))="n.q.",NA(),INDEX(Data!$B$4:$L$947,MATCH(Graphs!$CK84,Data!$A$4:$A$947,0),MATCH(Graphs!CN$4,Data!$B$3:$L$3,0)))</f>
        <v>188</v>
      </c>
      <c r="CO84" s="24" t="str">
        <f t="array" ref="CO84">IF(INDEX(Data!$B$4:$L$947,MATCH(Graphs!$CK84,Data!$A$4:$A$947,0),MATCH(Graphs!CO$4,Data!$B$3:$L$3,0))="n.q.",NA(),INDEX(Data!$B$4:$L$947,MATCH(Graphs!$CK84,Data!$A$4:$A$947,0),MATCH(Graphs!CO$4,Data!$B$3:$L$3,0)))</f>
        <v>#N/A</v>
      </c>
      <c r="CP84" s="24" t="str">
        <f t="array" ref="CP84">IF(INDEX(Data!$B$4:$L$947,MATCH(Graphs!$CK84,Data!$A$4:$A$947,0),MATCH(Graphs!CP$4,Data!$B$3:$L$3,0))="n.q.",NA(),INDEX(Data!$B$4:$L$947,MATCH(Graphs!$CK84,Data!$A$4:$A$947,0),MATCH(Graphs!CP$4,Data!$B$3:$L$3,0)))</f>
        <v>#N/A</v>
      </c>
      <c r="CQ84" s="5"/>
      <c r="CR84" s="24" t="str">
        <f t="array" ref="CR84">IF(INDEX(Data!$P$4:$Z$947,MATCH(Graphs!$CK84,Data!$A$4:$A$947,0),MATCH(Graphs!CR$4,Data!$P$3:$Z$3,0))="n.q.",NA(),INDEX(Data!$P$4:$Z$947,MATCH(Graphs!$CK84,Data!$A$4:$A$947,0),MATCH(Graphs!CR$4,Data!$P$3:$Z$3,0)))</f>
        <v>#N/A</v>
      </c>
      <c r="CS84" s="24" t="str">
        <f t="array" ref="CS84">IF(INDEX(Data!$P$4:$Z$947,MATCH(Graphs!$CK84,Data!$A$4:$A$947,0),MATCH(Graphs!CS$4,Data!$P$3:$Z$3,0))="n.q.",NA(),INDEX(Data!$P$4:$Z$947,MATCH(Graphs!$CK84,Data!$A$4:$A$947,0),MATCH(Graphs!CS$4,Data!$P$3:$Z$3,0)))</f>
        <v>#N/A</v>
      </c>
      <c r="CT84" s="24" t="str">
        <f t="array" ref="CT84">IF(INDEX(Data!$P$4:$Z$947,MATCH(Graphs!$CK84,Data!$A$4:$A$947,0),MATCH(Graphs!CT$4,Data!$P$3:$Z$3,0))="n.q.",NA(),INDEX(Data!$P$4:$Z$947,MATCH(Graphs!$CK84,Data!$A$4:$A$947,0),MATCH(Graphs!CT$4,Data!$P$3:$Z$3,0)))</f>
        <v>#N/A</v>
      </c>
      <c r="CU84" s="24" t="str">
        <f t="array" ref="CU84">IF(INDEX(Data!$P$4:$Z$947,MATCH(Graphs!$CK84,Data!$A$4:$A$947,0),MATCH(Graphs!CU$4,Data!$P$3:$Z$3,0))="n.q.",NA(),INDEX(Data!$P$4:$Z$947,MATCH(Graphs!$CK84,Data!$A$4:$A$947,0),MATCH(Graphs!CU$4,Data!$P$3:$Z$3,0)))</f>
        <v>#N/A</v>
      </c>
      <c r="CV84" s="24" t="str">
        <f t="array" ref="CV84">IF(INDEX(Data!$P$4:$Z$947,MATCH(Graphs!$CK84,Data!$A$4:$A$947,0),MATCH(Graphs!CV$4,Data!$P$3:$Z$3,0))="n.q.",NA(),INDEX(Data!$P$4:$Z$947,MATCH(Graphs!$CK84,Data!$A$4:$A$947,0),MATCH(Graphs!CV$4,Data!$P$3:$Z$3,0)))</f>
        <v>#N/A</v>
      </c>
    </row>
    <row r="85" ht="14.25" customHeight="1"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5"/>
      <c r="CK85" s="22">
        <f>Data!A84</f>
        <v>45406</v>
      </c>
      <c r="CL85" s="24">
        <f t="array" ref="CL85">IF(INDEX(Data!$B$4:$L$947,MATCH(Graphs!$CK85,Data!$A$4:$A$947,0),MATCH(Graphs!CL$4,Data!$B$3:$L$3,0))="n.q.",NA(),INDEX(Data!$B$4:$L$947,MATCH(Graphs!$CK85,Data!$A$4:$A$947,0),MATCH(Graphs!CL$4,Data!$B$3:$L$3,0)))</f>
        <v>225.61</v>
      </c>
      <c r="CM85" s="24">
        <f t="array" ref="CM85">IF(INDEX(Data!$B$4:$L$947,MATCH(Graphs!$CK85,Data!$A$4:$A$947,0),MATCH(Graphs!CM$4,Data!$B$3:$L$3,0))="n.q.",NA(),INDEX(Data!$B$4:$L$947,MATCH(Graphs!$CK85,Data!$A$4:$A$947,0),MATCH(Graphs!CM$4,Data!$B$3:$L$3,0)))</f>
        <v>278.98</v>
      </c>
      <c r="CN85" s="24">
        <f t="array" ref="CN85">IF(INDEX(Data!$B$4:$L$947,MATCH(Graphs!$CK85,Data!$A$4:$A$947,0),MATCH(Graphs!CN$4,Data!$B$3:$L$3,0))="n.q.",NA(),INDEX(Data!$B$4:$L$947,MATCH(Graphs!$CK85,Data!$A$4:$A$947,0),MATCH(Graphs!CN$4,Data!$B$3:$L$3,0)))</f>
        <v>184</v>
      </c>
      <c r="CO85" s="24" t="str">
        <f t="array" ref="CO85">IF(INDEX(Data!$B$4:$L$947,MATCH(Graphs!$CK85,Data!$A$4:$A$947,0),MATCH(Graphs!CO$4,Data!$B$3:$L$3,0))="n.q.",NA(),INDEX(Data!$B$4:$L$947,MATCH(Graphs!$CK85,Data!$A$4:$A$947,0),MATCH(Graphs!CO$4,Data!$B$3:$L$3,0)))</f>
        <v>#N/A</v>
      </c>
      <c r="CP85" s="24" t="str">
        <f t="array" ref="CP85">IF(INDEX(Data!$B$4:$L$947,MATCH(Graphs!$CK85,Data!$A$4:$A$947,0),MATCH(Graphs!CP$4,Data!$B$3:$L$3,0))="n.q.",NA(),INDEX(Data!$B$4:$L$947,MATCH(Graphs!$CK85,Data!$A$4:$A$947,0),MATCH(Graphs!CP$4,Data!$B$3:$L$3,0)))</f>
        <v>#N/A</v>
      </c>
      <c r="CQ85" s="5"/>
      <c r="CR85" s="24">
        <f t="array" ref="CR85">IF(INDEX(Data!$P$4:$Z$947,MATCH(Graphs!$CK85,Data!$A$4:$A$947,0),MATCH(Graphs!CR$4,Data!$P$3:$Z$3,0))="n.q.",NA(),INDEX(Data!$P$4:$Z$947,MATCH(Graphs!$CK85,Data!$A$4:$A$947,0),MATCH(Graphs!CR$4,Data!$P$3:$Z$3,0)))</f>
        <v>181.1622684</v>
      </c>
      <c r="CS85" s="24">
        <f t="array" ref="CS85">IF(INDEX(Data!$P$4:$Z$947,MATCH(Graphs!$CK85,Data!$A$4:$A$947,0),MATCH(Graphs!CS$4,Data!$P$3:$Z$3,0))="n.q.",NA(),INDEX(Data!$P$4:$Z$947,MATCH(Graphs!$CK85,Data!$A$4:$A$947,0),MATCH(Graphs!CS$4,Data!$P$3:$Z$3,0)))</f>
        <v>209.62</v>
      </c>
      <c r="CT85" s="24">
        <f t="array" ref="CT85">IF(INDEX(Data!$P$4:$Z$947,MATCH(Graphs!$CK85,Data!$A$4:$A$947,0),MATCH(Graphs!CT$4,Data!$P$3:$Z$3,0))="n.q.",NA(),INDEX(Data!$P$4:$Z$947,MATCH(Graphs!$CK85,Data!$A$4:$A$947,0),MATCH(Graphs!CT$4,Data!$P$3:$Z$3,0)))</f>
        <v>171.2521056</v>
      </c>
      <c r="CU85" s="24" t="str">
        <f t="array" ref="CU85">IF(INDEX(Data!$P$4:$Z$947,MATCH(Graphs!$CK85,Data!$A$4:$A$947,0),MATCH(Graphs!CU$4,Data!$P$3:$Z$3,0))="n.q.",NA(),INDEX(Data!$P$4:$Z$947,MATCH(Graphs!$CK85,Data!$A$4:$A$947,0),MATCH(Graphs!CU$4,Data!$P$3:$Z$3,0)))</f>
        <v>#N/A</v>
      </c>
      <c r="CV85" s="24" t="str">
        <f t="array" ref="CV85">IF(INDEX(Data!$P$4:$Z$947,MATCH(Graphs!$CK85,Data!$A$4:$A$947,0),MATCH(Graphs!CV$4,Data!$P$3:$Z$3,0))="n.q.",NA(),INDEX(Data!$P$4:$Z$947,MATCH(Graphs!$CK85,Data!$A$4:$A$947,0),MATCH(Graphs!CV$4,Data!$P$3:$Z$3,0)))</f>
        <v>#N/A</v>
      </c>
    </row>
    <row r="86" ht="14.25" customHeight="1"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5"/>
      <c r="CK86" s="22">
        <f>Data!A85</f>
        <v>45399</v>
      </c>
      <c r="CL86" s="24">
        <f t="array" ref="CL86">IF(INDEX(Data!$B$4:$L$947,MATCH(Graphs!$CK86,Data!$A$4:$A$947,0),MATCH(Graphs!CL$4,Data!$B$3:$L$3,0))="n.q.",NA(),INDEX(Data!$B$4:$L$947,MATCH(Graphs!$CK86,Data!$A$4:$A$947,0),MATCH(Graphs!CL$4,Data!$B$3:$L$3,0)))</f>
        <v>217.25</v>
      </c>
      <c r="CM86" s="24">
        <f t="array" ref="CM86">IF(INDEX(Data!$B$4:$L$947,MATCH(Graphs!$CK86,Data!$A$4:$A$947,0),MATCH(Graphs!CM$4,Data!$B$3:$L$3,0))="n.q.",NA(),INDEX(Data!$B$4:$L$947,MATCH(Graphs!$CK86,Data!$A$4:$A$947,0),MATCH(Graphs!CM$4,Data!$B$3:$L$3,0)))</f>
        <v>263.73</v>
      </c>
      <c r="CN86" s="24">
        <f t="array" ref="CN86">IF(INDEX(Data!$B$4:$L$947,MATCH(Graphs!$CK86,Data!$A$4:$A$947,0),MATCH(Graphs!CN$4,Data!$B$3:$L$3,0))="n.q.",NA(),INDEX(Data!$B$4:$L$947,MATCH(Graphs!$CK86,Data!$A$4:$A$947,0),MATCH(Graphs!CN$4,Data!$B$3:$L$3,0)))</f>
        <v>182</v>
      </c>
      <c r="CO86" s="24" t="str">
        <f t="array" ref="CO86">IF(INDEX(Data!$B$4:$L$947,MATCH(Graphs!$CK86,Data!$A$4:$A$947,0),MATCH(Graphs!CO$4,Data!$B$3:$L$3,0))="n.q.",NA(),INDEX(Data!$B$4:$L$947,MATCH(Graphs!$CK86,Data!$A$4:$A$947,0),MATCH(Graphs!CO$4,Data!$B$3:$L$3,0)))</f>
        <v>#N/A</v>
      </c>
      <c r="CP86" s="24" t="str">
        <f t="array" ref="CP86">IF(INDEX(Data!$B$4:$L$947,MATCH(Graphs!$CK86,Data!$A$4:$A$947,0),MATCH(Graphs!CP$4,Data!$B$3:$L$3,0))="n.q.",NA(),INDEX(Data!$B$4:$L$947,MATCH(Graphs!$CK86,Data!$A$4:$A$947,0),MATCH(Graphs!CP$4,Data!$B$3:$L$3,0)))</f>
        <v>#N/A</v>
      </c>
      <c r="CQ86" s="5"/>
      <c r="CR86" s="24">
        <f t="array" ref="CR86">IF(INDEX(Data!$P$4:$Z$947,MATCH(Graphs!$CK86,Data!$A$4:$A$947,0),MATCH(Graphs!CR$4,Data!$P$3:$Z$3,0))="n.q.",NA(),INDEX(Data!$P$4:$Z$947,MATCH(Graphs!$CK86,Data!$A$4:$A$947,0),MATCH(Graphs!CR$4,Data!$P$3:$Z$3,0)))</f>
        <v>179.2066178</v>
      </c>
      <c r="CS86" s="24">
        <f t="array" ref="CS86">IF(INDEX(Data!$P$4:$Z$947,MATCH(Graphs!$CK86,Data!$A$4:$A$947,0),MATCH(Graphs!CS$4,Data!$P$3:$Z$3,0))="n.q.",NA(),INDEX(Data!$P$4:$Z$947,MATCH(Graphs!$CK86,Data!$A$4:$A$947,0),MATCH(Graphs!CS$4,Data!$P$3:$Z$3,0)))</f>
        <v>200.37</v>
      </c>
      <c r="CT86" s="24">
        <f t="array" ref="CT86">IF(INDEX(Data!$P$4:$Z$947,MATCH(Graphs!$CK86,Data!$A$4:$A$947,0),MATCH(Graphs!CT$4,Data!$P$3:$Z$3,0))="n.q.",NA(),INDEX(Data!$P$4:$Z$947,MATCH(Graphs!$CK86,Data!$A$4:$A$947,0),MATCH(Graphs!CT$4,Data!$P$3:$Z$3,0)))</f>
        <v>167.3246851</v>
      </c>
      <c r="CU86" s="24" t="str">
        <f t="array" ref="CU86">IF(INDEX(Data!$P$4:$Z$947,MATCH(Graphs!$CK86,Data!$A$4:$A$947,0),MATCH(Graphs!CU$4,Data!$P$3:$Z$3,0))="n.q.",NA(),INDEX(Data!$P$4:$Z$947,MATCH(Graphs!$CK86,Data!$A$4:$A$947,0),MATCH(Graphs!CU$4,Data!$P$3:$Z$3,0)))</f>
        <v>#N/A</v>
      </c>
      <c r="CV86" s="24" t="str">
        <f t="array" ref="CV86">IF(INDEX(Data!$P$4:$Z$947,MATCH(Graphs!$CK86,Data!$A$4:$A$947,0),MATCH(Graphs!CV$4,Data!$P$3:$Z$3,0))="n.q.",NA(),INDEX(Data!$P$4:$Z$947,MATCH(Graphs!$CK86,Data!$A$4:$A$947,0),MATCH(Graphs!CV$4,Data!$P$3:$Z$3,0)))</f>
        <v>#N/A</v>
      </c>
    </row>
    <row r="87" ht="14.25" customHeight="1"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5"/>
      <c r="CK87" s="22">
        <f>Data!A86</f>
        <v>45392</v>
      </c>
      <c r="CL87" s="24">
        <f t="array" ref="CL87">IF(INDEX(Data!$B$4:$L$947,MATCH(Graphs!$CK87,Data!$A$4:$A$947,0),MATCH(Graphs!CL$4,Data!$B$3:$L$3,0))="n.q.",NA(),INDEX(Data!$B$4:$L$947,MATCH(Graphs!$CK87,Data!$A$4:$A$947,0),MATCH(Graphs!CL$4,Data!$B$3:$L$3,0)))</f>
        <v>219.21</v>
      </c>
      <c r="CM87" s="24">
        <f t="array" ref="CM87">IF(INDEX(Data!$B$4:$L$947,MATCH(Graphs!$CK87,Data!$A$4:$A$947,0),MATCH(Graphs!CM$4,Data!$B$3:$L$3,0))="n.q.",NA(),INDEX(Data!$B$4:$L$947,MATCH(Graphs!$CK87,Data!$A$4:$A$947,0),MATCH(Graphs!CM$4,Data!$B$3:$L$3,0)))</f>
        <v>275.39</v>
      </c>
      <c r="CN87" s="24">
        <f t="array" ref="CN87">IF(INDEX(Data!$B$4:$L$947,MATCH(Graphs!$CK87,Data!$A$4:$A$947,0),MATCH(Graphs!CN$4,Data!$B$3:$L$3,0))="n.q.",NA(),INDEX(Data!$B$4:$L$947,MATCH(Graphs!$CK87,Data!$A$4:$A$947,0),MATCH(Graphs!CN$4,Data!$B$3:$L$3,0)))</f>
        <v>180</v>
      </c>
      <c r="CO87" s="24" t="str">
        <f t="array" ref="CO87">IF(INDEX(Data!$B$4:$L$947,MATCH(Graphs!$CK87,Data!$A$4:$A$947,0),MATCH(Graphs!CO$4,Data!$B$3:$L$3,0))="n.q.",NA(),INDEX(Data!$B$4:$L$947,MATCH(Graphs!$CK87,Data!$A$4:$A$947,0),MATCH(Graphs!CO$4,Data!$B$3:$L$3,0)))</f>
        <v>#N/A</v>
      </c>
      <c r="CP87" s="24" t="str">
        <f t="array" ref="CP87">IF(INDEX(Data!$B$4:$L$947,MATCH(Graphs!$CK87,Data!$A$4:$A$947,0),MATCH(Graphs!CP$4,Data!$B$3:$L$3,0))="n.q.",NA(),INDEX(Data!$B$4:$L$947,MATCH(Graphs!$CK87,Data!$A$4:$A$947,0),MATCH(Graphs!CP$4,Data!$B$3:$L$3,0)))</f>
        <v>#N/A</v>
      </c>
      <c r="CQ87" s="5"/>
      <c r="CR87" s="24">
        <f t="array" ref="CR87">IF(INDEX(Data!$P$4:$Z$947,MATCH(Graphs!$CK87,Data!$A$4:$A$947,0),MATCH(Graphs!CR$4,Data!$P$3:$Z$3,0))="n.q.",NA(),INDEX(Data!$P$4:$Z$947,MATCH(Graphs!$CK87,Data!$A$4:$A$947,0),MATCH(Graphs!CR$4,Data!$P$3:$Z$3,0)))</f>
        <v>177.3572744</v>
      </c>
      <c r="CS87" s="24">
        <f t="array" ref="CS87">IF(INDEX(Data!$P$4:$Z$947,MATCH(Graphs!$CK87,Data!$A$4:$A$947,0),MATCH(Graphs!CS$4,Data!$P$3:$Z$3,0))="n.q.",NA(),INDEX(Data!$P$4:$Z$947,MATCH(Graphs!$CK87,Data!$A$4:$A$947,0),MATCH(Graphs!CS$4,Data!$P$3:$Z$3,0)))</f>
        <v>198.12</v>
      </c>
      <c r="CT87" s="24">
        <f t="array" ref="CT87">IF(INDEX(Data!$P$4:$Z$947,MATCH(Graphs!$CK87,Data!$A$4:$A$947,0),MATCH(Graphs!CT$4,Data!$P$3:$Z$3,0))="n.q.",NA(),INDEX(Data!$P$4:$Z$947,MATCH(Graphs!$CK87,Data!$A$4:$A$947,0),MATCH(Graphs!CT$4,Data!$P$3:$Z$3,0)))</f>
        <v>162.0626151</v>
      </c>
      <c r="CU87" s="24" t="str">
        <f t="array" ref="CU87">IF(INDEX(Data!$P$4:$Z$947,MATCH(Graphs!$CK87,Data!$A$4:$A$947,0),MATCH(Graphs!CU$4,Data!$P$3:$Z$3,0))="n.q.",NA(),INDEX(Data!$P$4:$Z$947,MATCH(Graphs!$CK87,Data!$A$4:$A$947,0),MATCH(Graphs!CU$4,Data!$P$3:$Z$3,0)))</f>
        <v>#N/A</v>
      </c>
      <c r="CV87" s="24" t="str">
        <f t="array" ref="CV87">IF(INDEX(Data!$P$4:$Z$947,MATCH(Graphs!$CK87,Data!$A$4:$A$947,0),MATCH(Graphs!CV$4,Data!$P$3:$Z$3,0))="n.q.",NA(),INDEX(Data!$P$4:$Z$947,MATCH(Graphs!$CK87,Data!$A$4:$A$947,0),MATCH(Graphs!CV$4,Data!$P$3:$Z$3,0)))</f>
        <v>#N/A</v>
      </c>
    </row>
    <row r="88" ht="14.25" customHeight="1"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5"/>
      <c r="CK88" s="22">
        <f>Data!A87</f>
        <v>45385</v>
      </c>
      <c r="CL88" s="24">
        <f t="array" ref="CL88">IF(INDEX(Data!$B$4:$L$947,MATCH(Graphs!$CK88,Data!$A$4:$A$947,0),MATCH(Graphs!CL$4,Data!$B$3:$L$3,0))="n.q.",NA(),INDEX(Data!$B$4:$L$947,MATCH(Graphs!$CK88,Data!$A$4:$A$947,0),MATCH(Graphs!CL$4,Data!$B$3:$L$3,0)))</f>
        <v>214.52</v>
      </c>
      <c r="CM88" s="24">
        <f t="array" ref="CM88">IF(INDEX(Data!$B$4:$L$947,MATCH(Graphs!$CK88,Data!$A$4:$A$947,0),MATCH(Graphs!CM$4,Data!$B$3:$L$3,0))="n.q.",NA(),INDEX(Data!$B$4:$L$947,MATCH(Graphs!$CK88,Data!$A$4:$A$947,0),MATCH(Graphs!CM$4,Data!$B$3:$L$3,0)))</f>
        <v>272.09</v>
      </c>
      <c r="CN88" s="24">
        <f t="array" ref="CN88">IF(INDEX(Data!$B$4:$L$947,MATCH(Graphs!$CK88,Data!$A$4:$A$947,0),MATCH(Graphs!CN$4,Data!$B$3:$L$3,0))="n.q.",NA(),INDEX(Data!$B$4:$L$947,MATCH(Graphs!$CK88,Data!$A$4:$A$947,0),MATCH(Graphs!CN$4,Data!$B$3:$L$3,0)))</f>
        <v>179</v>
      </c>
      <c r="CO88" s="24" t="str">
        <f t="array" ref="CO88">IF(INDEX(Data!$B$4:$L$947,MATCH(Graphs!$CK88,Data!$A$4:$A$947,0),MATCH(Graphs!CO$4,Data!$B$3:$L$3,0))="n.q.",NA(),INDEX(Data!$B$4:$L$947,MATCH(Graphs!$CK88,Data!$A$4:$A$947,0),MATCH(Graphs!CO$4,Data!$B$3:$L$3,0)))</f>
        <v>#N/A</v>
      </c>
      <c r="CP88" s="24" t="str">
        <f t="array" ref="CP88">IF(INDEX(Data!$B$4:$L$947,MATCH(Graphs!$CK88,Data!$A$4:$A$947,0),MATCH(Graphs!CP$4,Data!$B$3:$L$3,0))="n.q.",NA(),INDEX(Data!$B$4:$L$947,MATCH(Graphs!$CK88,Data!$A$4:$A$947,0),MATCH(Graphs!CP$4,Data!$B$3:$L$3,0)))</f>
        <v>#N/A</v>
      </c>
      <c r="CQ88" s="5"/>
      <c r="CR88" s="24">
        <f t="array" ref="CR88">IF(INDEX(Data!$P$4:$Z$947,MATCH(Graphs!$CK88,Data!$A$4:$A$947,0),MATCH(Graphs!CR$4,Data!$P$3:$Z$3,0))="n.q.",NA(),INDEX(Data!$P$4:$Z$947,MATCH(Graphs!$CK88,Data!$A$4:$A$947,0),MATCH(Graphs!CR$4,Data!$P$3:$Z$3,0)))</f>
        <v>177.7056478</v>
      </c>
      <c r="CS88" s="24">
        <f t="array" ref="CS88">IF(INDEX(Data!$P$4:$Z$947,MATCH(Graphs!$CK88,Data!$A$4:$A$947,0),MATCH(Graphs!CS$4,Data!$P$3:$Z$3,0))="n.q.",NA(),INDEX(Data!$P$4:$Z$947,MATCH(Graphs!$CK88,Data!$A$4:$A$947,0),MATCH(Graphs!CS$4,Data!$P$3:$Z$3,0)))</f>
        <v>199.37</v>
      </c>
      <c r="CT88" s="24">
        <f t="array" ref="CT88">IF(INDEX(Data!$P$4:$Z$947,MATCH(Graphs!$CK88,Data!$A$4:$A$947,0),MATCH(Graphs!CT$4,Data!$P$3:$Z$3,0))="n.q.",NA(),INDEX(Data!$P$4:$Z$947,MATCH(Graphs!$CK88,Data!$A$4:$A$947,0),MATCH(Graphs!CT$4,Data!$P$3:$Z$3,0)))</f>
        <v>166.9294259</v>
      </c>
      <c r="CU88" s="24" t="str">
        <f t="array" ref="CU88">IF(INDEX(Data!$P$4:$Z$947,MATCH(Graphs!$CK88,Data!$A$4:$A$947,0),MATCH(Graphs!CU$4,Data!$P$3:$Z$3,0))="n.q.",NA(),INDEX(Data!$P$4:$Z$947,MATCH(Graphs!$CK88,Data!$A$4:$A$947,0),MATCH(Graphs!CU$4,Data!$P$3:$Z$3,0)))</f>
        <v>#N/A</v>
      </c>
      <c r="CV88" s="24" t="str">
        <f t="array" ref="CV88">IF(INDEX(Data!$P$4:$Z$947,MATCH(Graphs!$CK88,Data!$A$4:$A$947,0),MATCH(Graphs!CV$4,Data!$P$3:$Z$3,0))="n.q.",NA(),INDEX(Data!$P$4:$Z$947,MATCH(Graphs!$CK88,Data!$A$4:$A$947,0),MATCH(Graphs!CV$4,Data!$P$3:$Z$3,0)))</f>
        <v>#N/A</v>
      </c>
    </row>
    <row r="89" ht="14.25" customHeight="1"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5"/>
      <c r="CK89" s="22">
        <f>Data!A88</f>
        <v>45378</v>
      </c>
      <c r="CL89" s="24">
        <f t="array" ref="CL89">IF(INDEX(Data!$B$4:$L$947,MATCH(Graphs!$CK89,Data!$A$4:$A$947,0),MATCH(Graphs!CL$4,Data!$B$3:$L$3,0))="n.q.",NA(),INDEX(Data!$B$4:$L$947,MATCH(Graphs!$CK89,Data!$A$4:$A$947,0),MATCH(Graphs!CL$4,Data!$B$3:$L$3,0)))</f>
        <v>214.45</v>
      </c>
      <c r="CM89" s="24">
        <f t="array" ref="CM89">IF(INDEX(Data!$B$4:$L$947,MATCH(Graphs!$CK89,Data!$A$4:$A$947,0),MATCH(Graphs!CM$4,Data!$B$3:$L$3,0))="n.q.",NA(),INDEX(Data!$B$4:$L$947,MATCH(Graphs!$CK89,Data!$A$4:$A$947,0),MATCH(Graphs!CM$4,Data!$B$3:$L$3,0)))</f>
        <v>273.1</v>
      </c>
      <c r="CN89" s="24">
        <f t="array" ref="CN89">IF(INDEX(Data!$B$4:$L$947,MATCH(Graphs!$CK89,Data!$A$4:$A$947,0),MATCH(Graphs!CN$4,Data!$B$3:$L$3,0))="n.q.",NA(),INDEX(Data!$B$4:$L$947,MATCH(Graphs!$CK89,Data!$A$4:$A$947,0),MATCH(Graphs!CN$4,Data!$B$3:$L$3,0)))</f>
        <v>176</v>
      </c>
      <c r="CO89" s="24" t="str">
        <f t="array" ref="CO89">IF(INDEX(Data!$B$4:$L$947,MATCH(Graphs!$CK89,Data!$A$4:$A$947,0),MATCH(Graphs!CO$4,Data!$B$3:$L$3,0))="n.q.",NA(),INDEX(Data!$B$4:$L$947,MATCH(Graphs!$CK89,Data!$A$4:$A$947,0),MATCH(Graphs!CO$4,Data!$B$3:$L$3,0)))</f>
        <v>#N/A</v>
      </c>
      <c r="CP89" s="24" t="str">
        <f t="array" ref="CP89">IF(INDEX(Data!$B$4:$L$947,MATCH(Graphs!$CK89,Data!$A$4:$A$947,0),MATCH(Graphs!CP$4,Data!$B$3:$L$3,0))="n.q.",NA(),INDEX(Data!$B$4:$L$947,MATCH(Graphs!$CK89,Data!$A$4:$A$947,0),MATCH(Graphs!CP$4,Data!$B$3:$L$3,0)))</f>
        <v>#N/A</v>
      </c>
      <c r="CQ89" s="5"/>
      <c r="CR89" s="24">
        <f t="array" ref="CR89">IF(INDEX(Data!$P$4:$Z$947,MATCH(Graphs!$CK89,Data!$A$4:$A$947,0),MATCH(Graphs!CR$4,Data!$P$3:$Z$3,0))="n.q.",NA(),INDEX(Data!$P$4:$Z$947,MATCH(Graphs!$CK89,Data!$A$4:$A$947,0),MATCH(Graphs!CR$4,Data!$P$3:$Z$3,0)))</f>
        <v>175.7119083</v>
      </c>
      <c r="CS89" s="24">
        <f t="array" ref="CS89">IF(INDEX(Data!$P$4:$Z$947,MATCH(Graphs!$CK89,Data!$A$4:$A$947,0),MATCH(Graphs!CS$4,Data!$P$3:$Z$3,0))="n.q.",NA(),INDEX(Data!$P$4:$Z$947,MATCH(Graphs!$CK89,Data!$A$4:$A$947,0),MATCH(Graphs!CS$4,Data!$P$3:$Z$3,0)))</f>
        <v>195.44</v>
      </c>
      <c r="CT89" s="24">
        <f t="array" ref="CT89">IF(INDEX(Data!$P$4:$Z$947,MATCH(Graphs!$CK89,Data!$A$4:$A$947,0),MATCH(Graphs!CT$4,Data!$P$3:$Z$3,0))="n.q.",NA(),INDEX(Data!$P$4:$Z$947,MATCH(Graphs!$CK89,Data!$A$4:$A$947,0),MATCH(Graphs!CT$4,Data!$P$3:$Z$3,0)))</f>
        <v>165.4955621</v>
      </c>
      <c r="CU89" s="24" t="str">
        <f t="array" ref="CU89">IF(INDEX(Data!$P$4:$Z$947,MATCH(Graphs!$CK89,Data!$A$4:$A$947,0),MATCH(Graphs!CU$4,Data!$P$3:$Z$3,0))="n.q.",NA(),INDEX(Data!$P$4:$Z$947,MATCH(Graphs!$CK89,Data!$A$4:$A$947,0),MATCH(Graphs!CU$4,Data!$P$3:$Z$3,0)))</f>
        <v>#N/A</v>
      </c>
      <c r="CV89" s="24" t="str">
        <f t="array" ref="CV89">IF(INDEX(Data!$P$4:$Z$947,MATCH(Graphs!$CK89,Data!$A$4:$A$947,0),MATCH(Graphs!CV$4,Data!$P$3:$Z$3,0))="n.q.",NA(),INDEX(Data!$P$4:$Z$947,MATCH(Graphs!$CK89,Data!$A$4:$A$947,0),MATCH(Graphs!CV$4,Data!$P$3:$Z$3,0)))</f>
        <v>#N/A</v>
      </c>
    </row>
    <row r="90" ht="14.25" customHeight="1"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5"/>
      <c r="CK90" s="22">
        <f>Data!A89</f>
        <v>45371</v>
      </c>
      <c r="CL90" s="24">
        <f t="array" ref="CL90">IF(INDEX(Data!$B$4:$L$947,MATCH(Graphs!$CK90,Data!$A$4:$A$947,0),MATCH(Graphs!CL$4,Data!$B$3:$L$3,0))="n.q.",NA(),INDEX(Data!$B$4:$L$947,MATCH(Graphs!$CK90,Data!$A$4:$A$947,0),MATCH(Graphs!CL$4,Data!$B$3:$L$3,0)))</f>
        <v>214.21</v>
      </c>
      <c r="CM90" s="24">
        <f t="array" ref="CM90">IF(INDEX(Data!$B$4:$L$947,MATCH(Graphs!$CK90,Data!$A$4:$A$947,0),MATCH(Graphs!CM$4,Data!$B$3:$L$3,0))="n.q.",NA(),INDEX(Data!$B$4:$L$947,MATCH(Graphs!$CK90,Data!$A$4:$A$947,0),MATCH(Graphs!CM$4,Data!$B$3:$L$3,0)))</f>
        <v>270.25</v>
      </c>
      <c r="CN90" s="24">
        <f t="array" ref="CN90">IF(INDEX(Data!$B$4:$L$947,MATCH(Graphs!$CK90,Data!$A$4:$A$947,0),MATCH(Graphs!CN$4,Data!$B$3:$L$3,0))="n.q.",NA(),INDEX(Data!$B$4:$L$947,MATCH(Graphs!$CK90,Data!$A$4:$A$947,0),MATCH(Graphs!CN$4,Data!$B$3:$L$3,0)))</f>
        <v>174</v>
      </c>
      <c r="CO90" s="24" t="str">
        <f t="array" ref="CO90">IF(INDEX(Data!$B$4:$L$947,MATCH(Graphs!$CK90,Data!$A$4:$A$947,0),MATCH(Graphs!CO$4,Data!$B$3:$L$3,0))="n.q.",NA(),INDEX(Data!$B$4:$L$947,MATCH(Graphs!$CK90,Data!$A$4:$A$947,0),MATCH(Graphs!CO$4,Data!$B$3:$L$3,0)))</f>
        <v>#N/A</v>
      </c>
      <c r="CP90" s="24" t="str">
        <f t="array" ref="CP90">IF(INDEX(Data!$B$4:$L$947,MATCH(Graphs!$CK90,Data!$A$4:$A$947,0),MATCH(Graphs!CP$4,Data!$B$3:$L$3,0))="n.q.",NA(),INDEX(Data!$B$4:$L$947,MATCH(Graphs!$CK90,Data!$A$4:$A$947,0),MATCH(Graphs!CP$4,Data!$B$3:$L$3,0)))</f>
        <v>#N/A</v>
      </c>
      <c r="CQ90" s="5"/>
      <c r="CR90" s="24">
        <f t="array" ref="CR90">IF(INDEX(Data!$P$4:$Z$947,MATCH(Graphs!$CK90,Data!$A$4:$A$947,0),MATCH(Graphs!CR$4,Data!$P$3:$Z$3,0))="n.q.",NA(),INDEX(Data!$P$4:$Z$947,MATCH(Graphs!$CK90,Data!$A$4:$A$947,0),MATCH(Graphs!CR$4,Data!$P$3:$Z$3,0)))</f>
        <v>179.3434157</v>
      </c>
      <c r="CS90" s="24">
        <f t="array" ref="CS90">IF(INDEX(Data!$P$4:$Z$947,MATCH(Graphs!$CK90,Data!$A$4:$A$947,0),MATCH(Graphs!CS$4,Data!$P$3:$Z$3,0))="n.q.",NA(),INDEX(Data!$P$4:$Z$947,MATCH(Graphs!$CK90,Data!$A$4:$A$947,0),MATCH(Graphs!CS$4,Data!$P$3:$Z$3,0)))</f>
        <v>192.7896053</v>
      </c>
      <c r="CT90" s="24">
        <f t="array" ref="CT90">IF(INDEX(Data!$P$4:$Z$947,MATCH(Graphs!$CK90,Data!$A$4:$A$947,0),MATCH(Graphs!CT$4,Data!$P$3:$Z$3,0))="n.q.",NA(),INDEX(Data!$P$4:$Z$947,MATCH(Graphs!$CK90,Data!$A$4:$A$947,0),MATCH(Graphs!CT$4,Data!$P$3:$Z$3,0)))</f>
        <v>161.3795647</v>
      </c>
      <c r="CU90" s="24" t="str">
        <f t="array" ref="CU90">IF(INDEX(Data!$P$4:$Z$947,MATCH(Graphs!$CK90,Data!$A$4:$A$947,0),MATCH(Graphs!CU$4,Data!$P$3:$Z$3,0))="n.q.",NA(),INDEX(Data!$P$4:$Z$947,MATCH(Graphs!$CK90,Data!$A$4:$A$947,0),MATCH(Graphs!CU$4,Data!$P$3:$Z$3,0)))</f>
        <v>#N/A</v>
      </c>
      <c r="CV90" s="24" t="str">
        <f t="array" ref="CV90">IF(INDEX(Data!$P$4:$Z$947,MATCH(Graphs!$CK90,Data!$A$4:$A$947,0),MATCH(Graphs!CV$4,Data!$P$3:$Z$3,0))="n.q.",NA(),INDEX(Data!$P$4:$Z$947,MATCH(Graphs!$CK90,Data!$A$4:$A$947,0),MATCH(Graphs!CV$4,Data!$P$3:$Z$3,0)))</f>
        <v>#N/A</v>
      </c>
    </row>
    <row r="91" ht="14.25" customHeight="1"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5"/>
      <c r="CK91" s="22">
        <f>Data!A90</f>
        <v>45364</v>
      </c>
      <c r="CL91" s="24">
        <f t="array" ref="CL91">IF(INDEX(Data!$B$4:$L$947,MATCH(Graphs!$CK91,Data!$A$4:$A$947,0),MATCH(Graphs!CL$4,Data!$B$3:$L$3,0))="n.q.",NA(),INDEX(Data!$B$4:$L$947,MATCH(Graphs!$CK91,Data!$A$4:$A$947,0),MATCH(Graphs!CL$4,Data!$B$3:$L$3,0)))</f>
        <v>214.82</v>
      </c>
      <c r="CM91" s="24">
        <f t="array" ref="CM91">IF(INDEX(Data!$B$4:$L$947,MATCH(Graphs!$CK91,Data!$A$4:$A$947,0),MATCH(Graphs!CM$4,Data!$B$3:$L$3,0))="n.q.",NA(),INDEX(Data!$B$4:$L$947,MATCH(Graphs!$CK91,Data!$A$4:$A$947,0),MATCH(Graphs!CM$4,Data!$B$3:$L$3,0)))</f>
        <v>276.5</v>
      </c>
      <c r="CN91" s="24">
        <f t="array" ref="CN91">IF(INDEX(Data!$B$4:$L$947,MATCH(Graphs!$CK91,Data!$A$4:$A$947,0),MATCH(Graphs!CN$4,Data!$B$3:$L$3,0))="n.q.",NA(),INDEX(Data!$B$4:$L$947,MATCH(Graphs!$CK91,Data!$A$4:$A$947,0),MATCH(Graphs!CN$4,Data!$B$3:$L$3,0)))</f>
        <v>174</v>
      </c>
      <c r="CO91" s="24" t="str">
        <f t="array" ref="CO91">IF(INDEX(Data!$B$4:$L$947,MATCH(Graphs!$CK91,Data!$A$4:$A$947,0),MATCH(Graphs!CO$4,Data!$B$3:$L$3,0))="n.q.",NA(),INDEX(Data!$B$4:$L$947,MATCH(Graphs!$CK91,Data!$A$4:$A$947,0),MATCH(Graphs!CO$4,Data!$B$3:$L$3,0)))</f>
        <v>#N/A</v>
      </c>
      <c r="CP91" s="24" t="str">
        <f t="array" ref="CP91">IF(INDEX(Data!$B$4:$L$947,MATCH(Graphs!$CK91,Data!$A$4:$A$947,0),MATCH(Graphs!CP$4,Data!$B$3:$L$3,0))="n.q.",NA(),INDEX(Data!$B$4:$L$947,MATCH(Graphs!$CK91,Data!$A$4:$A$947,0),MATCH(Graphs!CP$4,Data!$B$3:$L$3,0)))</f>
        <v>#N/A</v>
      </c>
      <c r="CQ91" s="5"/>
      <c r="CR91" s="24">
        <f t="array" ref="CR91">IF(INDEX(Data!$P$4:$Z$947,MATCH(Graphs!$CK91,Data!$A$4:$A$947,0),MATCH(Graphs!CR$4,Data!$P$3:$Z$3,0))="n.q.",NA(),INDEX(Data!$P$4:$Z$947,MATCH(Graphs!$CK91,Data!$A$4:$A$947,0),MATCH(Graphs!CR$4,Data!$P$3:$Z$3,0)))</f>
        <v>178.5903647</v>
      </c>
      <c r="CS91" s="24">
        <f t="array" ref="CS91">IF(INDEX(Data!$P$4:$Z$947,MATCH(Graphs!$CK91,Data!$A$4:$A$947,0),MATCH(Graphs!CS$4,Data!$P$3:$Z$3,0))="n.q.",NA(),INDEX(Data!$P$4:$Z$947,MATCH(Graphs!$CK91,Data!$A$4:$A$947,0),MATCH(Graphs!CS$4,Data!$P$3:$Z$3,0)))</f>
        <v>183.44</v>
      </c>
      <c r="CT91" s="24">
        <f t="array" ref="CT91">IF(INDEX(Data!$P$4:$Z$947,MATCH(Graphs!$CK91,Data!$A$4:$A$947,0),MATCH(Graphs!CT$4,Data!$P$3:$Z$3,0))="n.q.",NA(),INDEX(Data!$P$4:$Z$947,MATCH(Graphs!$CK91,Data!$A$4:$A$947,0),MATCH(Graphs!CT$4,Data!$P$3:$Z$3,0)))</f>
        <v>159.0638998</v>
      </c>
      <c r="CU91" s="24" t="str">
        <f t="array" ref="CU91">IF(INDEX(Data!$P$4:$Z$947,MATCH(Graphs!$CK91,Data!$A$4:$A$947,0),MATCH(Graphs!CU$4,Data!$P$3:$Z$3,0))="n.q.",NA(),INDEX(Data!$P$4:$Z$947,MATCH(Graphs!$CK91,Data!$A$4:$A$947,0),MATCH(Graphs!CU$4,Data!$P$3:$Z$3,0)))</f>
        <v>#N/A</v>
      </c>
      <c r="CV91" s="24" t="str">
        <f t="array" ref="CV91">IF(INDEX(Data!$P$4:$Z$947,MATCH(Graphs!$CK91,Data!$A$4:$A$947,0),MATCH(Graphs!CV$4,Data!$P$3:$Z$3,0))="n.q.",NA(),INDEX(Data!$P$4:$Z$947,MATCH(Graphs!$CK91,Data!$A$4:$A$947,0),MATCH(Graphs!CV$4,Data!$P$3:$Z$3,0)))</f>
        <v>#N/A</v>
      </c>
    </row>
    <row r="92" ht="14.25" customHeight="1"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5"/>
      <c r="CK92" s="22">
        <f>Data!A91</f>
        <v>45357</v>
      </c>
      <c r="CL92" s="24">
        <f t="array" ref="CL92">IF(INDEX(Data!$B$4:$L$947,MATCH(Graphs!$CK92,Data!$A$4:$A$947,0),MATCH(Graphs!CL$4,Data!$B$3:$L$3,0))="n.q.",NA(),INDEX(Data!$B$4:$L$947,MATCH(Graphs!$CK92,Data!$A$4:$A$947,0),MATCH(Graphs!CL$4,Data!$B$3:$L$3,0)))</f>
        <v>208.64</v>
      </c>
      <c r="CM92" s="24">
        <f t="array" ref="CM92">IF(INDEX(Data!$B$4:$L$947,MATCH(Graphs!$CK92,Data!$A$4:$A$947,0),MATCH(Graphs!CM$4,Data!$B$3:$L$3,0))="n.q.",NA(),INDEX(Data!$B$4:$L$947,MATCH(Graphs!$CK92,Data!$A$4:$A$947,0),MATCH(Graphs!CM$4,Data!$B$3:$L$3,0)))</f>
        <v>272.36</v>
      </c>
      <c r="CN92" s="24">
        <f t="array" ref="CN92">IF(INDEX(Data!$B$4:$L$947,MATCH(Graphs!$CK92,Data!$A$4:$A$947,0),MATCH(Graphs!CN$4,Data!$B$3:$L$3,0))="n.q.",NA(),INDEX(Data!$B$4:$L$947,MATCH(Graphs!$CK92,Data!$A$4:$A$947,0),MATCH(Graphs!CN$4,Data!$B$3:$L$3,0)))</f>
        <v>171</v>
      </c>
      <c r="CO92" s="24" t="str">
        <f t="array" ref="CO92">IF(INDEX(Data!$B$4:$L$947,MATCH(Graphs!$CK92,Data!$A$4:$A$947,0),MATCH(Graphs!CO$4,Data!$B$3:$L$3,0))="n.q.",NA(),INDEX(Data!$B$4:$L$947,MATCH(Graphs!$CK92,Data!$A$4:$A$947,0),MATCH(Graphs!CO$4,Data!$B$3:$L$3,0)))</f>
        <v>#N/A</v>
      </c>
      <c r="CP92" s="24" t="str">
        <f t="array" ref="CP92">IF(INDEX(Data!$B$4:$L$947,MATCH(Graphs!$CK92,Data!$A$4:$A$947,0),MATCH(Graphs!CP$4,Data!$B$3:$L$3,0))="n.q.",NA(),INDEX(Data!$B$4:$L$947,MATCH(Graphs!$CK92,Data!$A$4:$A$947,0),MATCH(Graphs!CP$4,Data!$B$3:$L$3,0)))</f>
        <v>#N/A</v>
      </c>
      <c r="CQ92" s="5"/>
      <c r="CR92" s="24">
        <f t="array" ref="CR92">IF(INDEX(Data!$P$4:$Z$947,MATCH(Graphs!$CK92,Data!$A$4:$A$947,0),MATCH(Graphs!CR$4,Data!$P$3:$Z$3,0))="n.q.",NA(),INDEX(Data!$P$4:$Z$947,MATCH(Graphs!$CK92,Data!$A$4:$A$947,0),MATCH(Graphs!CR$4,Data!$P$3:$Z$3,0)))</f>
        <v>173.0549936</v>
      </c>
      <c r="CS92" s="24">
        <f t="array" ref="CS92">IF(INDEX(Data!$P$4:$Z$947,MATCH(Graphs!$CK92,Data!$A$4:$A$947,0),MATCH(Graphs!CS$4,Data!$P$3:$Z$3,0))="n.q.",NA(),INDEX(Data!$P$4:$Z$947,MATCH(Graphs!$CK92,Data!$A$4:$A$947,0),MATCH(Graphs!CS$4,Data!$P$3:$Z$3,0)))</f>
        <v>180.69</v>
      </c>
      <c r="CT92" s="24">
        <f t="array" ref="CT92">IF(INDEX(Data!$P$4:$Z$947,MATCH(Graphs!$CK92,Data!$A$4:$A$947,0),MATCH(Graphs!CT$4,Data!$P$3:$Z$3,0))="n.q.",NA(),INDEX(Data!$P$4:$Z$947,MATCH(Graphs!$CK92,Data!$A$4:$A$947,0),MATCH(Graphs!CT$4,Data!$P$3:$Z$3,0)))</f>
        <v>155.41659</v>
      </c>
      <c r="CU92" s="24" t="str">
        <f t="array" ref="CU92">IF(INDEX(Data!$P$4:$Z$947,MATCH(Graphs!$CK92,Data!$A$4:$A$947,0),MATCH(Graphs!CU$4,Data!$P$3:$Z$3,0))="n.q.",NA(),INDEX(Data!$P$4:$Z$947,MATCH(Graphs!$CK92,Data!$A$4:$A$947,0),MATCH(Graphs!CU$4,Data!$P$3:$Z$3,0)))</f>
        <v>#N/A</v>
      </c>
      <c r="CV92" s="24" t="str">
        <f t="array" ref="CV92">IF(INDEX(Data!$P$4:$Z$947,MATCH(Graphs!$CK92,Data!$A$4:$A$947,0),MATCH(Graphs!CV$4,Data!$P$3:$Z$3,0))="n.q.",NA(),INDEX(Data!$P$4:$Z$947,MATCH(Graphs!$CK92,Data!$A$4:$A$947,0),MATCH(Graphs!CV$4,Data!$P$3:$Z$3,0)))</f>
        <v>#N/A</v>
      </c>
    </row>
    <row r="93" ht="14.25" customHeight="1"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5"/>
      <c r="CK93" s="22">
        <f>Data!A92</f>
        <v>45350</v>
      </c>
      <c r="CL93" s="24">
        <f t="array" ref="CL93">IF(INDEX(Data!$B$4:$L$947,MATCH(Graphs!$CK93,Data!$A$4:$A$947,0),MATCH(Graphs!CL$4,Data!$B$3:$L$3,0))="n.q.",NA(),INDEX(Data!$B$4:$L$947,MATCH(Graphs!$CK93,Data!$A$4:$A$947,0),MATCH(Graphs!CL$4,Data!$B$3:$L$3,0)))</f>
        <v>218.22</v>
      </c>
      <c r="CM93" s="24">
        <f t="array" ref="CM93">IF(INDEX(Data!$B$4:$L$947,MATCH(Graphs!$CK93,Data!$A$4:$A$947,0),MATCH(Graphs!CM$4,Data!$B$3:$L$3,0))="n.q.",NA(),INDEX(Data!$B$4:$L$947,MATCH(Graphs!$CK93,Data!$A$4:$A$947,0),MATCH(Graphs!CM$4,Data!$B$3:$L$3,0)))</f>
        <v>279.44</v>
      </c>
      <c r="CN93" s="24">
        <f t="array" ref="CN93">IF(INDEX(Data!$B$4:$L$947,MATCH(Graphs!$CK93,Data!$A$4:$A$947,0),MATCH(Graphs!CN$4,Data!$B$3:$L$3,0))="n.q.",NA(),INDEX(Data!$B$4:$L$947,MATCH(Graphs!$CK93,Data!$A$4:$A$947,0),MATCH(Graphs!CN$4,Data!$B$3:$L$3,0)))</f>
        <v>172</v>
      </c>
      <c r="CO93" s="24" t="str">
        <f t="array" ref="CO93">IF(INDEX(Data!$B$4:$L$947,MATCH(Graphs!$CK93,Data!$A$4:$A$947,0),MATCH(Graphs!CO$4,Data!$B$3:$L$3,0))="n.q.",NA(),INDEX(Data!$B$4:$L$947,MATCH(Graphs!$CK93,Data!$A$4:$A$947,0),MATCH(Graphs!CO$4,Data!$B$3:$L$3,0)))</f>
        <v>#N/A</v>
      </c>
      <c r="CP93" s="24" t="str">
        <f t="array" ref="CP93">IF(INDEX(Data!$B$4:$L$947,MATCH(Graphs!$CK93,Data!$A$4:$A$947,0),MATCH(Graphs!CP$4,Data!$B$3:$L$3,0))="n.q.",NA(),INDEX(Data!$B$4:$L$947,MATCH(Graphs!$CK93,Data!$A$4:$A$947,0),MATCH(Graphs!CP$4,Data!$B$3:$L$3,0)))</f>
        <v>#N/A</v>
      </c>
      <c r="CQ93" s="5"/>
      <c r="CR93" s="24">
        <f t="array" ref="CR93">IF(INDEX(Data!$P$4:$Z$947,MATCH(Graphs!$CK93,Data!$A$4:$A$947,0),MATCH(Graphs!CR$4,Data!$P$3:$Z$3,0))="n.q.",NA(),INDEX(Data!$P$4:$Z$947,MATCH(Graphs!$CK93,Data!$A$4:$A$947,0),MATCH(Graphs!CR$4,Data!$P$3:$Z$3,0)))</f>
        <v>173.4733531</v>
      </c>
      <c r="CS93" s="24">
        <f t="array" ref="CS93">IF(INDEX(Data!$P$4:$Z$947,MATCH(Graphs!$CK93,Data!$A$4:$A$947,0),MATCH(Graphs!CS$4,Data!$P$3:$Z$3,0))="n.q.",NA(),INDEX(Data!$P$4:$Z$947,MATCH(Graphs!$CK93,Data!$A$4:$A$947,0),MATCH(Graphs!CS$4,Data!$P$3:$Z$3,0)))</f>
        <v>183.94</v>
      </c>
      <c r="CT93" s="24">
        <f t="array" ref="CT93">IF(INDEX(Data!$P$4:$Z$947,MATCH(Graphs!$CK93,Data!$A$4:$A$947,0),MATCH(Graphs!CT$4,Data!$P$3:$Z$3,0))="n.q.",NA(),INDEX(Data!$P$4:$Z$947,MATCH(Graphs!$CK93,Data!$A$4:$A$947,0),MATCH(Graphs!CT$4,Data!$P$3:$Z$3,0)))</f>
        <v>155.4404145</v>
      </c>
      <c r="CU93" s="24" t="str">
        <f t="array" ref="CU93">IF(INDEX(Data!$P$4:$Z$947,MATCH(Graphs!$CK93,Data!$A$4:$A$947,0),MATCH(Graphs!CU$4,Data!$P$3:$Z$3,0))="n.q.",NA(),INDEX(Data!$P$4:$Z$947,MATCH(Graphs!$CK93,Data!$A$4:$A$947,0),MATCH(Graphs!CU$4,Data!$P$3:$Z$3,0)))</f>
        <v>#N/A</v>
      </c>
      <c r="CV93" s="24" t="str">
        <f t="array" ref="CV93">IF(INDEX(Data!$P$4:$Z$947,MATCH(Graphs!$CK93,Data!$A$4:$A$947,0),MATCH(Graphs!CV$4,Data!$P$3:$Z$3,0))="n.q.",NA(),INDEX(Data!$P$4:$Z$947,MATCH(Graphs!$CK93,Data!$A$4:$A$947,0),MATCH(Graphs!CV$4,Data!$P$3:$Z$3,0)))</f>
        <v>#N/A</v>
      </c>
    </row>
    <row r="94" ht="14.25" customHeight="1"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5"/>
      <c r="CK94" s="22">
        <f>Data!A93</f>
        <v>45343</v>
      </c>
      <c r="CL94" s="24">
        <f t="array" ref="CL94">IF(INDEX(Data!$B$4:$L$947,MATCH(Graphs!$CK94,Data!$A$4:$A$947,0),MATCH(Graphs!CL$4,Data!$B$3:$L$3,0))="n.q.",NA(),INDEX(Data!$B$4:$L$947,MATCH(Graphs!$CK94,Data!$A$4:$A$947,0),MATCH(Graphs!CL$4,Data!$B$3:$L$3,0)))</f>
        <v>222.62</v>
      </c>
      <c r="CM94" s="24">
        <f t="array" ref="CM94">IF(INDEX(Data!$B$4:$L$947,MATCH(Graphs!$CK94,Data!$A$4:$A$947,0),MATCH(Graphs!CM$4,Data!$B$3:$L$3,0))="n.q.",NA(),INDEX(Data!$B$4:$L$947,MATCH(Graphs!$CK94,Data!$A$4:$A$947,0),MATCH(Graphs!CM$4,Data!$B$3:$L$3,0)))</f>
        <v>273.46</v>
      </c>
      <c r="CN94" s="24">
        <f t="array" ref="CN94">IF(INDEX(Data!$B$4:$L$947,MATCH(Graphs!$CK94,Data!$A$4:$A$947,0),MATCH(Graphs!CN$4,Data!$B$3:$L$3,0))="n.q.",NA(),INDEX(Data!$B$4:$L$947,MATCH(Graphs!$CK94,Data!$A$4:$A$947,0),MATCH(Graphs!CN$4,Data!$B$3:$L$3,0)))</f>
        <v>174</v>
      </c>
      <c r="CO94" s="24" t="str">
        <f t="array" ref="CO94">IF(INDEX(Data!$B$4:$L$947,MATCH(Graphs!$CK94,Data!$A$4:$A$947,0),MATCH(Graphs!CO$4,Data!$B$3:$L$3,0))="n.q.",NA(),INDEX(Data!$B$4:$L$947,MATCH(Graphs!$CK94,Data!$A$4:$A$947,0),MATCH(Graphs!CO$4,Data!$B$3:$L$3,0)))</f>
        <v>#N/A</v>
      </c>
      <c r="CP94" s="24" t="str">
        <f t="array" ref="CP94">IF(INDEX(Data!$B$4:$L$947,MATCH(Graphs!$CK94,Data!$A$4:$A$947,0),MATCH(Graphs!CP$4,Data!$B$3:$L$3,0))="n.q.",NA(),INDEX(Data!$B$4:$L$947,MATCH(Graphs!$CK94,Data!$A$4:$A$947,0),MATCH(Graphs!CP$4,Data!$B$3:$L$3,0)))</f>
        <v>#N/A</v>
      </c>
      <c r="CQ94" s="5"/>
      <c r="CR94" s="24">
        <f t="array" ref="CR94">IF(INDEX(Data!$P$4:$Z$947,MATCH(Graphs!$CK94,Data!$A$4:$A$947,0),MATCH(Graphs!CR$4,Data!$P$3:$Z$3,0))="n.q.",NA(),INDEX(Data!$P$4:$Z$947,MATCH(Graphs!$CK94,Data!$A$4:$A$947,0),MATCH(Graphs!CR$4,Data!$P$3:$Z$3,0)))</f>
        <v>172.6431677</v>
      </c>
      <c r="CS94" s="24">
        <f t="array" ref="CS94">IF(INDEX(Data!$P$4:$Z$947,MATCH(Graphs!$CK94,Data!$A$4:$A$947,0),MATCH(Graphs!CS$4,Data!$P$3:$Z$3,0))="n.q.",NA(),INDEX(Data!$P$4:$Z$947,MATCH(Graphs!$CK94,Data!$A$4:$A$947,0),MATCH(Graphs!CS$4,Data!$P$3:$Z$3,0)))</f>
        <v>181.94</v>
      </c>
      <c r="CT94" s="24">
        <f t="array" ref="CT94">IF(INDEX(Data!$P$4:$Z$947,MATCH(Graphs!$CK94,Data!$A$4:$A$947,0),MATCH(Graphs!CT$4,Data!$P$3:$Z$3,0))="n.q.",NA(),INDEX(Data!$P$4:$Z$947,MATCH(Graphs!$CK94,Data!$A$4:$A$947,0),MATCH(Graphs!CT$4,Data!$P$3:$Z$3,0)))</f>
        <v>153.5757239</v>
      </c>
      <c r="CU94" s="24" t="str">
        <f t="array" ref="CU94">IF(INDEX(Data!$P$4:$Z$947,MATCH(Graphs!$CK94,Data!$A$4:$A$947,0),MATCH(Graphs!CU$4,Data!$P$3:$Z$3,0))="n.q.",NA(),INDEX(Data!$P$4:$Z$947,MATCH(Graphs!$CK94,Data!$A$4:$A$947,0),MATCH(Graphs!CU$4,Data!$P$3:$Z$3,0)))</f>
        <v>#N/A</v>
      </c>
      <c r="CV94" s="24" t="str">
        <f t="array" ref="CV94">IF(INDEX(Data!$P$4:$Z$947,MATCH(Graphs!$CK94,Data!$A$4:$A$947,0),MATCH(Graphs!CV$4,Data!$P$3:$Z$3,0))="n.q.",NA(),INDEX(Data!$P$4:$Z$947,MATCH(Graphs!$CK94,Data!$A$4:$A$947,0),MATCH(Graphs!CV$4,Data!$P$3:$Z$3,0)))</f>
        <v>#N/A</v>
      </c>
    </row>
    <row r="95" ht="14.25" customHeight="1"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5"/>
      <c r="CK95" s="22">
        <f>Data!A94</f>
        <v>45336</v>
      </c>
      <c r="CL95" s="24">
        <f t="array" ref="CL95">IF(INDEX(Data!$B$4:$L$947,MATCH(Graphs!$CK95,Data!$A$4:$A$947,0),MATCH(Graphs!CL$4,Data!$B$3:$L$3,0))="n.q.",NA(),INDEX(Data!$B$4:$L$947,MATCH(Graphs!$CK95,Data!$A$4:$A$947,0),MATCH(Graphs!CL$4,Data!$B$3:$L$3,0)))</f>
        <v>224.63</v>
      </c>
      <c r="CM95" s="24">
        <f t="array" ref="CM95">IF(INDEX(Data!$B$4:$L$947,MATCH(Graphs!$CK95,Data!$A$4:$A$947,0),MATCH(Graphs!CM$4,Data!$B$3:$L$3,0))="n.q.",NA(),INDEX(Data!$B$4:$L$947,MATCH(Graphs!$CK95,Data!$A$4:$A$947,0),MATCH(Graphs!CM$4,Data!$B$3:$L$3,0)))</f>
        <v>276.59</v>
      </c>
      <c r="CN95" s="24">
        <f t="array" ref="CN95">IF(INDEX(Data!$B$4:$L$947,MATCH(Graphs!$CK95,Data!$A$4:$A$947,0),MATCH(Graphs!CN$4,Data!$B$3:$L$3,0))="n.q.",NA(),INDEX(Data!$B$4:$L$947,MATCH(Graphs!$CK95,Data!$A$4:$A$947,0),MATCH(Graphs!CN$4,Data!$B$3:$L$3,0)))</f>
        <v>179</v>
      </c>
      <c r="CO95" s="24" t="str">
        <f t="array" ref="CO95">IF(INDEX(Data!$B$4:$L$947,MATCH(Graphs!$CK95,Data!$A$4:$A$947,0),MATCH(Graphs!CO$4,Data!$B$3:$L$3,0))="n.q.",NA(),INDEX(Data!$B$4:$L$947,MATCH(Graphs!$CK95,Data!$A$4:$A$947,0),MATCH(Graphs!CO$4,Data!$B$3:$L$3,0)))</f>
        <v>#N/A</v>
      </c>
      <c r="CP95" s="24" t="str">
        <f t="array" ref="CP95">IF(INDEX(Data!$B$4:$L$947,MATCH(Graphs!$CK95,Data!$A$4:$A$947,0),MATCH(Graphs!CP$4,Data!$B$3:$L$3,0))="n.q.",NA(),INDEX(Data!$B$4:$L$947,MATCH(Graphs!$CK95,Data!$A$4:$A$947,0),MATCH(Graphs!CP$4,Data!$B$3:$L$3,0)))</f>
        <v>#N/A</v>
      </c>
      <c r="CQ95" s="5"/>
      <c r="CR95" s="24">
        <f t="array" ref="CR95">IF(INDEX(Data!$P$4:$Z$947,MATCH(Graphs!$CK95,Data!$A$4:$A$947,0),MATCH(Graphs!CR$4,Data!$P$3:$Z$3,0))="n.q.",NA(),INDEX(Data!$P$4:$Z$947,MATCH(Graphs!$CK95,Data!$A$4:$A$947,0),MATCH(Graphs!CR$4,Data!$P$3:$Z$3,0)))</f>
        <v>179.0534864</v>
      </c>
      <c r="CS95" s="24">
        <f t="array" ref="CS95">IF(INDEX(Data!$P$4:$Z$947,MATCH(Graphs!$CK95,Data!$A$4:$A$947,0),MATCH(Graphs!CS$4,Data!$P$3:$Z$3,0))="n.q.",NA(),INDEX(Data!$P$4:$Z$947,MATCH(Graphs!$CK95,Data!$A$4:$A$947,0),MATCH(Graphs!CS$4,Data!$P$3:$Z$3,0)))</f>
        <v>184.76</v>
      </c>
      <c r="CT95" s="24">
        <f t="array" ref="CT95">IF(INDEX(Data!$P$4:$Z$947,MATCH(Graphs!$CK95,Data!$A$4:$A$947,0),MATCH(Graphs!CT$4,Data!$P$3:$Z$3,0))="n.q.",NA(),INDEX(Data!$P$4:$Z$947,MATCH(Graphs!$CK95,Data!$A$4:$A$947,0),MATCH(Graphs!CT$4,Data!$P$3:$Z$3,0)))</f>
        <v>157.7522636</v>
      </c>
      <c r="CU95" s="24" t="str">
        <f t="array" ref="CU95">IF(INDEX(Data!$P$4:$Z$947,MATCH(Graphs!$CK95,Data!$A$4:$A$947,0),MATCH(Graphs!CU$4,Data!$P$3:$Z$3,0))="n.q.",NA(),INDEX(Data!$P$4:$Z$947,MATCH(Graphs!$CK95,Data!$A$4:$A$947,0),MATCH(Graphs!CU$4,Data!$P$3:$Z$3,0)))</f>
        <v>#N/A</v>
      </c>
      <c r="CV95" s="24" t="str">
        <f t="array" ref="CV95">IF(INDEX(Data!$P$4:$Z$947,MATCH(Graphs!$CK95,Data!$A$4:$A$947,0),MATCH(Graphs!CV$4,Data!$P$3:$Z$3,0))="n.q.",NA(),INDEX(Data!$P$4:$Z$947,MATCH(Graphs!$CK95,Data!$A$4:$A$947,0),MATCH(Graphs!CV$4,Data!$P$3:$Z$3,0)))</f>
        <v>#N/A</v>
      </c>
    </row>
    <row r="96" ht="14.25" customHeight="1"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5"/>
      <c r="CK96" s="22">
        <f>Data!A95</f>
        <v>45329</v>
      </c>
      <c r="CL96" s="24">
        <f t="array" ref="CL96">IF(INDEX(Data!$B$4:$L$947,MATCH(Graphs!$CK96,Data!$A$4:$A$947,0),MATCH(Graphs!CL$4,Data!$B$3:$L$3,0))="n.q.",NA(),INDEX(Data!$B$4:$L$947,MATCH(Graphs!$CK96,Data!$A$4:$A$947,0),MATCH(Graphs!CL$4,Data!$B$3:$L$3,0)))</f>
        <v>230.71</v>
      </c>
      <c r="CM96" s="24">
        <f t="array" ref="CM96">IF(INDEX(Data!$B$4:$L$947,MATCH(Graphs!$CK96,Data!$A$4:$A$947,0),MATCH(Graphs!CM$4,Data!$B$3:$L$3,0))="n.q.",NA(),INDEX(Data!$B$4:$L$947,MATCH(Graphs!$CK96,Data!$A$4:$A$947,0),MATCH(Graphs!CM$4,Data!$B$3:$L$3,0)))</f>
        <v>285.96</v>
      </c>
      <c r="CN96" s="24">
        <f t="array" ref="CN96">IF(INDEX(Data!$B$4:$L$947,MATCH(Graphs!$CK96,Data!$A$4:$A$947,0),MATCH(Graphs!CN$4,Data!$B$3:$L$3,0))="n.q.",NA(),INDEX(Data!$B$4:$L$947,MATCH(Graphs!$CK96,Data!$A$4:$A$947,0),MATCH(Graphs!CN$4,Data!$B$3:$L$3,0)))</f>
        <v>185</v>
      </c>
      <c r="CO96" s="24" t="str">
        <f t="array" ref="CO96">IF(INDEX(Data!$B$4:$L$947,MATCH(Graphs!$CK96,Data!$A$4:$A$947,0),MATCH(Graphs!CO$4,Data!$B$3:$L$3,0))="n.q.",NA(),INDEX(Data!$B$4:$L$947,MATCH(Graphs!$CK96,Data!$A$4:$A$947,0),MATCH(Graphs!CO$4,Data!$B$3:$L$3,0)))</f>
        <v>#N/A</v>
      </c>
      <c r="CP96" s="24" t="str">
        <f t="array" ref="CP96">IF(INDEX(Data!$B$4:$L$947,MATCH(Graphs!$CK96,Data!$A$4:$A$947,0),MATCH(Graphs!CP$4,Data!$B$3:$L$3,0))="n.q.",NA(),INDEX(Data!$B$4:$L$947,MATCH(Graphs!$CK96,Data!$A$4:$A$947,0),MATCH(Graphs!CP$4,Data!$B$3:$L$3,0)))</f>
        <v>#N/A</v>
      </c>
      <c r="CQ96" s="5"/>
      <c r="CR96" s="24">
        <f t="array" ref="CR96">IF(INDEX(Data!$P$4:$Z$947,MATCH(Graphs!$CK96,Data!$A$4:$A$947,0),MATCH(Graphs!CR$4,Data!$P$3:$Z$3,0))="n.q.",NA(),INDEX(Data!$P$4:$Z$947,MATCH(Graphs!$CK96,Data!$A$4:$A$947,0),MATCH(Graphs!CR$4,Data!$P$3:$Z$3,0)))</f>
        <v>182.0248701</v>
      </c>
      <c r="CS96" s="24">
        <f t="array" ref="CS96">IF(INDEX(Data!$P$4:$Z$947,MATCH(Graphs!$CK96,Data!$A$4:$A$947,0),MATCH(Graphs!CS$4,Data!$P$3:$Z$3,0))="n.q.",NA(),INDEX(Data!$P$4:$Z$947,MATCH(Graphs!$CK96,Data!$A$4:$A$947,0),MATCH(Graphs!CS$4,Data!$P$3:$Z$3,0)))</f>
        <v>188.51</v>
      </c>
      <c r="CT96" s="24">
        <f t="array" ref="CT96">IF(INDEX(Data!$P$4:$Z$947,MATCH(Graphs!$CK96,Data!$A$4:$A$947,0),MATCH(Graphs!CT$4,Data!$P$3:$Z$3,0))="n.q.",NA(),INDEX(Data!$P$4:$Z$947,MATCH(Graphs!$CK96,Data!$A$4:$A$947,0),MATCH(Graphs!CT$4,Data!$P$3:$Z$3,0)))</f>
        <v>157.7579807</v>
      </c>
      <c r="CU96" s="24" t="str">
        <f t="array" ref="CU96">IF(INDEX(Data!$P$4:$Z$947,MATCH(Graphs!$CK96,Data!$A$4:$A$947,0),MATCH(Graphs!CU$4,Data!$P$3:$Z$3,0))="n.q.",NA(),INDEX(Data!$P$4:$Z$947,MATCH(Graphs!$CK96,Data!$A$4:$A$947,0),MATCH(Graphs!CU$4,Data!$P$3:$Z$3,0)))</f>
        <v>#N/A</v>
      </c>
      <c r="CV96" s="24" t="str">
        <f t="array" ref="CV96">IF(INDEX(Data!$P$4:$Z$947,MATCH(Graphs!$CK96,Data!$A$4:$A$947,0),MATCH(Graphs!CV$4,Data!$P$3:$Z$3,0))="n.q.",NA(),INDEX(Data!$P$4:$Z$947,MATCH(Graphs!$CK96,Data!$A$4:$A$947,0),MATCH(Graphs!CV$4,Data!$P$3:$Z$3,0)))</f>
        <v>#N/A</v>
      </c>
    </row>
    <row r="97" ht="14.25" customHeight="1"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5"/>
      <c r="CK97" s="22">
        <f>Data!A96</f>
        <v>45322</v>
      </c>
      <c r="CL97" s="24">
        <f t="array" ref="CL97">IF(INDEX(Data!$B$4:$L$947,MATCH(Graphs!$CK97,Data!$A$4:$A$947,0),MATCH(Graphs!CL$4,Data!$B$3:$L$3,0))="n.q.",NA(),INDEX(Data!$B$4:$L$947,MATCH(Graphs!$CK97,Data!$A$4:$A$947,0),MATCH(Graphs!CL$4,Data!$B$3:$L$3,0)))</f>
        <v>234.71</v>
      </c>
      <c r="CM97" s="24">
        <f t="array" ref="CM97">IF(INDEX(Data!$B$4:$L$947,MATCH(Graphs!$CK97,Data!$A$4:$A$947,0),MATCH(Graphs!CM$4,Data!$B$3:$L$3,0))="n.q.",NA(),INDEX(Data!$B$4:$L$947,MATCH(Graphs!$CK97,Data!$A$4:$A$947,0),MATCH(Graphs!CM$4,Data!$B$3:$L$3,0)))</f>
        <v>287.34</v>
      </c>
      <c r="CN97" s="24">
        <f t="array" ref="CN97">IF(INDEX(Data!$B$4:$L$947,MATCH(Graphs!$CK97,Data!$A$4:$A$947,0),MATCH(Graphs!CN$4,Data!$B$3:$L$3,0))="n.q.",NA(),INDEX(Data!$B$4:$L$947,MATCH(Graphs!$CK97,Data!$A$4:$A$947,0),MATCH(Graphs!CN$4,Data!$B$3:$L$3,0)))</f>
        <v>188</v>
      </c>
      <c r="CO97" s="24" t="str">
        <f t="array" ref="CO97">IF(INDEX(Data!$B$4:$L$947,MATCH(Graphs!$CK97,Data!$A$4:$A$947,0),MATCH(Graphs!CO$4,Data!$B$3:$L$3,0))="n.q.",NA(),INDEX(Data!$B$4:$L$947,MATCH(Graphs!$CK97,Data!$A$4:$A$947,0),MATCH(Graphs!CO$4,Data!$B$3:$L$3,0)))</f>
        <v>#N/A</v>
      </c>
      <c r="CP97" s="24" t="str">
        <f t="array" ref="CP97">IF(INDEX(Data!$B$4:$L$947,MATCH(Graphs!$CK97,Data!$A$4:$A$947,0),MATCH(Graphs!CP$4,Data!$B$3:$L$3,0))="n.q.",NA(),INDEX(Data!$B$4:$L$947,MATCH(Graphs!$CK97,Data!$A$4:$A$947,0),MATCH(Graphs!CP$4,Data!$B$3:$L$3,0)))</f>
        <v>#N/A</v>
      </c>
      <c r="CQ97" s="5"/>
      <c r="CR97" s="24">
        <f t="array" ref="CR97">IF(INDEX(Data!$P$4:$Z$947,MATCH(Graphs!$CK97,Data!$A$4:$A$947,0),MATCH(Graphs!CR$4,Data!$P$3:$Z$3,0))="n.q.",NA(),INDEX(Data!$P$4:$Z$947,MATCH(Graphs!$CK97,Data!$A$4:$A$947,0),MATCH(Graphs!CR$4,Data!$P$3:$Z$3,0)))</f>
        <v>188.9914183</v>
      </c>
      <c r="CS97" s="24">
        <f t="array" ref="CS97">IF(INDEX(Data!$P$4:$Z$947,MATCH(Graphs!$CK97,Data!$A$4:$A$947,0),MATCH(Graphs!CS$4,Data!$P$3:$Z$3,0))="n.q.",NA(),INDEX(Data!$P$4:$Z$947,MATCH(Graphs!$CK97,Data!$A$4:$A$947,0),MATCH(Graphs!CS$4,Data!$P$3:$Z$3,0)))</f>
        <v>191.51</v>
      </c>
      <c r="CT97" s="24">
        <f t="array" ref="CT97">IF(INDEX(Data!$P$4:$Z$947,MATCH(Graphs!$CK97,Data!$A$4:$A$947,0),MATCH(Graphs!CT$4,Data!$P$3:$Z$3,0))="n.q.",NA(),INDEX(Data!$P$4:$Z$947,MATCH(Graphs!$CK97,Data!$A$4:$A$947,0),MATCH(Graphs!CT$4,Data!$P$3:$Z$3,0)))</f>
        <v>159.6382763</v>
      </c>
      <c r="CU97" s="24" t="str">
        <f t="array" ref="CU97">IF(INDEX(Data!$P$4:$Z$947,MATCH(Graphs!$CK97,Data!$A$4:$A$947,0),MATCH(Graphs!CU$4,Data!$P$3:$Z$3,0))="n.q.",NA(),INDEX(Data!$P$4:$Z$947,MATCH(Graphs!$CK97,Data!$A$4:$A$947,0),MATCH(Graphs!CU$4,Data!$P$3:$Z$3,0)))</f>
        <v>#N/A</v>
      </c>
      <c r="CV97" s="24" t="str">
        <f t="array" ref="CV97">IF(INDEX(Data!$P$4:$Z$947,MATCH(Graphs!$CK97,Data!$A$4:$A$947,0),MATCH(Graphs!CV$4,Data!$P$3:$Z$3,0))="n.q.",NA(),INDEX(Data!$P$4:$Z$947,MATCH(Graphs!$CK97,Data!$A$4:$A$947,0),MATCH(Graphs!CV$4,Data!$P$3:$Z$3,0)))</f>
        <v>#N/A</v>
      </c>
    </row>
    <row r="98" ht="14.25" customHeight="1"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5"/>
      <c r="CK98" s="22">
        <f>Data!A97</f>
        <v>45315</v>
      </c>
      <c r="CL98" s="24">
        <f t="array" ref="CL98">IF(INDEX(Data!$B$4:$L$947,MATCH(Graphs!$CK98,Data!$A$4:$A$947,0),MATCH(Graphs!CL$4,Data!$B$3:$L$3,0))="n.q.",NA(),INDEX(Data!$B$4:$L$947,MATCH(Graphs!$CK98,Data!$A$4:$A$947,0),MATCH(Graphs!CL$4,Data!$B$3:$L$3,0)))</f>
        <v>241.29</v>
      </c>
      <c r="CM98" s="24">
        <f t="array" ref="CM98">IF(INDEX(Data!$B$4:$L$947,MATCH(Graphs!$CK98,Data!$A$4:$A$947,0),MATCH(Graphs!CM$4,Data!$B$3:$L$3,0))="n.q.",NA(),INDEX(Data!$B$4:$L$947,MATCH(Graphs!$CK98,Data!$A$4:$A$947,0),MATCH(Graphs!CM$4,Data!$B$3:$L$3,0)))</f>
        <v>288.71</v>
      </c>
      <c r="CN98" s="24">
        <f t="array" ref="CN98">IF(INDEX(Data!$B$4:$L$947,MATCH(Graphs!$CK98,Data!$A$4:$A$947,0),MATCH(Graphs!CN$4,Data!$B$3:$L$3,0))="n.q.",NA(),INDEX(Data!$B$4:$L$947,MATCH(Graphs!$CK98,Data!$A$4:$A$947,0),MATCH(Graphs!CN$4,Data!$B$3:$L$3,0)))</f>
        <v>192</v>
      </c>
      <c r="CO98" s="24" t="str">
        <f t="array" ref="CO98">IF(INDEX(Data!$B$4:$L$947,MATCH(Graphs!$CK98,Data!$A$4:$A$947,0),MATCH(Graphs!CO$4,Data!$B$3:$L$3,0))="n.q.",NA(),INDEX(Data!$B$4:$L$947,MATCH(Graphs!$CK98,Data!$A$4:$A$947,0),MATCH(Graphs!CO$4,Data!$B$3:$L$3,0)))</f>
        <v>#N/A</v>
      </c>
      <c r="CP98" s="24" t="str">
        <f t="array" ref="CP98">IF(INDEX(Data!$B$4:$L$947,MATCH(Graphs!$CK98,Data!$A$4:$A$947,0),MATCH(Graphs!CP$4,Data!$B$3:$L$3,0))="n.q.",NA(),INDEX(Data!$B$4:$L$947,MATCH(Graphs!$CK98,Data!$A$4:$A$947,0),MATCH(Graphs!CP$4,Data!$B$3:$L$3,0)))</f>
        <v>#N/A</v>
      </c>
      <c r="CQ98" s="5"/>
      <c r="CR98" s="24">
        <f t="array" ref="CR98">IF(INDEX(Data!$P$4:$Z$947,MATCH(Graphs!$CK98,Data!$A$4:$A$947,0),MATCH(Graphs!CR$4,Data!$P$3:$Z$3,0))="n.q.",NA(),INDEX(Data!$P$4:$Z$947,MATCH(Graphs!$CK98,Data!$A$4:$A$947,0),MATCH(Graphs!CR$4,Data!$P$3:$Z$3,0)))</f>
        <v>189.2618065</v>
      </c>
      <c r="CS98" s="24">
        <f t="array" ref="CS98">IF(INDEX(Data!$P$4:$Z$947,MATCH(Graphs!$CK98,Data!$A$4:$A$947,0),MATCH(Graphs!CS$4,Data!$P$3:$Z$3,0))="n.q.",NA(),INDEX(Data!$P$4:$Z$947,MATCH(Graphs!$CK98,Data!$A$4:$A$947,0),MATCH(Graphs!CS$4,Data!$P$3:$Z$3,0)))</f>
        <v>196.51</v>
      </c>
      <c r="CT98" s="24">
        <f t="array" ref="CT98">IF(INDEX(Data!$P$4:$Z$947,MATCH(Graphs!$CK98,Data!$A$4:$A$947,0),MATCH(Graphs!CT$4,Data!$P$3:$Z$3,0))="n.q.",NA(),INDEX(Data!$P$4:$Z$947,MATCH(Graphs!$CK98,Data!$A$4:$A$947,0),MATCH(Graphs!CT$4,Data!$P$3:$Z$3,0)))</f>
        <v>160.4768455</v>
      </c>
      <c r="CU98" s="24" t="str">
        <f t="array" ref="CU98">IF(INDEX(Data!$P$4:$Z$947,MATCH(Graphs!$CK98,Data!$A$4:$A$947,0),MATCH(Graphs!CU$4,Data!$P$3:$Z$3,0))="n.q.",NA(),INDEX(Data!$P$4:$Z$947,MATCH(Graphs!$CK98,Data!$A$4:$A$947,0),MATCH(Graphs!CU$4,Data!$P$3:$Z$3,0)))</f>
        <v>#N/A</v>
      </c>
      <c r="CV98" s="24" t="str">
        <f t="array" ref="CV98">IF(INDEX(Data!$P$4:$Z$947,MATCH(Graphs!$CK98,Data!$A$4:$A$947,0),MATCH(Graphs!CV$4,Data!$P$3:$Z$3,0))="n.q.",NA(),INDEX(Data!$P$4:$Z$947,MATCH(Graphs!$CK98,Data!$A$4:$A$947,0),MATCH(Graphs!CV$4,Data!$P$3:$Z$3,0)))</f>
        <v>#N/A</v>
      </c>
    </row>
    <row r="99" ht="14.25" customHeight="1"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5"/>
      <c r="CK99" s="22">
        <f>Data!A98</f>
        <v>45308</v>
      </c>
      <c r="CL99" s="24">
        <f t="array" ref="CL99">IF(INDEX(Data!$B$4:$L$947,MATCH(Graphs!$CK99,Data!$A$4:$A$947,0),MATCH(Graphs!CL$4,Data!$B$3:$L$3,0))="n.q.",NA(),INDEX(Data!$B$4:$L$947,MATCH(Graphs!$CK99,Data!$A$4:$A$947,0),MATCH(Graphs!CL$4,Data!$B$3:$L$3,0)))</f>
        <v>238.17</v>
      </c>
      <c r="CM99" s="24">
        <f t="array" ref="CM99">IF(INDEX(Data!$B$4:$L$947,MATCH(Graphs!$CK99,Data!$A$4:$A$947,0),MATCH(Graphs!CM$4,Data!$B$3:$L$3,0))="n.q.",NA(),INDEX(Data!$B$4:$L$947,MATCH(Graphs!$CK99,Data!$A$4:$A$947,0),MATCH(Graphs!CM$4,Data!$B$3:$L$3,0)))</f>
        <v>273.37</v>
      </c>
      <c r="CN99" s="24">
        <f t="array" ref="CN99">IF(INDEX(Data!$B$4:$L$947,MATCH(Graphs!$CK99,Data!$A$4:$A$947,0),MATCH(Graphs!CN$4,Data!$B$3:$L$3,0))="n.q.",NA(),INDEX(Data!$B$4:$L$947,MATCH(Graphs!$CK99,Data!$A$4:$A$947,0),MATCH(Graphs!CN$4,Data!$B$3:$L$3,0)))</f>
        <v>192</v>
      </c>
      <c r="CO99" s="24" t="str">
        <f t="array" ref="CO99">IF(INDEX(Data!$B$4:$L$947,MATCH(Graphs!$CK99,Data!$A$4:$A$947,0),MATCH(Graphs!CO$4,Data!$B$3:$L$3,0))="n.q.",NA(),INDEX(Data!$B$4:$L$947,MATCH(Graphs!$CK99,Data!$A$4:$A$947,0),MATCH(Graphs!CO$4,Data!$B$3:$L$3,0)))</f>
        <v>#N/A</v>
      </c>
      <c r="CP99" s="24" t="str">
        <f t="array" ref="CP99">IF(INDEX(Data!$B$4:$L$947,MATCH(Graphs!$CK99,Data!$A$4:$A$947,0),MATCH(Graphs!CP$4,Data!$B$3:$L$3,0))="n.q.",NA(),INDEX(Data!$B$4:$L$947,MATCH(Graphs!$CK99,Data!$A$4:$A$947,0),MATCH(Graphs!CP$4,Data!$B$3:$L$3,0)))</f>
        <v>#N/A</v>
      </c>
      <c r="CQ99" s="5"/>
      <c r="CR99" s="24">
        <f t="array" ref="CR99">IF(INDEX(Data!$P$4:$Z$947,MATCH(Graphs!$CK99,Data!$A$4:$A$947,0),MATCH(Graphs!CR$4,Data!$P$3:$Z$3,0))="n.q.",NA(),INDEX(Data!$P$4:$Z$947,MATCH(Graphs!$CK99,Data!$A$4:$A$947,0),MATCH(Graphs!CR$4,Data!$P$3:$Z$3,0)))</f>
        <v>185.4003861</v>
      </c>
      <c r="CS99" s="24">
        <f t="array" ref="CS99">IF(INDEX(Data!$P$4:$Z$947,MATCH(Graphs!$CK99,Data!$A$4:$A$947,0),MATCH(Graphs!CS$4,Data!$P$3:$Z$3,0))="n.q.",NA(),INDEX(Data!$P$4:$Z$947,MATCH(Graphs!$CK99,Data!$A$4:$A$947,0),MATCH(Graphs!CS$4,Data!$P$3:$Z$3,0)))</f>
        <v>193.58</v>
      </c>
      <c r="CT99" s="24">
        <f t="array" ref="CT99">IF(INDEX(Data!$P$4:$Z$947,MATCH(Graphs!$CK99,Data!$A$4:$A$947,0),MATCH(Graphs!CT$4,Data!$P$3:$Z$3,0))="n.q.",NA(),INDEX(Data!$P$4:$Z$947,MATCH(Graphs!$CK99,Data!$A$4:$A$947,0),MATCH(Graphs!CT$4,Data!$P$3:$Z$3,0)))</f>
        <v>165.486807</v>
      </c>
      <c r="CU99" s="24" t="str">
        <f t="array" ref="CU99">IF(INDEX(Data!$P$4:$Z$947,MATCH(Graphs!$CK99,Data!$A$4:$A$947,0),MATCH(Graphs!CU$4,Data!$P$3:$Z$3,0))="n.q.",NA(),INDEX(Data!$P$4:$Z$947,MATCH(Graphs!$CK99,Data!$A$4:$A$947,0),MATCH(Graphs!CU$4,Data!$P$3:$Z$3,0)))</f>
        <v>#N/A</v>
      </c>
      <c r="CV99" s="24" t="str">
        <f t="array" ref="CV99">IF(INDEX(Data!$P$4:$Z$947,MATCH(Graphs!$CK99,Data!$A$4:$A$947,0),MATCH(Graphs!CV$4,Data!$P$3:$Z$3,0))="n.q.",NA(),INDEX(Data!$P$4:$Z$947,MATCH(Graphs!$CK99,Data!$A$4:$A$947,0),MATCH(Graphs!CV$4,Data!$P$3:$Z$3,0)))</f>
        <v>#N/A</v>
      </c>
    </row>
    <row r="100" ht="14.25" customHeight="1"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5"/>
      <c r="CK100" s="22">
        <f>Data!A99</f>
        <v>45301</v>
      </c>
      <c r="CL100" s="24">
        <f t="array" ref="CL100">IF(INDEX(Data!$B$4:$L$947,MATCH(Graphs!$CK100,Data!$A$4:$A$947,0),MATCH(Graphs!CL$4,Data!$B$3:$L$3,0))="n.q.",NA(),INDEX(Data!$B$4:$L$947,MATCH(Graphs!$CK100,Data!$A$4:$A$947,0),MATCH(Graphs!CL$4,Data!$B$3:$L$3,0)))</f>
        <v>244.77</v>
      </c>
      <c r="CM100" s="24">
        <f t="array" ref="CM100">IF(INDEX(Data!$B$4:$L$947,MATCH(Graphs!$CK100,Data!$A$4:$A$947,0),MATCH(Graphs!CM$4,Data!$B$3:$L$3,0))="n.q.",NA(),INDEX(Data!$B$4:$L$947,MATCH(Graphs!$CK100,Data!$A$4:$A$947,0),MATCH(Graphs!CM$4,Data!$B$3:$L$3,0)))</f>
        <v>284.58</v>
      </c>
      <c r="CN100" s="24" t="str">
        <f t="array" ref="CN100">IF(INDEX(Data!$B$4:$L$947,MATCH(Graphs!$CK100,Data!$A$4:$A$947,0),MATCH(Graphs!CN$4,Data!$B$3:$L$3,0))="n.q.",NA(),INDEX(Data!$B$4:$L$947,MATCH(Graphs!$CK100,Data!$A$4:$A$947,0),MATCH(Graphs!CN$4,Data!$B$3:$L$3,0)))</f>
        <v>#N/A</v>
      </c>
      <c r="CO100" s="24" t="str">
        <f t="array" ref="CO100">IF(INDEX(Data!$B$4:$L$947,MATCH(Graphs!$CK100,Data!$A$4:$A$947,0),MATCH(Graphs!CO$4,Data!$B$3:$L$3,0))="n.q.",NA(),INDEX(Data!$B$4:$L$947,MATCH(Graphs!$CK100,Data!$A$4:$A$947,0),MATCH(Graphs!CO$4,Data!$B$3:$L$3,0)))</f>
        <v>#N/A</v>
      </c>
      <c r="CP100" s="24" t="str">
        <f t="array" ref="CP100">IF(INDEX(Data!$B$4:$L$947,MATCH(Graphs!$CK100,Data!$A$4:$A$947,0),MATCH(Graphs!CP$4,Data!$B$3:$L$3,0))="n.q.",NA(),INDEX(Data!$B$4:$L$947,MATCH(Graphs!$CK100,Data!$A$4:$A$947,0),MATCH(Graphs!CP$4,Data!$B$3:$L$3,0)))</f>
        <v>#N/A</v>
      </c>
      <c r="CQ100" s="5"/>
      <c r="CR100" s="24">
        <f t="array" ref="CR100">IF(INDEX(Data!$P$4:$Z$947,MATCH(Graphs!$CK100,Data!$A$4:$A$947,0),MATCH(Graphs!CR$4,Data!$P$3:$Z$3,0))="n.q.",NA(),INDEX(Data!$P$4:$Z$947,MATCH(Graphs!$CK100,Data!$A$4:$A$947,0),MATCH(Graphs!CR$4,Data!$P$3:$Z$3,0)))</f>
        <v>187.5662342</v>
      </c>
      <c r="CS100" s="24">
        <f t="array" ref="CS100">IF(INDEX(Data!$P$4:$Z$947,MATCH(Graphs!$CK100,Data!$A$4:$A$947,0),MATCH(Graphs!CS$4,Data!$P$3:$Z$3,0))="n.q.",NA(),INDEX(Data!$P$4:$Z$947,MATCH(Graphs!$CK100,Data!$A$4:$A$947,0),MATCH(Graphs!CS$4,Data!$P$3:$Z$3,0)))</f>
        <v>202.1173196</v>
      </c>
      <c r="CT100" s="24" t="str">
        <f t="array" ref="CT100">IF(INDEX(Data!$P$4:$Z$947,MATCH(Graphs!$CK100,Data!$A$4:$A$947,0),MATCH(Graphs!CT$4,Data!$P$3:$Z$3,0))="n.q.",NA(),INDEX(Data!$P$4:$Z$947,MATCH(Graphs!$CK100,Data!$A$4:$A$947,0),MATCH(Graphs!CT$4,Data!$P$3:$Z$3,0)))</f>
        <v>#N/A</v>
      </c>
      <c r="CU100" s="24" t="str">
        <f t="array" ref="CU100">IF(INDEX(Data!$P$4:$Z$947,MATCH(Graphs!$CK100,Data!$A$4:$A$947,0),MATCH(Graphs!CU$4,Data!$P$3:$Z$3,0))="n.q.",NA(),INDEX(Data!$P$4:$Z$947,MATCH(Graphs!$CK100,Data!$A$4:$A$947,0),MATCH(Graphs!CU$4,Data!$P$3:$Z$3,0)))</f>
        <v>#N/A</v>
      </c>
      <c r="CV100" s="24" t="str">
        <f t="array" ref="CV100">IF(INDEX(Data!$P$4:$Z$947,MATCH(Graphs!$CK100,Data!$A$4:$A$947,0),MATCH(Graphs!CV$4,Data!$P$3:$Z$3,0))="n.q.",NA(),INDEX(Data!$P$4:$Z$947,MATCH(Graphs!$CK100,Data!$A$4:$A$947,0),MATCH(Graphs!CV$4,Data!$P$3:$Z$3,0)))</f>
        <v>#N/A</v>
      </c>
    </row>
    <row r="101" ht="14.25" customHeight="1"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5"/>
      <c r="CK101" s="22">
        <f>Data!A100</f>
        <v>45294</v>
      </c>
      <c r="CL101" s="24">
        <f t="array" ref="CL101">IF(INDEX(Data!$B$4:$L$947,MATCH(Graphs!$CK101,Data!$A$4:$A$947,0),MATCH(Graphs!CL$4,Data!$B$3:$L$3,0))="n.q.",NA(),INDEX(Data!$B$4:$L$947,MATCH(Graphs!$CK101,Data!$A$4:$A$947,0),MATCH(Graphs!CL$4,Data!$B$3:$L$3,0)))</f>
        <v>241.44</v>
      </c>
      <c r="CM101" s="24">
        <f t="array" ref="CM101">IF(INDEX(Data!$B$4:$L$947,MATCH(Graphs!$CK101,Data!$A$4:$A$947,0),MATCH(Graphs!CM$4,Data!$B$3:$L$3,0))="n.q.",NA(),INDEX(Data!$B$4:$L$947,MATCH(Graphs!$CK101,Data!$A$4:$A$947,0),MATCH(Graphs!CM$4,Data!$B$3:$L$3,0)))</f>
        <v>283.48</v>
      </c>
      <c r="CN101" s="24" t="str">
        <f t="array" ref="CN101">IF(INDEX(Data!$B$4:$L$947,MATCH(Graphs!$CK101,Data!$A$4:$A$947,0),MATCH(Graphs!CN$4,Data!$B$3:$L$3,0))="n.q.",NA(),INDEX(Data!$B$4:$L$947,MATCH(Graphs!$CK101,Data!$A$4:$A$947,0),MATCH(Graphs!CN$4,Data!$B$3:$L$3,0)))</f>
        <v>#N/A</v>
      </c>
      <c r="CO101" s="24" t="str">
        <f t="array" ref="CO101">IF(INDEX(Data!$B$4:$L$947,MATCH(Graphs!$CK101,Data!$A$4:$A$947,0),MATCH(Graphs!CO$4,Data!$B$3:$L$3,0))="n.q.",NA(),INDEX(Data!$B$4:$L$947,MATCH(Graphs!$CK101,Data!$A$4:$A$947,0),MATCH(Graphs!CO$4,Data!$B$3:$L$3,0)))</f>
        <v>#N/A</v>
      </c>
      <c r="CP101" s="24" t="str">
        <f t="array" ref="CP101">IF(INDEX(Data!$B$4:$L$947,MATCH(Graphs!$CK101,Data!$A$4:$A$947,0),MATCH(Graphs!CP$4,Data!$B$3:$L$3,0))="n.q.",NA(),INDEX(Data!$B$4:$L$947,MATCH(Graphs!$CK101,Data!$A$4:$A$947,0),MATCH(Graphs!CP$4,Data!$B$3:$L$3,0)))</f>
        <v>#N/A</v>
      </c>
      <c r="CQ101" s="5"/>
      <c r="CR101" s="24">
        <f t="array" ref="CR101">IF(INDEX(Data!$P$4:$Z$947,MATCH(Graphs!$CK101,Data!$A$4:$A$947,0),MATCH(Graphs!CR$4,Data!$P$3:$Z$3,0))="n.q.",NA(),INDEX(Data!$P$4:$Z$947,MATCH(Graphs!$CK101,Data!$A$4:$A$947,0),MATCH(Graphs!CR$4,Data!$P$3:$Z$3,0)))</f>
        <v>188.652807</v>
      </c>
      <c r="CS101" s="24" t="str">
        <f t="array" ref="CS101">IF(INDEX(Data!$P$4:$Z$947,MATCH(Graphs!$CK101,Data!$A$4:$A$947,0),MATCH(Graphs!CS$4,Data!$P$3:$Z$3,0))="n.q.",NA(),INDEX(Data!$P$4:$Z$947,MATCH(Graphs!$CK101,Data!$A$4:$A$947,0),MATCH(Graphs!CS$4,Data!$P$3:$Z$3,0)))</f>
        <v>#N/A</v>
      </c>
      <c r="CT101" s="24" t="str">
        <f t="array" ref="CT101">IF(INDEX(Data!$P$4:$Z$947,MATCH(Graphs!$CK101,Data!$A$4:$A$947,0),MATCH(Graphs!CT$4,Data!$P$3:$Z$3,0))="n.q.",NA(),INDEX(Data!$P$4:$Z$947,MATCH(Graphs!$CK101,Data!$A$4:$A$947,0),MATCH(Graphs!CT$4,Data!$P$3:$Z$3,0)))</f>
        <v>#N/A</v>
      </c>
      <c r="CU101" s="24" t="str">
        <f t="array" ref="CU101">IF(INDEX(Data!$P$4:$Z$947,MATCH(Graphs!$CK101,Data!$A$4:$A$947,0),MATCH(Graphs!CU$4,Data!$P$3:$Z$3,0))="n.q.",NA(),INDEX(Data!$P$4:$Z$947,MATCH(Graphs!$CK101,Data!$A$4:$A$947,0),MATCH(Graphs!CU$4,Data!$P$3:$Z$3,0)))</f>
        <v>#N/A</v>
      </c>
      <c r="CV101" s="24" t="str">
        <f t="array" ref="CV101">IF(INDEX(Data!$P$4:$Z$947,MATCH(Graphs!$CK101,Data!$A$4:$A$947,0),MATCH(Graphs!CV$4,Data!$P$3:$Z$3,0))="n.q.",NA(),INDEX(Data!$P$4:$Z$947,MATCH(Graphs!$CK101,Data!$A$4:$A$947,0),MATCH(Graphs!CV$4,Data!$P$3:$Z$3,0)))</f>
        <v>#N/A</v>
      </c>
    </row>
    <row r="102" ht="14.25" customHeight="1"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5"/>
      <c r="CK102" s="22">
        <f>Data!A101</f>
        <v>45287</v>
      </c>
      <c r="CL102" s="24">
        <f t="array" ref="CL102">IF(INDEX(Data!$B$4:$L$947,MATCH(Graphs!$CK102,Data!$A$4:$A$947,0),MATCH(Graphs!CL$4,Data!$B$3:$L$3,0))="n.q.",NA(),INDEX(Data!$B$4:$L$947,MATCH(Graphs!$CK102,Data!$A$4:$A$947,0),MATCH(Graphs!CL$4,Data!$B$3:$L$3,0)))</f>
        <v>246.03</v>
      </c>
      <c r="CM102" s="24">
        <f t="array" ref="CM102">IF(INDEX(Data!$B$4:$L$947,MATCH(Graphs!$CK102,Data!$A$4:$A$947,0),MATCH(Graphs!CM$4,Data!$B$3:$L$3,0))="n.q.",NA(),INDEX(Data!$B$4:$L$947,MATCH(Graphs!$CK102,Data!$A$4:$A$947,0),MATCH(Graphs!CM$4,Data!$B$3:$L$3,0)))</f>
        <v>288.44</v>
      </c>
      <c r="CN102" s="24" t="str">
        <f t="array" ref="CN102">IF(INDEX(Data!$B$4:$L$947,MATCH(Graphs!$CK102,Data!$A$4:$A$947,0),MATCH(Graphs!CN$4,Data!$B$3:$L$3,0))="n.q.",NA(),INDEX(Data!$B$4:$L$947,MATCH(Graphs!$CK102,Data!$A$4:$A$947,0),MATCH(Graphs!CN$4,Data!$B$3:$L$3,0)))</f>
        <v>#N/A</v>
      </c>
      <c r="CO102" s="24" t="str">
        <f t="array" ref="CO102">IF(INDEX(Data!$B$4:$L$947,MATCH(Graphs!$CK102,Data!$A$4:$A$947,0),MATCH(Graphs!CO$4,Data!$B$3:$L$3,0))="n.q.",NA(),INDEX(Data!$B$4:$L$947,MATCH(Graphs!$CK102,Data!$A$4:$A$947,0),MATCH(Graphs!CO$4,Data!$B$3:$L$3,0)))</f>
        <v>#N/A</v>
      </c>
      <c r="CP102" s="24" t="str">
        <f t="array" ref="CP102">IF(INDEX(Data!$B$4:$L$947,MATCH(Graphs!$CK102,Data!$A$4:$A$947,0),MATCH(Graphs!CP$4,Data!$B$3:$L$3,0))="n.q.",NA(),INDEX(Data!$B$4:$L$947,MATCH(Graphs!$CK102,Data!$A$4:$A$947,0),MATCH(Graphs!CP$4,Data!$B$3:$L$3,0)))</f>
        <v>#N/A</v>
      </c>
      <c r="CQ102" s="5"/>
      <c r="CR102" s="24">
        <f t="array" ref="CR102">IF(INDEX(Data!$P$4:$Z$947,MATCH(Graphs!$CK102,Data!$A$4:$A$947,0),MATCH(Graphs!CR$4,Data!$P$3:$Z$3,0))="n.q.",NA(),INDEX(Data!$P$4:$Z$947,MATCH(Graphs!$CK102,Data!$A$4:$A$947,0),MATCH(Graphs!CR$4,Data!$P$3:$Z$3,0)))</f>
        <v>190.1671939</v>
      </c>
      <c r="CS102" s="24" t="str">
        <f t="array" ref="CS102">IF(INDEX(Data!$P$4:$Z$947,MATCH(Graphs!$CK102,Data!$A$4:$A$947,0),MATCH(Graphs!CS$4,Data!$P$3:$Z$3,0))="n.q.",NA(),INDEX(Data!$P$4:$Z$947,MATCH(Graphs!$CK102,Data!$A$4:$A$947,0),MATCH(Graphs!CS$4,Data!$P$3:$Z$3,0)))</f>
        <v>#N/A</v>
      </c>
      <c r="CT102" s="24" t="str">
        <f t="array" ref="CT102">IF(INDEX(Data!$P$4:$Z$947,MATCH(Graphs!$CK102,Data!$A$4:$A$947,0),MATCH(Graphs!CT$4,Data!$P$3:$Z$3,0))="n.q.",NA(),INDEX(Data!$P$4:$Z$947,MATCH(Graphs!$CK102,Data!$A$4:$A$947,0),MATCH(Graphs!CT$4,Data!$P$3:$Z$3,0)))</f>
        <v>#N/A</v>
      </c>
      <c r="CU102" s="24" t="str">
        <f t="array" ref="CU102">IF(INDEX(Data!$P$4:$Z$947,MATCH(Graphs!$CK102,Data!$A$4:$A$947,0),MATCH(Graphs!CU$4,Data!$P$3:$Z$3,0))="n.q.",NA(),INDEX(Data!$P$4:$Z$947,MATCH(Graphs!$CK102,Data!$A$4:$A$947,0),MATCH(Graphs!CU$4,Data!$P$3:$Z$3,0)))</f>
        <v>#N/A</v>
      </c>
      <c r="CV102" s="24" t="str">
        <f t="array" ref="CV102">IF(INDEX(Data!$P$4:$Z$947,MATCH(Graphs!$CK102,Data!$A$4:$A$947,0),MATCH(Graphs!CV$4,Data!$P$3:$Z$3,0))="n.q.",NA(),INDEX(Data!$P$4:$Z$947,MATCH(Graphs!$CK102,Data!$A$4:$A$947,0),MATCH(Graphs!CV$4,Data!$P$3:$Z$3,0)))</f>
        <v>#N/A</v>
      </c>
    </row>
    <row r="103" ht="14.25" customHeight="1"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5"/>
      <c r="CK103" s="22">
        <f>Data!A102</f>
        <v>45280</v>
      </c>
      <c r="CL103" s="24">
        <f t="array" ref="CL103">IF(INDEX(Data!$B$4:$L$947,MATCH(Graphs!$CK103,Data!$A$4:$A$947,0),MATCH(Graphs!CL$4,Data!$B$3:$L$3,0))="n.q.",NA(),INDEX(Data!$B$4:$L$947,MATCH(Graphs!$CK103,Data!$A$4:$A$947,0),MATCH(Graphs!CL$4,Data!$B$3:$L$3,0)))</f>
        <v>244.25</v>
      </c>
      <c r="CM103" s="24">
        <f t="array" ref="CM103">IF(INDEX(Data!$B$4:$L$947,MATCH(Graphs!$CK103,Data!$A$4:$A$947,0),MATCH(Graphs!CM$4,Data!$B$3:$L$3,0))="n.q.",NA(),INDEX(Data!$B$4:$L$947,MATCH(Graphs!$CK103,Data!$A$4:$A$947,0),MATCH(Graphs!CM$4,Data!$B$3:$L$3,0)))</f>
        <v>282.93</v>
      </c>
      <c r="CN103" s="24" t="str">
        <f t="array" ref="CN103">IF(INDEX(Data!$B$4:$L$947,MATCH(Graphs!$CK103,Data!$A$4:$A$947,0),MATCH(Graphs!CN$4,Data!$B$3:$L$3,0))="n.q.",NA(),INDEX(Data!$B$4:$L$947,MATCH(Graphs!$CK103,Data!$A$4:$A$947,0),MATCH(Graphs!CN$4,Data!$B$3:$L$3,0)))</f>
        <v>#N/A</v>
      </c>
      <c r="CO103" s="24" t="str">
        <f t="array" ref="CO103">IF(INDEX(Data!$B$4:$L$947,MATCH(Graphs!$CK103,Data!$A$4:$A$947,0),MATCH(Graphs!CO$4,Data!$B$3:$L$3,0))="n.q.",NA(),INDEX(Data!$B$4:$L$947,MATCH(Graphs!$CK103,Data!$A$4:$A$947,0),MATCH(Graphs!CO$4,Data!$B$3:$L$3,0)))</f>
        <v>#N/A</v>
      </c>
      <c r="CP103" s="24" t="str">
        <f t="array" ref="CP103">IF(INDEX(Data!$B$4:$L$947,MATCH(Graphs!$CK103,Data!$A$4:$A$947,0),MATCH(Graphs!CP$4,Data!$B$3:$L$3,0))="n.q.",NA(),INDEX(Data!$B$4:$L$947,MATCH(Graphs!$CK103,Data!$A$4:$A$947,0),MATCH(Graphs!CP$4,Data!$B$3:$L$3,0)))</f>
        <v>#N/A</v>
      </c>
      <c r="CQ103" s="5"/>
      <c r="CR103" s="24">
        <f t="array" ref="CR103">IF(INDEX(Data!$P$4:$Z$947,MATCH(Graphs!$CK103,Data!$A$4:$A$947,0),MATCH(Graphs!CR$4,Data!$P$3:$Z$3,0))="n.q.",NA(),INDEX(Data!$P$4:$Z$947,MATCH(Graphs!$CK103,Data!$A$4:$A$947,0),MATCH(Graphs!CR$4,Data!$P$3:$Z$3,0)))</f>
        <v>189.8483187</v>
      </c>
      <c r="CS103" s="24">
        <f t="array" ref="CS103">IF(INDEX(Data!$P$4:$Z$947,MATCH(Graphs!$CK103,Data!$A$4:$A$947,0),MATCH(Graphs!CS$4,Data!$P$3:$Z$3,0))="n.q.",NA(),INDEX(Data!$P$4:$Z$947,MATCH(Graphs!$CK103,Data!$A$4:$A$947,0),MATCH(Graphs!CS$4,Data!$P$3:$Z$3,0)))</f>
        <v>204.4</v>
      </c>
      <c r="CT103" s="24" t="str">
        <f t="array" ref="CT103">IF(INDEX(Data!$P$4:$Z$947,MATCH(Graphs!$CK103,Data!$A$4:$A$947,0),MATCH(Graphs!CT$4,Data!$P$3:$Z$3,0))="n.q.",NA(),INDEX(Data!$P$4:$Z$947,MATCH(Graphs!$CK103,Data!$A$4:$A$947,0),MATCH(Graphs!CT$4,Data!$P$3:$Z$3,0)))</f>
        <v>#N/A</v>
      </c>
      <c r="CU103" s="24" t="str">
        <f t="array" ref="CU103">IF(INDEX(Data!$P$4:$Z$947,MATCH(Graphs!$CK103,Data!$A$4:$A$947,0),MATCH(Graphs!CU$4,Data!$P$3:$Z$3,0))="n.q.",NA(),INDEX(Data!$P$4:$Z$947,MATCH(Graphs!$CK103,Data!$A$4:$A$947,0),MATCH(Graphs!CU$4,Data!$P$3:$Z$3,0)))</f>
        <v>#N/A</v>
      </c>
      <c r="CV103" s="24" t="str">
        <f t="array" ref="CV103">IF(INDEX(Data!$P$4:$Z$947,MATCH(Graphs!$CK103,Data!$A$4:$A$947,0),MATCH(Graphs!CV$4,Data!$P$3:$Z$3,0))="n.q.",NA(),INDEX(Data!$P$4:$Z$947,MATCH(Graphs!$CK103,Data!$A$4:$A$947,0),MATCH(Graphs!CV$4,Data!$P$3:$Z$3,0)))</f>
        <v>#N/A</v>
      </c>
    </row>
    <row r="104" ht="14.25" customHeight="1"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5"/>
      <c r="CK104" s="22">
        <f>Data!A103</f>
        <v>45273</v>
      </c>
      <c r="CL104" s="24">
        <f t="array" ref="CL104">IF(INDEX(Data!$B$4:$L$947,MATCH(Graphs!$CK104,Data!$A$4:$A$947,0),MATCH(Graphs!CL$4,Data!$B$3:$L$3,0))="n.q.",NA(),INDEX(Data!$B$4:$L$947,MATCH(Graphs!$CK104,Data!$A$4:$A$947,0),MATCH(Graphs!CL$4,Data!$B$3:$L$3,0)))</f>
        <v>246.49</v>
      </c>
      <c r="CM104" s="24">
        <f t="array" ref="CM104">IF(INDEX(Data!$B$4:$L$947,MATCH(Graphs!$CK104,Data!$A$4:$A$947,0),MATCH(Graphs!CM$4,Data!$B$3:$L$3,0))="n.q.",NA(),INDEX(Data!$B$4:$L$947,MATCH(Graphs!$CK104,Data!$A$4:$A$947,0),MATCH(Graphs!CM$4,Data!$B$3:$L$3,0)))</f>
        <v>287.34</v>
      </c>
      <c r="CN104" s="24" t="str">
        <f t="array" ref="CN104">IF(INDEX(Data!$B$4:$L$947,MATCH(Graphs!$CK104,Data!$A$4:$A$947,0),MATCH(Graphs!CN$4,Data!$B$3:$L$3,0))="n.q.",NA(),INDEX(Data!$B$4:$L$947,MATCH(Graphs!$CK104,Data!$A$4:$A$947,0),MATCH(Graphs!CN$4,Data!$B$3:$L$3,0)))</f>
        <v>#N/A</v>
      </c>
      <c r="CO104" s="24" t="str">
        <f t="array" ref="CO104">IF(INDEX(Data!$B$4:$L$947,MATCH(Graphs!$CK104,Data!$A$4:$A$947,0),MATCH(Graphs!CO$4,Data!$B$3:$L$3,0))="n.q.",NA(),INDEX(Data!$B$4:$L$947,MATCH(Graphs!$CK104,Data!$A$4:$A$947,0),MATCH(Graphs!CO$4,Data!$B$3:$L$3,0)))</f>
        <v>#N/A</v>
      </c>
      <c r="CP104" s="24" t="str">
        <f t="array" ref="CP104">IF(INDEX(Data!$B$4:$L$947,MATCH(Graphs!$CK104,Data!$A$4:$A$947,0),MATCH(Graphs!CP$4,Data!$B$3:$L$3,0))="n.q.",NA(),INDEX(Data!$B$4:$L$947,MATCH(Graphs!$CK104,Data!$A$4:$A$947,0),MATCH(Graphs!CP$4,Data!$B$3:$L$3,0)))</f>
        <v>#N/A</v>
      </c>
      <c r="CQ104" s="5"/>
      <c r="CR104" s="24">
        <f t="array" ref="CR104">IF(INDEX(Data!$P$4:$Z$947,MATCH(Graphs!$CK104,Data!$A$4:$A$947,0),MATCH(Graphs!CR$4,Data!$P$3:$Z$3,0))="n.q.",NA(),INDEX(Data!$P$4:$Z$947,MATCH(Graphs!$CK104,Data!$A$4:$A$947,0),MATCH(Graphs!CR$4,Data!$P$3:$Z$3,0)))</f>
        <v>196.1620469</v>
      </c>
      <c r="CS104" s="24">
        <f t="array" ref="CS104">IF(INDEX(Data!$P$4:$Z$947,MATCH(Graphs!$CK104,Data!$A$4:$A$947,0),MATCH(Graphs!CS$4,Data!$P$3:$Z$3,0))="n.q.",NA(),INDEX(Data!$P$4:$Z$947,MATCH(Graphs!$CK104,Data!$A$4:$A$947,0),MATCH(Graphs!CS$4,Data!$P$3:$Z$3,0)))</f>
        <v>204.65</v>
      </c>
      <c r="CT104" s="24" t="str">
        <f t="array" ref="CT104">IF(INDEX(Data!$P$4:$Z$947,MATCH(Graphs!$CK104,Data!$A$4:$A$947,0),MATCH(Graphs!CT$4,Data!$P$3:$Z$3,0))="n.q.",NA(),INDEX(Data!$P$4:$Z$947,MATCH(Graphs!$CK104,Data!$A$4:$A$947,0),MATCH(Graphs!CT$4,Data!$P$3:$Z$3,0)))</f>
        <v>#N/A</v>
      </c>
      <c r="CU104" s="24" t="str">
        <f t="array" ref="CU104">IF(INDEX(Data!$P$4:$Z$947,MATCH(Graphs!$CK104,Data!$A$4:$A$947,0),MATCH(Graphs!CU$4,Data!$P$3:$Z$3,0))="n.q.",NA(),INDEX(Data!$P$4:$Z$947,MATCH(Graphs!$CK104,Data!$A$4:$A$947,0),MATCH(Graphs!CU$4,Data!$P$3:$Z$3,0)))</f>
        <v>#N/A</v>
      </c>
      <c r="CV104" s="24" t="str">
        <f t="array" ref="CV104">IF(INDEX(Data!$P$4:$Z$947,MATCH(Graphs!$CK104,Data!$A$4:$A$947,0),MATCH(Graphs!CV$4,Data!$P$3:$Z$3,0))="n.q.",NA(),INDEX(Data!$P$4:$Z$947,MATCH(Graphs!$CK104,Data!$A$4:$A$947,0),MATCH(Graphs!CV$4,Data!$P$3:$Z$3,0)))</f>
        <v>#N/A</v>
      </c>
    </row>
    <row r="105" ht="14.25" customHeight="1"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5"/>
      <c r="CK105" s="22">
        <f>Data!A104</f>
        <v>45266</v>
      </c>
      <c r="CL105" s="24">
        <f t="array" ref="CL105">IF(INDEX(Data!$B$4:$L$947,MATCH(Graphs!$CK105,Data!$A$4:$A$947,0),MATCH(Graphs!CL$4,Data!$B$3:$L$3,0))="n.q.",NA(),INDEX(Data!$B$4:$L$947,MATCH(Graphs!$CK105,Data!$A$4:$A$947,0),MATCH(Graphs!CL$4,Data!$B$3:$L$3,0)))</f>
        <v>249.68</v>
      </c>
      <c r="CM105" s="24">
        <f t="array" ref="CM105">IF(INDEX(Data!$B$4:$L$947,MATCH(Graphs!$CK105,Data!$A$4:$A$947,0),MATCH(Graphs!CM$4,Data!$B$3:$L$3,0))="n.q.",NA(),INDEX(Data!$B$4:$L$947,MATCH(Graphs!$CK105,Data!$A$4:$A$947,0),MATCH(Graphs!CM$4,Data!$B$3:$L$3,0)))</f>
        <v>294.32</v>
      </c>
      <c r="CN105" s="24" t="str">
        <f t="array" ref="CN105">IF(INDEX(Data!$B$4:$L$947,MATCH(Graphs!$CK105,Data!$A$4:$A$947,0),MATCH(Graphs!CN$4,Data!$B$3:$L$3,0))="n.q.",NA(),INDEX(Data!$B$4:$L$947,MATCH(Graphs!$CK105,Data!$A$4:$A$947,0),MATCH(Graphs!CN$4,Data!$B$3:$L$3,0)))</f>
        <v>#N/A</v>
      </c>
      <c r="CO105" s="24" t="str">
        <f t="array" ref="CO105">IF(INDEX(Data!$B$4:$L$947,MATCH(Graphs!$CK105,Data!$A$4:$A$947,0),MATCH(Graphs!CO$4,Data!$B$3:$L$3,0))="n.q.",NA(),INDEX(Data!$B$4:$L$947,MATCH(Graphs!$CK105,Data!$A$4:$A$947,0),MATCH(Graphs!CO$4,Data!$B$3:$L$3,0)))</f>
        <v>#N/A</v>
      </c>
      <c r="CP105" s="24" t="str">
        <f t="array" ref="CP105">IF(INDEX(Data!$B$4:$L$947,MATCH(Graphs!$CK105,Data!$A$4:$A$947,0),MATCH(Graphs!CP$4,Data!$B$3:$L$3,0))="n.q.",NA(),INDEX(Data!$B$4:$L$947,MATCH(Graphs!$CK105,Data!$A$4:$A$947,0),MATCH(Graphs!CP$4,Data!$B$3:$L$3,0)))</f>
        <v>#N/A</v>
      </c>
      <c r="CQ105" s="5"/>
      <c r="CR105" s="24">
        <f t="array" ref="CR105">IF(INDEX(Data!$P$4:$Z$947,MATCH(Graphs!$CK105,Data!$A$4:$A$947,0),MATCH(Graphs!CR$4,Data!$P$3:$Z$3,0))="n.q.",NA(),INDEX(Data!$P$4:$Z$947,MATCH(Graphs!$CK105,Data!$A$4:$A$947,0),MATCH(Graphs!CR$4,Data!$P$3:$Z$3,0)))</f>
        <v>197.6990165</v>
      </c>
      <c r="CS105" s="24">
        <f t="array" ref="CS105">IF(INDEX(Data!$P$4:$Z$947,MATCH(Graphs!$CK105,Data!$A$4:$A$947,0),MATCH(Graphs!CS$4,Data!$P$3:$Z$3,0))="n.q.",NA(),INDEX(Data!$P$4:$Z$947,MATCH(Graphs!$CK105,Data!$A$4:$A$947,0),MATCH(Graphs!CS$4,Data!$P$3:$Z$3,0)))</f>
        <v>207.65</v>
      </c>
      <c r="CT105" s="24" t="str">
        <f t="array" ref="CT105">IF(INDEX(Data!$P$4:$Z$947,MATCH(Graphs!$CK105,Data!$A$4:$A$947,0),MATCH(Graphs!CT$4,Data!$P$3:$Z$3,0))="n.q.",NA(),INDEX(Data!$P$4:$Z$947,MATCH(Graphs!$CK105,Data!$A$4:$A$947,0),MATCH(Graphs!CT$4,Data!$P$3:$Z$3,0)))</f>
        <v>#N/A</v>
      </c>
      <c r="CU105" s="24" t="str">
        <f t="array" ref="CU105">IF(INDEX(Data!$P$4:$Z$947,MATCH(Graphs!$CK105,Data!$A$4:$A$947,0),MATCH(Graphs!CU$4,Data!$P$3:$Z$3,0))="n.q.",NA(),INDEX(Data!$P$4:$Z$947,MATCH(Graphs!$CK105,Data!$A$4:$A$947,0),MATCH(Graphs!CU$4,Data!$P$3:$Z$3,0)))</f>
        <v>#N/A</v>
      </c>
      <c r="CV105" s="24" t="str">
        <f t="array" ref="CV105">IF(INDEX(Data!$P$4:$Z$947,MATCH(Graphs!$CK105,Data!$A$4:$A$947,0),MATCH(Graphs!CV$4,Data!$P$3:$Z$3,0))="n.q.",NA(),INDEX(Data!$P$4:$Z$947,MATCH(Graphs!$CK105,Data!$A$4:$A$947,0),MATCH(Graphs!CV$4,Data!$P$3:$Z$3,0)))</f>
        <v>#N/A</v>
      </c>
    </row>
    <row r="106" ht="14.25" customHeight="1"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5"/>
      <c r="CK106" s="22">
        <f>Data!A105</f>
        <v>45259</v>
      </c>
      <c r="CL106" s="24">
        <f t="array" ref="CL106">IF(INDEX(Data!$B$4:$L$947,MATCH(Graphs!$CK106,Data!$A$4:$A$947,0),MATCH(Graphs!CL$4,Data!$B$3:$L$3,0))="n.q.",NA(),INDEX(Data!$B$4:$L$947,MATCH(Graphs!$CK106,Data!$A$4:$A$947,0),MATCH(Graphs!CL$4,Data!$B$3:$L$3,0)))</f>
        <v>245.17</v>
      </c>
      <c r="CM106" s="24">
        <f t="array" ref="CM106">IF(INDEX(Data!$B$4:$L$947,MATCH(Graphs!$CK106,Data!$A$4:$A$947,0),MATCH(Graphs!CM$4,Data!$B$3:$L$3,0))="n.q.",NA(),INDEX(Data!$B$4:$L$947,MATCH(Graphs!$CK106,Data!$A$4:$A$947,0),MATCH(Graphs!CM$4,Data!$B$3:$L$3,0)))</f>
        <v>288.44</v>
      </c>
      <c r="CN106" s="24" t="str">
        <f t="array" ref="CN106">IF(INDEX(Data!$B$4:$L$947,MATCH(Graphs!$CK106,Data!$A$4:$A$947,0),MATCH(Graphs!CN$4,Data!$B$3:$L$3,0))="n.q.",NA(),INDEX(Data!$B$4:$L$947,MATCH(Graphs!$CK106,Data!$A$4:$A$947,0),MATCH(Graphs!CN$4,Data!$B$3:$L$3,0)))</f>
        <v>#N/A</v>
      </c>
      <c r="CO106" s="24" t="str">
        <f t="array" ref="CO106">IF(INDEX(Data!$B$4:$L$947,MATCH(Graphs!$CK106,Data!$A$4:$A$947,0),MATCH(Graphs!CO$4,Data!$B$3:$L$3,0))="n.q.",NA(),INDEX(Data!$B$4:$L$947,MATCH(Graphs!$CK106,Data!$A$4:$A$947,0),MATCH(Graphs!CO$4,Data!$B$3:$L$3,0)))</f>
        <v>#N/A</v>
      </c>
      <c r="CP106" s="24" t="str">
        <f t="array" ref="CP106">IF(INDEX(Data!$B$4:$L$947,MATCH(Graphs!$CK106,Data!$A$4:$A$947,0),MATCH(Graphs!CP$4,Data!$B$3:$L$3,0))="n.q.",NA(),INDEX(Data!$B$4:$L$947,MATCH(Graphs!$CK106,Data!$A$4:$A$947,0),MATCH(Graphs!CP$4,Data!$B$3:$L$3,0)))</f>
        <v>#N/A</v>
      </c>
      <c r="CQ106" s="5"/>
      <c r="CR106" s="24">
        <f t="array" ref="CR106">IF(INDEX(Data!$P$4:$Z$947,MATCH(Graphs!$CK106,Data!$A$4:$A$947,0),MATCH(Graphs!CR$4,Data!$P$3:$Z$3,0))="n.q.",NA(),INDEX(Data!$P$4:$Z$947,MATCH(Graphs!$CK106,Data!$A$4:$A$947,0),MATCH(Graphs!CR$4,Data!$P$3:$Z$3,0)))</f>
        <v>186.2721893</v>
      </c>
      <c r="CS106" s="24">
        <f t="array" ref="CS106">IF(INDEX(Data!$P$4:$Z$947,MATCH(Graphs!$CK106,Data!$A$4:$A$947,0),MATCH(Graphs!CS$4,Data!$P$3:$Z$3,0))="n.q.",NA(),INDEX(Data!$P$4:$Z$947,MATCH(Graphs!$CK106,Data!$A$4:$A$947,0),MATCH(Graphs!CS$4,Data!$P$3:$Z$3,0)))</f>
        <v>204.65</v>
      </c>
      <c r="CT106" s="24" t="str">
        <f t="array" ref="CT106">IF(INDEX(Data!$P$4:$Z$947,MATCH(Graphs!$CK106,Data!$A$4:$A$947,0),MATCH(Graphs!CT$4,Data!$P$3:$Z$3,0))="n.q.",NA(),INDEX(Data!$P$4:$Z$947,MATCH(Graphs!$CK106,Data!$A$4:$A$947,0),MATCH(Graphs!CT$4,Data!$P$3:$Z$3,0)))</f>
        <v>#N/A</v>
      </c>
      <c r="CU106" s="24" t="str">
        <f t="array" ref="CU106">IF(INDEX(Data!$P$4:$Z$947,MATCH(Graphs!$CK106,Data!$A$4:$A$947,0),MATCH(Graphs!CU$4,Data!$P$3:$Z$3,0))="n.q.",NA(),INDEX(Data!$P$4:$Z$947,MATCH(Graphs!$CK106,Data!$A$4:$A$947,0),MATCH(Graphs!CU$4,Data!$P$3:$Z$3,0)))</f>
        <v>#N/A</v>
      </c>
      <c r="CV106" s="24" t="str">
        <f t="array" ref="CV106">IF(INDEX(Data!$P$4:$Z$947,MATCH(Graphs!$CK106,Data!$A$4:$A$947,0),MATCH(Graphs!CV$4,Data!$P$3:$Z$3,0))="n.q.",NA(),INDEX(Data!$P$4:$Z$947,MATCH(Graphs!$CK106,Data!$A$4:$A$947,0),MATCH(Graphs!CV$4,Data!$P$3:$Z$3,0)))</f>
        <v>#N/A</v>
      </c>
    </row>
    <row r="107" ht="14.25" customHeight="1"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5"/>
      <c r="CK107" s="22">
        <f>Data!A106</f>
        <v>45252</v>
      </c>
      <c r="CL107" s="24">
        <f t="array" ref="CL107">IF(INDEX(Data!$B$4:$L$947,MATCH(Graphs!$CK107,Data!$A$4:$A$947,0),MATCH(Graphs!CL$4,Data!$B$3:$L$3,0))="n.q.",NA(),INDEX(Data!$B$4:$L$947,MATCH(Graphs!$CK107,Data!$A$4:$A$947,0),MATCH(Graphs!CL$4,Data!$B$3:$L$3,0)))</f>
        <v>247.28</v>
      </c>
      <c r="CM107" s="24">
        <f t="array" ref="CM107">IF(INDEX(Data!$B$4:$L$947,MATCH(Graphs!$CK107,Data!$A$4:$A$947,0),MATCH(Graphs!CM$4,Data!$B$3:$L$3,0))="n.q.",NA(),INDEX(Data!$B$4:$L$947,MATCH(Graphs!$CK107,Data!$A$4:$A$947,0),MATCH(Graphs!CM$4,Data!$B$3:$L$3,0)))</f>
        <v>277.23</v>
      </c>
      <c r="CN107" s="24" t="str">
        <f t="array" ref="CN107">IF(INDEX(Data!$B$4:$L$947,MATCH(Graphs!$CK107,Data!$A$4:$A$947,0),MATCH(Graphs!CN$4,Data!$B$3:$L$3,0))="n.q.",NA(),INDEX(Data!$B$4:$L$947,MATCH(Graphs!$CK107,Data!$A$4:$A$947,0),MATCH(Graphs!CN$4,Data!$B$3:$L$3,0)))</f>
        <v>#N/A</v>
      </c>
      <c r="CO107" s="24" t="str">
        <f t="array" ref="CO107">IF(INDEX(Data!$B$4:$L$947,MATCH(Graphs!$CK107,Data!$A$4:$A$947,0),MATCH(Graphs!CO$4,Data!$B$3:$L$3,0))="n.q.",NA(),INDEX(Data!$B$4:$L$947,MATCH(Graphs!$CK107,Data!$A$4:$A$947,0),MATCH(Graphs!CO$4,Data!$B$3:$L$3,0)))</f>
        <v>#N/A</v>
      </c>
      <c r="CP107" s="24" t="str">
        <f t="array" ref="CP107">IF(INDEX(Data!$B$4:$L$947,MATCH(Graphs!$CK107,Data!$A$4:$A$947,0),MATCH(Graphs!CP$4,Data!$B$3:$L$3,0))="n.q.",NA(),INDEX(Data!$B$4:$L$947,MATCH(Graphs!$CK107,Data!$A$4:$A$947,0),MATCH(Graphs!CP$4,Data!$B$3:$L$3,0)))</f>
        <v>#N/A</v>
      </c>
      <c r="CQ107" s="5"/>
      <c r="CR107" s="24">
        <f t="array" ref="CR107">IF(INDEX(Data!$P$4:$Z$947,MATCH(Graphs!$CK107,Data!$A$4:$A$947,0),MATCH(Graphs!CR$4,Data!$P$3:$Z$3,0))="n.q.",NA(),INDEX(Data!$P$4:$Z$947,MATCH(Graphs!$CK107,Data!$A$4:$A$947,0),MATCH(Graphs!CR$4,Data!$P$3:$Z$3,0)))</f>
        <v>193.3095042</v>
      </c>
      <c r="CS107" s="24">
        <f t="array" ref="CS107">IF(INDEX(Data!$P$4:$Z$947,MATCH(Graphs!$CK107,Data!$A$4:$A$947,0),MATCH(Graphs!CS$4,Data!$P$3:$Z$3,0))="n.q.",NA(),INDEX(Data!$P$4:$Z$947,MATCH(Graphs!$CK107,Data!$A$4:$A$947,0),MATCH(Graphs!CS$4,Data!$P$3:$Z$3,0)))</f>
        <v>209.72</v>
      </c>
      <c r="CT107" s="24" t="str">
        <f t="array" ref="CT107">IF(INDEX(Data!$P$4:$Z$947,MATCH(Graphs!$CK107,Data!$A$4:$A$947,0),MATCH(Graphs!CT$4,Data!$P$3:$Z$3,0))="n.q.",NA(),INDEX(Data!$P$4:$Z$947,MATCH(Graphs!$CK107,Data!$A$4:$A$947,0),MATCH(Graphs!CT$4,Data!$P$3:$Z$3,0)))</f>
        <v>#N/A</v>
      </c>
      <c r="CU107" s="24" t="str">
        <f t="array" ref="CU107">IF(INDEX(Data!$P$4:$Z$947,MATCH(Graphs!$CK107,Data!$A$4:$A$947,0),MATCH(Graphs!CU$4,Data!$P$3:$Z$3,0))="n.q.",NA(),INDEX(Data!$P$4:$Z$947,MATCH(Graphs!$CK107,Data!$A$4:$A$947,0),MATCH(Graphs!CU$4,Data!$P$3:$Z$3,0)))</f>
        <v>#N/A</v>
      </c>
      <c r="CV107" s="24" t="str">
        <f t="array" ref="CV107">IF(INDEX(Data!$P$4:$Z$947,MATCH(Graphs!$CK107,Data!$A$4:$A$947,0),MATCH(Graphs!CV$4,Data!$P$3:$Z$3,0))="n.q.",NA(),INDEX(Data!$P$4:$Z$947,MATCH(Graphs!$CK107,Data!$A$4:$A$947,0),MATCH(Graphs!CV$4,Data!$P$3:$Z$3,0)))</f>
        <v>#N/A</v>
      </c>
    </row>
    <row r="108" ht="14.25" customHeight="1"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5"/>
      <c r="CK108" s="22">
        <f>Data!A107</f>
        <v>45245</v>
      </c>
      <c r="CL108" s="24">
        <f t="array" ref="CL108">IF(INDEX(Data!$B$4:$L$947,MATCH(Graphs!$CK108,Data!$A$4:$A$947,0),MATCH(Graphs!CL$4,Data!$B$3:$L$3,0))="n.q.",NA(),INDEX(Data!$B$4:$L$947,MATCH(Graphs!$CK108,Data!$A$4:$A$947,0),MATCH(Graphs!CL$4,Data!$B$3:$L$3,0)))</f>
        <v>250.16</v>
      </c>
      <c r="CM108" s="24">
        <f t="array" ref="CM108">IF(INDEX(Data!$B$4:$L$947,MATCH(Graphs!$CK108,Data!$A$4:$A$947,0),MATCH(Graphs!CM$4,Data!$B$3:$L$3,0))="n.q.",NA(),INDEX(Data!$B$4:$L$947,MATCH(Graphs!$CK108,Data!$A$4:$A$947,0),MATCH(Graphs!CM$4,Data!$B$3:$L$3,0)))</f>
        <v>286.51</v>
      </c>
      <c r="CN108" s="24" t="str">
        <f t="array" ref="CN108">IF(INDEX(Data!$B$4:$L$947,MATCH(Graphs!$CK108,Data!$A$4:$A$947,0),MATCH(Graphs!CN$4,Data!$B$3:$L$3,0))="n.q.",NA(),INDEX(Data!$B$4:$L$947,MATCH(Graphs!$CK108,Data!$A$4:$A$947,0),MATCH(Graphs!CN$4,Data!$B$3:$L$3,0)))</f>
        <v>#N/A</v>
      </c>
      <c r="CO108" s="24" t="str">
        <f t="array" ref="CO108">IF(INDEX(Data!$B$4:$L$947,MATCH(Graphs!$CK108,Data!$A$4:$A$947,0),MATCH(Graphs!CO$4,Data!$B$3:$L$3,0))="n.q.",NA(),INDEX(Data!$B$4:$L$947,MATCH(Graphs!$CK108,Data!$A$4:$A$947,0),MATCH(Graphs!CO$4,Data!$B$3:$L$3,0)))</f>
        <v>#N/A</v>
      </c>
      <c r="CP108" s="24" t="str">
        <f t="array" ref="CP108">IF(INDEX(Data!$B$4:$L$947,MATCH(Graphs!$CK108,Data!$A$4:$A$947,0),MATCH(Graphs!CP$4,Data!$B$3:$L$3,0))="n.q.",NA(),INDEX(Data!$B$4:$L$947,MATCH(Graphs!$CK108,Data!$A$4:$A$947,0),MATCH(Graphs!CP$4,Data!$B$3:$L$3,0)))</f>
        <v>#N/A</v>
      </c>
      <c r="CQ108" s="5"/>
      <c r="CR108" s="24">
        <f t="array" ref="CR108">IF(INDEX(Data!$P$4:$Z$947,MATCH(Graphs!$CK108,Data!$A$4:$A$947,0),MATCH(Graphs!CR$4,Data!$P$3:$Z$3,0))="n.q.",NA(),INDEX(Data!$P$4:$Z$947,MATCH(Graphs!$CK108,Data!$A$4:$A$947,0),MATCH(Graphs!CR$4,Data!$P$3:$Z$3,0)))</f>
        <v>197.6904674</v>
      </c>
      <c r="CS108" s="24">
        <f t="array" ref="CS108">IF(INDEX(Data!$P$4:$Z$947,MATCH(Graphs!$CK108,Data!$A$4:$A$947,0),MATCH(Graphs!CS$4,Data!$P$3:$Z$3,0))="n.q.",NA(),INDEX(Data!$P$4:$Z$947,MATCH(Graphs!$CK108,Data!$A$4:$A$947,0),MATCH(Graphs!CS$4,Data!$P$3:$Z$3,0)))</f>
        <v>212.72</v>
      </c>
      <c r="CT108" s="24" t="str">
        <f t="array" ref="CT108">IF(INDEX(Data!$P$4:$Z$947,MATCH(Graphs!$CK108,Data!$A$4:$A$947,0),MATCH(Graphs!CT$4,Data!$P$3:$Z$3,0))="n.q.",NA(),INDEX(Data!$P$4:$Z$947,MATCH(Graphs!$CK108,Data!$A$4:$A$947,0),MATCH(Graphs!CT$4,Data!$P$3:$Z$3,0)))</f>
        <v>#N/A</v>
      </c>
      <c r="CU108" s="24" t="str">
        <f t="array" ref="CU108">IF(INDEX(Data!$P$4:$Z$947,MATCH(Graphs!$CK108,Data!$A$4:$A$947,0),MATCH(Graphs!CU$4,Data!$P$3:$Z$3,0))="n.q.",NA(),INDEX(Data!$P$4:$Z$947,MATCH(Graphs!$CK108,Data!$A$4:$A$947,0),MATCH(Graphs!CU$4,Data!$P$3:$Z$3,0)))</f>
        <v>#N/A</v>
      </c>
      <c r="CV108" s="24" t="str">
        <f t="array" ref="CV108">IF(INDEX(Data!$P$4:$Z$947,MATCH(Graphs!$CK108,Data!$A$4:$A$947,0),MATCH(Graphs!CV$4,Data!$P$3:$Z$3,0))="n.q.",NA(),INDEX(Data!$P$4:$Z$947,MATCH(Graphs!$CK108,Data!$A$4:$A$947,0),MATCH(Graphs!CV$4,Data!$P$3:$Z$3,0)))</f>
        <v>#N/A</v>
      </c>
    </row>
    <row r="109" ht="14.25" customHeight="1"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5"/>
      <c r="CK109" s="22">
        <f>Data!A108</f>
        <v>45238</v>
      </c>
      <c r="CL109" s="24">
        <f t="array" ref="CL109">IF(INDEX(Data!$B$4:$L$947,MATCH(Graphs!$CK109,Data!$A$4:$A$947,0),MATCH(Graphs!CL$4,Data!$B$3:$L$3,0))="n.q.",NA(),INDEX(Data!$B$4:$L$947,MATCH(Graphs!$CK109,Data!$A$4:$A$947,0),MATCH(Graphs!CL$4,Data!$B$3:$L$3,0)))</f>
        <v>253.4</v>
      </c>
      <c r="CM109" s="24">
        <f t="array" ref="CM109">IF(INDEX(Data!$B$4:$L$947,MATCH(Graphs!$CK109,Data!$A$4:$A$947,0),MATCH(Graphs!CM$4,Data!$B$3:$L$3,0))="n.q.",NA(),INDEX(Data!$B$4:$L$947,MATCH(Graphs!$CK109,Data!$A$4:$A$947,0),MATCH(Graphs!CM$4,Data!$B$3:$L$3,0)))</f>
        <v>292.85</v>
      </c>
      <c r="CN109" s="24" t="str">
        <f t="array" ref="CN109">IF(INDEX(Data!$B$4:$L$947,MATCH(Graphs!$CK109,Data!$A$4:$A$947,0),MATCH(Graphs!CN$4,Data!$B$3:$L$3,0))="n.q.",NA(),INDEX(Data!$B$4:$L$947,MATCH(Graphs!$CK109,Data!$A$4:$A$947,0),MATCH(Graphs!CN$4,Data!$B$3:$L$3,0)))</f>
        <v>#N/A</v>
      </c>
      <c r="CO109" s="24" t="str">
        <f t="array" ref="CO109">IF(INDEX(Data!$B$4:$L$947,MATCH(Graphs!$CK109,Data!$A$4:$A$947,0),MATCH(Graphs!CO$4,Data!$B$3:$L$3,0))="n.q.",NA(),INDEX(Data!$B$4:$L$947,MATCH(Graphs!$CK109,Data!$A$4:$A$947,0),MATCH(Graphs!CO$4,Data!$B$3:$L$3,0)))</f>
        <v>#N/A</v>
      </c>
      <c r="CP109" s="24" t="str">
        <f t="array" ref="CP109">IF(INDEX(Data!$B$4:$L$947,MATCH(Graphs!$CK109,Data!$A$4:$A$947,0),MATCH(Graphs!CP$4,Data!$B$3:$L$3,0))="n.q.",NA(),INDEX(Data!$B$4:$L$947,MATCH(Graphs!$CK109,Data!$A$4:$A$947,0),MATCH(Graphs!CP$4,Data!$B$3:$L$3,0)))</f>
        <v>#N/A</v>
      </c>
      <c r="CQ109" s="5"/>
      <c r="CR109" s="24">
        <f t="array" ref="CR109">IF(INDEX(Data!$P$4:$Z$947,MATCH(Graphs!$CK109,Data!$A$4:$A$947,0),MATCH(Graphs!CR$4,Data!$P$3:$Z$3,0))="n.q.",NA(),INDEX(Data!$P$4:$Z$947,MATCH(Graphs!$CK109,Data!$A$4:$A$947,0),MATCH(Graphs!CR$4,Data!$P$3:$Z$3,0)))</f>
        <v>202.5395933</v>
      </c>
      <c r="CS109" s="24">
        <f t="array" ref="CS109">IF(INDEX(Data!$P$4:$Z$947,MATCH(Graphs!$CK109,Data!$A$4:$A$947,0),MATCH(Graphs!CS$4,Data!$P$3:$Z$3,0))="n.q.",NA(),INDEX(Data!$P$4:$Z$947,MATCH(Graphs!$CK109,Data!$A$4:$A$947,0),MATCH(Graphs!CS$4,Data!$P$3:$Z$3,0)))</f>
        <v>211.22</v>
      </c>
      <c r="CT109" s="24" t="str">
        <f t="array" ref="CT109">IF(INDEX(Data!$P$4:$Z$947,MATCH(Graphs!$CK109,Data!$A$4:$A$947,0),MATCH(Graphs!CT$4,Data!$P$3:$Z$3,0))="n.q.",NA(),INDEX(Data!$P$4:$Z$947,MATCH(Graphs!$CK109,Data!$A$4:$A$947,0),MATCH(Graphs!CT$4,Data!$P$3:$Z$3,0)))</f>
        <v>#N/A</v>
      </c>
      <c r="CU109" s="24" t="str">
        <f t="array" ref="CU109">IF(INDEX(Data!$P$4:$Z$947,MATCH(Graphs!$CK109,Data!$A$4:$A$947,0),MATCH(Graphs!CU$4,Data!$P$3:$Z$3,0))="n.q.",NA(),INDEX(Data!$P$4:$Z$947,MATCH(Graphs!$CK109,Data!$A$4:$A$947,0),MATCH(Graphs!CU$4,Data!$P$3:$Z$3,0)))</f>
        <v>#N/A</v>
      </c>
      <c r="CV109" s="24" t="str">
        <f t="array" ref="CV109">IF(INDEX(Data!$P$4:$Z$947,MATCH(Graphs!$CK109,Data!$A$4:$A$947,0),MATCH(Graphs!CV$4,Data!$P$3:$Z$3,0))="n.q.",NA(),INDEX(Data!$P$4:$Z$947,MATCH(Graphs!$CK109,Data!$A$4:$A$947,0),MATCH(Graphs!CV$4,Data!$P$3:$Z$3,0)))</f>
        <v>#N/A</v>
      </c>
    </row>
    <row r="110" ht="14.25" customHeight="1"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5"/>
      <c r="CK110" s="22">
        <f>Data!A109</f>
        <v>45231</v>
      </c>
      <c r="CL110" s="24">
        <f t="array" ref="CL110">IF(INDEX(Data!$B$4:$L$947,MATCH(Graphs!$CK110,Data!$A$4:$A$947,0),MATCH(Graphs!CL$4,Data!$B$3:$L$3,0))="n.q.",NA(),INDEX(Data!$B$4:$L$947,MATCH(Graphs!$CK110,Data!$A$4:$A$947,0),MATCH(Graphs!CL$4,Data!$B$3:$L$3,0)))</f>
        <v>243.83</v>
      </c>
      <c r="CM110" s="24">
        <f t="array" ref="CM110">IF(INDEX(Data!$B$4:$L$947,MATCH(Graphs!$CK110,Data!$A$4:$A$947,0),MATCH(Graphs!CM$4,Data!$B$3:$L$3,0))="n.q.",NA(),INDEX(Data!$B$4:$L$947,MATCH(Graphs!$CK110,Data!$A$4:$A$947,0),MATCH(Graphs!CM$4,Data!$B$3:$L$3,0)))</f>
        <v>287.34</v>
      </c>
      <c r="CN110" s="24" t="str">
        <f t="array" ref="CN110">IF(INDEX(Data!$B$4:$L$947,MATCH(Graphs!$CK110,Data!$A$4:$A$947,0),MATCH(Graphs!CN$4,Data!$B$3:$L$3,0))="n.q.",NA(),INDEX(Data!$B$4:$L$947,MATCH(Graphs!$CK110,Data!$A$4:$A$947,0),MATCH(Graphs!CN$4,Data!$B$3:$L$3,0)))</f>
        <v>#N/A</v>
      </c>
      <c r="CO110" s="24" t="str">
        <f t="array" ref="CO110">IF(INDEX(Data!$B$4:$L$947,MATCH(Graphs!$CK110,Data!$A$4:$A$947,0),MATCH(Graphs!CO$4,Data!$B$3:$L$3,0))="n.q.",NA(),INDEX(Data!$B$4:$L$947,MATCH(Graphs!$CK110,Data!$A$4:$A$947,0),MATCH(Graphs!CO$4,Data!$B$3:$L$3,0)))</f>
        <v>#N/A</v>
      </c>
      <c r="CP110" s="24" t="str">
        <f t="array" ref="CP110">IF(INDEX(Data!$B$4:$L$947,MATCH(Graphs!$CK110,Data!$A$4:$A$947,0),MATCH(Graphs!CP$4,Data!$B$3:$L$3,0))="n.q.",NA(),INDEX(Data!$B$4:$L$947,MATCH(Graphs!$CK110,Data!$A$4:$A$947,0),MATCH(Graphs!CP$4,Data!$B$3:$L$3,0)))</f>
        <v>#N/A</v>
      </c>
      <c r="CQ110" s="5"/>
      <c r="CR110" s="24">
        <f t="array" ref="CR110">IF(INDEX(Data!$P$4:$Z$947,MATCH(Graphs!$CK110,Data!$A$4:$A$947,0),MATCH(Graphs!CR$4,Data!$P$3:$Z$3,0))="n.q.",NA(),INDEX(Data!$P$4:$Z$947,MATCH(Graphs!$CK110,Data!$A$4:$A$947,0),MATCH(Graphs!CR$4,Data!$P$3:$Z$3,0)))</f>
        <v>208.1047737</v>
      </c>
      <c r="CS110" s="24" t="str">
        <f t="array" ref="CS110">IF(INDEX(Data!$P$4:$Z$947,MATCH(Graphs!$CK110,Data!$A$4:$A$947,0),MATCH(Graphs!CS$4,Data!$P$3:$Z$3,0))="n.q.",NA(),INDEX(Data!$P$4:$Z$947,MATCH(Graphs!$CK110,Data!$A$4:$A$947,0),MATCH(Graphs!CS$4,Data!$P$3:$Z$3,0)))</f>
        <v>#N/A</v>
      </c>
      <c r="CT110" s="24" t="str">
        <f t="array" ref="CT110">IF(INDEX(Data!$P$4:$Z$947,MATCH(Graphs!$CK110,Data!$A$4:$A$947,0),MATCH(Graphs!CT$4,Data!$P$3:$Z$3,0))="n.q.",NA(),INDEX(Data!$P$4:$Z$947,MATCH(Graphs!$CK110,Data!$A$4:$A$947,0),MATCH(Graphs!CT$4,Data!$P$3:$Z$3,0)))</f>
        <v>#N/A</v>
      </c>
      <c r="CU110" s="24" t="str">
        <f t="array" ref="CU110">IF(INDEX(Data!$P$4:$Z$947,MATCH(Graphs!$CK110,Data!$A$4:$A$947,0),MATCH(Graphs!CU$4,Data!$P$3:$Z$3,0))="n.q.",NA(),INDEX(Data!$P$4:$Z$947,MATCH(Graphs!$CK110,Data!$A$4:$A$947,0),MATCH(Graphs!CU$4,Data!$P$3:$Z$3,0)))</f>
        <v>#N/A</v>
      </c>
      <c r="CV110" s="24" t="str">
        <f t="array" ref="CV110">IF(INDEX(Data!$P$4:$Z$947,MATCH(Graphs!$CK110,Data!$A$4:$A$947,0),MATCH(Graphs!CV$4,Data!$P$3:$Z$3,0))="n.q.",NA(),INDEX(Data!$P$4:$Z$947,MATCH(Graphs!$CK110,Data!$A$4:$A$947,0),MATCH(Graphs!CV$4,Data!$P$3:$Z$3,0)))</f>
        <v>#N/A</v>
      </c>
    </row>
    <row r="111" ht="14.25" customHeight="1"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5"/>
      <c r="CK111" s="22">
        <f>Data!A110</f>
        <v>45224</v>
      </c>
      <c r="CL111" s="24">
        <f t="array" ref="CL111">IF(INDEX(Data!$B$4:$L$947,MATCH(Graphs!$CK111,Data!$A$4:$A$947,0),MATCH(Graphs!CL$4,Data!$B$3:$L$3,0))="n.q.",NA(),INDEX(Data!$B$4:$L$947,MATCH(Graphs!$CK111,Data!$A$4:$A$947,0),MATCH(Graphs!CL$4,Data!$B$3:$L$3,0)))</f>
        <v>248.22</v>
      </c>
      <c r="CM111" s="24">
        <f t="array" ref="CM111">IF(INDEX(Data!$B$4:$L$947,MATCH(Graphs!$CK111,Data!$A$4:$A$947,0),MATCH(Graphs!CM$4,Data!$B$3:$L$3,0))="n.q.",NA(),INDEX(Data!$B$4:$L$947,MATCH(Graphs!$CK111,Data!$A$4:$A$947,0),MATCH(Graphs!CM$4,Data!$B$3:$L$3,0)))</f>
        <v>290.64</v>
      </c>
      <c r="CN111" s="24" t="str">
        <f t="array" ref="CN111">IF(INDEX(Data!$B$4:$L$947,MATCH(Graphs!$CK111,Data!$A$4:$A$947,0),MATCH(Graphs!CN$4,Data!$B$3:$L$3,0))="n.q.",NA(),INDEX(Data!$B$4:$L$947,MATCH(Graphs!$CK111,Data!$A$4:$A$947,0),MATCH(Graphs!CN$4,Data!$B$3:$L$3,0)))</f>
        <v>#N/A</v>
      </c>
      <c r="CO111" s="24" t="str">
        <f t="array" ref="CO111">IF(INDEX(Data!$B$4:$L$947,MATCH(Graphs!$CK111,Data!$A$4:$A$947,0),MATCH(Graphs!CO$4,Data!$B$3:$L$3,0))="n.q.",NA(),INDEX(Data!$B$4:$L$947,MATCH(Graphs!$CK111,Data!$A$4:$A$947,0),MATCH(Graphs!CO$4,Data!$B$3:$L$3,0)))</f>
        <v>#N/A</v>
      </c>
      <c r="CP111" s="24" t="str">
        <f t="array" ref="CP111">IF(INDEX(Data!$B$4:$L$947,MATCH(Graphs!$CK111,Data!$A$4:$A$947,0),MATCH(Graphs!CP$4,Data!$B$3:$L$3,0))="n.q.",NA(),INDEX(Data!$B$4:$L$947,MATCH(Graphs!$CK111,Data!$A$4:$A$947,0),MATCH(Graphs!CP$4,Data!$B$3:$L$3,0)))</f>
        <v>#N/A</v>
      </c>
      <c r="CQ111" s="5"/>
      <c r="CR111" s="24">
        <f t="array" ref="CR111">IF(INDEX(Data!$P$4:$Z$947,MATCH(Graphs!$CK111,Data!$A$4:$A$947,0),MATCH(Graphs!CR$4,Data!$P$3:$Z$3,0))="n.q.",NA(),INDEX(Data!$P$4:$Z$947,MATCH(Graphs!$CK111,Data!$A$4:$A$947,0),MATCH(Graphs!CR$4,Data!$P$3:$Z$3,0)))</f>
        <v>210.6845688</v>
      </c>
      <c r="CS111" s="24">
        <f t="array" ref="CS111">IF(INDEX(Data!$P$4:$Z$947,MATCH(Graphs!$CK111,Data!$A$4:$A$947,0),MATCH(Graphs!CS$4,Data!$P$3:$Z$3,0))="n.q.",NA(),INDEX(Data!$P$4:$Z$947,MATCH(Graphs!$CK111,Data!$A$4:$A$947,0),MATCH(Graphs!CS$4,Data!$P$3:$Z$3,0)))</f>
        <v>209.72</v>
      </c>
      <c r="CT111" s="24" t="str">
        <f t="array" ref="CT111">IF(INDEX(Data!$P$4:$Z$947,MATCH(Graphs!$CK111,Data!$A$4:$A$947,0),MATCH(Graphs!CT$4,Data!$P$3:$Z$3,0))="n.q.",NA(),INDEX(Data!$P$4:$Z$947,MATCH(Graphs!$CK111,Data!$A$4:$A$947,0),MATCH(Graphs!CT$4,Data!$P$3:$Z$3,0)))</f>
        <v>#N/A</v>
      </c>
      <c r="CU111" s="24" t="str">
        <f t="array" ref="CU111">IF(INDEX(Data!$P$4:$Z$947,MATCH(Graphs!$CK111,Data!$A$4:$A$947,0),MATCH(Graphs!CU$4,Data!$P$3:$Z$3,0))="n.q.",NA(),INDEX(Data!$P$4:$Z$947,MATCH(Graphs!$CK111,Data!$A$4:$A$947,0),MATCH(Graphs!CU$4,Data!$P$3:$Z$3,0)))</f>
        <v>#N/A</v>
      </c>
      <c r="CV111" s="24" t="str">
        <f t="array" ref="CV111">IF(INDEX(Data!$P$4:$Z$947,MATCH(Graphs!$CK111,Data!$A$4:$A$947,0),MATCH(Graphs!CV$4,Data!$P$3:$Z$3,0))="n.q.",NA(),INDEX(Data!$P$4:$Z$947,MATCH(Graphs!$CK111,Data!$A$4:$A$947,0),MATCH(Graphs!CV$4,Data!$P$3:$Z$3,0)))</f>
        <v>#N/A</v>
      </c>
    </row>
    <row r="112" ht="14.25" customHeight="1"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5"/>
      <c r="CK112" s="22">
        <f>Data!A111</f>
        <v>45217</v>
      </c>
      <c r="CL112" s="24">
        <f t="array" ref="CL112">IF(INDEX(Data!$B$4:$L$947,MATCH(Graphs!$CK112,Data!$A$4:$A$947,0),MATCH(Graphs!CL$4,Data!$B$3:$L$3,0))="n.q.",NA(),INDEX(Data!$B$4:$L$947,MATCH(Graphs!$CK112,Data!$A$4:$A$947,0),MATCH(Graphs!CL$4,Data!$B$3:$L$3,0)))</f>
        <v>250.15</v>
      </c>
      <c r="CM112" s="24">
        <f t="array" ref="CM112">IF(INDEX(Data!$B$4:$L$947,MATCH(Graphs!$CK112,Data!$A$4:$A$947,0),MATCH(Graphs!CM$4,Data!$B$3:$L$3,0))="n.q.",NA(),INDEX(Data!$B$4:$L$947,MATCH(Graphs!$CK112,Data!$A$4:$A$947,0),MATCH(Graphs!CM$4,Data!$B$3:$L$3,0)))</f>
        <v>298.54</v>
      </c>
      <c r="CN112" s="24" t="str">
        <f t="array" ref="CN112">IF(INDEX(Data!$B$4:$L$947,MATCH(Graphs!$CK112,Data!$A$4:$A$947,0),MATCH(Graphs!CN$4,Data!$B$3:$L$3,0))="n.q.",NA(),INDEX(Data!$B$4:$L$947,MATCH(Graphs!$CK112,Data!$A$4:$A$947,0),MATCH(Graphs!CN$4,Data!$B$3:$L$3,0)))</f>
        <v>#N/A</v>
      </c>
      <c r="CO112" s="24" t="str">
        <f t="array" ref="CO112">IF(INDEX(Data!$B$4:$L$947,MATCH(Graphs!$CK112,Data!$A$4:$A$947,0),MATCH(Graphs!CO$4,Data!$B$3:$L$3,0))="n.q.",NA(),INDEX(Data!$B$4:$L$947,MATCH(Graphs!$CK112,Data!$A$4:$A$947,0),MATCH(Graphs!CO$4,Data!$B$3:$L$3,0)))</f>
        <v>#N/A</v>
      </c>
      <c r="CP112" s="24" t="str">
        <f t="array" ref="CP112">IF(INDEX(Data!$B$4:$L$947,MATCH(Graphs!$CK112,Data!$A$4:$A$947,0),MATCH(Graphs!CP$4,Data!$B$3:$L$3,0))="n.q.",NA(),INDEX(Data!$B$4:$L$947,MATCH(Graphs!$CK112,Data!$A$4:$A$947,0),MATCH(Graphs!CP$4,Data!$B$3:$L$3,0)))</f>
        <v>#N/A</v>
      </c>
      <c r="CQ112" s="5"/>
      <c r="CR112" s="24">
        <f t="array" ref="CR112">IF(INDEX(Data!$P$4:$Z$947,MATCH(Graphs!$CK112,Data!$A$4:$A$947,0),MATCH(Graphs!CR$4,Data!$P$3:$Z$3,0))="n.q.",NA(),INDEX(Data!$P$4:$Z$947,MATCH(Graphs!$CK112,Data!$A$4:$A$947,0),MATCH(Graphs!CR$4,Data!$P$3:$Z$3,0)))</f>
        <v>215.7501183</v>
      </c>
      <c r="CS112" s="24">
        <f t="array" ref="CS112">IF(INDEX(Data!$P$4:$Z$947,MATCH(Graphs!$CK112,Data!$A$4:$A$947,0),MATCH(Graphs!CS$4,Data!$P$3:$Z$3,0))="n.q.",NA(),INDEX(Data!$P$4:$Z$947,MATCH(Graphs!$CK112,Data!$A$4:$A$947,0),MATCH(Graphs!CS$4,Data!$P$3:$Z$3,0)))</f>
        <v>207.22</v>
      </c>
      <c r="CT112" s="24" t="str">
        <f t="array" ref="CT112">IF(INDEX(Data!$P$4:$Z$947,MATCH(Graphs!$CK112,Data!$A$4:$A$947,0),MATCH(Graphs!CT$4,Data!$P$3:$Z$3,0))="n.q.",NA(),INDEX(Data!$P$4:$Z$947,MATCH(Graphs!$CK112,Data!$A$4:$A$947,0),MATCH(Graphs!CT$4,Data!$P$3:$Z$3,0)))</f>
        <v>#N/A</v>
      </c>
      <c r="CU112" s="24" t="str">
        <f t="array" ref="CU112">IF(INDEX(Data!$P$4:$Z$947,MATCH(Graphs!$CK112,Data!$A$4:$A$947,0),MATCH(Graphs!CU$4,Data!$P$3:$Z$3,0))="n.q.",NA(),INDEX(Data!$P$4:$Z$947,MATCH(Graphs!$CK112,Data!$A$4:$A$947,0),MATCH(Graphs!CU$4,Data!$P$3:$Z$3,0)))</f>
        <v>#N/A</v>
      </c>
      <c r="CV112" s="24" t="str">
        <f t="array" ref="CV112">IF(INDEX(Data!$P$4:$Z$947,MATCH(Graphs!$CK112,Data!$A$4:$A$947,0),MATCH(Graphs!CV$4,Data!$P$3:$Z$3,0))="n.q.",NA(),INDEX(Data!$P$4:$Z$947,MATCH(Graphs!$CK112,Data!$A$4:$A$947,0),MATCH(Graphs!CV$4,Data!$P$3:$Z$3,0)))</f>
        <v>#N/A</v>
      </c>
    </row>
    <row r="113" ht="14.25" customHeight="1"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5"/>
      <c r="CK113" s="22">
        <f>Data!A112</f>
        <v>45210</v>
      </c>
      <c r="CL113" s="24">
        <f t="array" ref="CL113">IF(INDEX(Data!$B$4:$L$947,MATCH(Graphs!$CK113,Data!$A$4:$A$947,0),MATCH(Graphs!CL$4,Data!$B$3:$L$3,0))="n.q.",NA(),INDEX(Data!$B$4:$L$947,MATCH(Graphs!$CK113,Data!$A$4:$A$947,0),MATCH(Graphs!CL$4,Data!$B$3:$L$3,0)))</f>
        <v>244.68</v>
      </c>
      <c r="CM113" s="24">
        <f t="array" ref="CM113">IF(INDEX(Data!$B$4:$L$947,MATCH(Graphs!$CK113,Data!$A$4:$A$947,0),MATCH(Graphs!CM$4,Data!$B$3:$L$3,0))="n.q.",NA(),INDEX(Data!$B$4:$L$947,MATCH(Graphs!$CK113,Data!$A$4:$A$947,0),MATCH(Graphs!CM$4,Data!$B$3:$L$3,0)))</f>
        <v>297.35</v>
      </c>
      <c r="CN113" s="24" t="str">
        <f t="array" ref="CN113">IF(INDEX(Data!$B$4:$L$947,MATCH(Graphs!$CK113,Data!$A$4:$A$947,0),MATCH(Graphs!CN$4,Data!$B$3:$L$3,0))="n.q.",NA(),INDEX(Data!$B$4:$L$947,MATCH(Graphs!$CK113,Data!$A$4:$A$947,0),MATCH(Graphs!CN$4,Data!$B$3:$L$3,0)))</f>
        <v>#N/A</v>
      </c>
      <c r="CO113" s="24" t="str">
        <f t="array" ref="CO113">IF(INDEX(Data!$B$4:$L$947,MATCH(Graphs!$CK113,Data!$A$4:$A$947,0),MATCH(Graphs!CO$4,Data!$B$3:$L$3,0))="n.q.",NA(),INDEX(Data!$B$4:$L$947,MATCH(Graphs!$CK113,Data!$A$4:$A$947,0),MATCH(Graphs!CO$4,Data!$B$3:$L$3,0)))</f>
        <v>#N/A</v>
      </c>
      <c r="CP113" s="24" t="str">
        <f t="array" ref="CP113">IF(INDEX(Data!$B$4:$L$947,MATCH(Graphs!$CK113,Data!$A$4:$A$947,0),MATCH(Graphs!CP$4,Data!$B$3:$L$3,0))="n.q.",NA(),INDEX(Data!$B$4:$L$947,MATCH(Graphs!$CK113,Data!$A$4:$A$947,0),MATCH(Graphs!CP$4,Data!$B$3:$L$3,0)))</f>
        <v>#N/A</v>
      </c>
      <c r="CQ113" s="5"/>
      <c r="CR113" s="24">
        <f t="array" ref="CR113">IF(INDEX(Data!$P$4:$Z$947,MATCH(Graphs!$CK113,Data!$A$4:$A$947,0),MATCH(Graphs!CR$4,Data!$P$3:$Z$3,0))="n.q.",NA(),INDEX(Data!$P$4:$Z$947,MATCH(Graphs!$CK113,Data!$A$4:$A$947,0),MATCH(Graphs!CR$4,Data!$P$3:$Z$3,0)))</f>
        <v>213.4760468</v>
      </c>
      <c r="CS113" s="24">
        <f t="array" ref="CS113">IF(INDEX(Data!$P$4:$Z$947,MATCH(Graphs!$CK113,Data!$A$4:$A$947,0),MATCH(Graphs!CS$4,Data!$P$3:$Z$3,0))="n.q.",NA(),INDEX(Data!$P$4:$Z$947,MATCH(Graphs!$CK113,Data!$A$4:$A$947,0),MATCH(Graphs!CS$4,Data!$P$3:$Z$3,0)))</f>
        <v>204.72</v>
      </c>
      <c r="CT113" s="24" t="str">
        <f t="array" ref="CT113">IF(INDEX(Data!$P$4:$Z$947,MATCH(Graphs!$CK113,Data!$A$4:$A$947,0),MATCH(Graphs!CT$4,Data!$P$3:$Z$3,0))="n.q.",NA(),INDEX(Data!$P$4:$Z$947,MATCH(Graphs!$CK113,Data!$A$4:$A$947,0),MATCH(Graphs!CT$4,Data!$P$3:$Z$3,0)))</f>
        <v>#N/A</v>
      </c>
      <c r="CU113" s="24" t="str">
        <f t="array" ref="CU113">IF(INDEX(Data!$P$4:$Z$947,MATCH(Graphs!$CK113,Data!$A$4:$A$947,0),MATCH(Graphs!CU$4,Data!$P$3:$Z$3,0))="n.q.",NA(),INDEX(Data!$P$4:$Z$947,MATCH(Graphs!$CK113,Data!$A$4:$A$947,0),MATCH(Graphs!CU$4,Data!$P$3:$Z$3,0)))</f>
        <v>#N/A</v>
      </c>
      <c r="CV113" s="24" t="str">
        <f t="array" ref="CV113">IF(INDEX(Data!$P$4:$Z$947,MATCH(Graphs!$CK113,Data!$A$4:$A$947,0),MATCH(Graphs!CV$4,Data!$P$3:$Z$3,0))="n.q.",NA(),INDEX(Data!$P$4:$Z$947,MATCH(Graphs!$CK113,Data!$A$4:$A$947,0),MATCH(Graphs!CV$4,Data!$P$3:$Z$3,0)))</f>
        <v>#N/A</v>
      </c>
    </row>
    <row r="114" ht="14.25" customHeight="1"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5"/>
      <c r="CK114" s="22">
        <f>Data!A113</f>
        <v>45203</v>
      </c>
      <c r="CL114" s="24">
        <f t="array" ref="CL114">IF(INDEX(Data!$B$4:$L$947,MATCH(Graphs!$CK114,Data!$A$4:$A$947,0),MATCH(Graphs!CL$4,Data!$B$3:$L$3,0))="n.q.",NA(),INDEX(Data!$B$4:$L$947,MATCH(Graphs!$CK114,Data!$A$4:$A$947,0),MATCH(Graphs!CL$4,Data!$B$3:$L$3,0)))</f>
        <v>243.52</v>
      </c>
      <c r="CM114" s="24">
        <f t="array" ref="CM114">IF(INDEX(Data!$B$4:$L$947,MATCH(Graphs!$CK114,Data!$A$4:$A$947,0),MATCH(Graphs!CM$4,Data!$B$3:$L$3,0))="n.q.",NA(),INDEX(Data!$B$4:$L$947,MATCH(Graphs!$CK114,Data!$A$4:$A$947,0),MATCH(Graphs!CM$4,Data!$B$3:$L$3,0)))</f>
        <v>298.18</v>
      </c>
      <c r="CN114" s="24" t="str">
        <f t="array" ref="CN114">IF(INDEX(Data!$B$4:$L$947,MATCH(Graphs!$CK114,Data!$A$4:$A$947,0),MATCH(Graphs!CN$4,Data!$B$3:$L$3,0))="n.q.",NA(),INDEX(Data!$B$4:$L$947,MATCH(Graphs!$CK114,Data!$A$4:$A$947,0),MATCH(Graphs!CN$4,Data!$B$3:$L$3,0)))</f>
        <v>#N/A</v>
      </c>
      <c r="CO114" s="24" t="str">
        <f t="array" ref="CO114">IF(INDEX(Data!$B$4:$L$947,MATCH(Graphs!$CK114,Data!$A$4:$A$947,0),MATCH(Graphs!CO$4,Data!$B$3:$L$3,0))="n.q.",NA(),INDEX(Data!$B$4:$L$947,MATCH(Graphs!$CK114,Data!$A$4:$A$947,0),MATCH(Graphs!CO$4,Data!$B$3:$L$3,0)))</f>
        <v>#N/A</v>
      </c>
      <c r="CP114" s="24" t="str">
        <f t="array" ref="CP114">IF(INDEX(Data!$B$4:$L$947,MATCH(Graphs!$CK114,Data!$A$4:$A$947,0),MATCH(Graphs!CP$4,Data!$B$3:$L$3,0))="n.q.",NA(),INDEX(Data!$B$4:$L$947,MATCH(Graphs!$CK114,Data!$A$4:$A$947,0),MATCH(Graphs!CP$4,Data!$B$3:$L$3,0)))</f>
        <v>#N/A</v>
      </c>
      <c r="CQ114" s="5"/>
      <c r="CR114" s="24">
        <f t="array" ref="CR114">IF(INDEX(Data!$P$4:$Z$947,MATCH(Graphs!$CK114,Data!$A$4:$A$947,0),MATCH(Graphs!CR$4,Data!$P$3:$Z$3,0))="n.q.",NA(),INDEX(Data!$P$4:$Z$947,MATCH(Graphs!$CK114,Data!$A$4:$A$947,0),MATCH(Graphs!CR$4,Data!$P$3:$Z$3,0)))</f>
        <v>217.9003525</v>
      </c>
      <c r="CS114" s="24">
        <f t="array" ref="CS114">IF(INDEX(Data!$P$4:$Z$947,MATCH(Graphs!$CK114,Data!$A$4:$A$947,0),MATCH(Graphs!CS$4,Data!$P$3:$Z$3,0))="n.q.",NA(),INDEX(Data!$P$4:$Z$947,MATCH(Graphs!$CK114,Data!$A$4:$A$947,0),MATCH(Graphs!CS$4,Data!$P$3:$Z$3,0)))</f>
        <v>210.72</v>
      </c>
      <c r="CT114" s="24" t="str">
        <f t="array" ref="CT114">IF(INDEX(Data!$P$4:$Z$947,MATCH(Graphs!$CK114,Data!$A$4:$A$947,0),MATCH(Graphs!CT$4,Data!$P$3:$Z$3,0))="n.q.",NA(),INDEX(Data!$P$4:$Z$947,MATCH(Graphs!$CK114,Data!$A$4:$A$947,0),MATCH(Graphs!CT$4,Data!$P$3:$Z$3,0)))</f>
        <v>#N/A</v>
      </c>
      <c r="CU114" s="24" t="str">
        <f t="array" ref="CU114">IF(INDEX(Data!$P$4:$Z$947,MATCH(Graphs!$CK114,Data!$A$4:$A$947,0),MATCH(Graphs!CU$4,Data!$P$3:$Z$3,0))="n.q.",NA(),INDEX(Data!$P$4:$Z$947,MATCH(Graphs!$CK114,Data!$A$4:$A$947,0),MATCH(Graphs!CU$4,Data!$P$3:$Z$3,0)))</f>
        <v>#N/A</v>
      </c>
      <c r="CV114" s="24" t="str">
        <f t="array" ref="CV114">IF(INDEX(Data!$P$4:$Z$947,MATCH(Graphs!$CK114,Data!$A$4:$A$947,0),MATCH(Graphs!CV$4,Data!$P$3:$Z$3,0))="n.q.",NA(),INDEX(Data!$P$4:$Z$947,MATCH(Graphs!$CK114,Data!$A$4:$A$947,0),MATCH(Graphs!CV$4,Data!$P$3:$Z$3,0)))</f>
        <v>#N/A</v>
      </c>
    </row>
    <row r="115" ht="14.25" customHeight="1"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5"/>
      <c r="CK115" s="22">
        <f>Data!A114</f>
        <v>45196</v>
      </c>
      <c r="CL115" s="24">
        <f t="array" ref="CL115">IF(INDEX(Data!$B$4:$L$947,MATCH(Graphs!$CK115,Data!$A$4:$A$947,0),MATCH(Graphs!CL$4,Data!$B$3:$L$3,0))="n.q.",NA(),INDEX(Data!$B$4:$L$947,MATCH(Graphs!$CK115,Data!$A$4:$A$947,0),MATCH(Graphs!CL$4,Data!$B$3:$L$3,0)))</f>
        <v>248.67</v>
      </c>
      <c r="CM115" s="24">
        <f t="array" ref="CM115">IF(INDEX(Data!$B$4:$L$947,MATCH(Graphs!$CK115,Data!$A$4:$A$947,0),MATCH(Graphs!CM$4,Data!$B$3:$L$3,0))="n.q.",NA(),INDEX(Data!$B$4:$L$947,MATCH(Graphs!$CK115,Data!$A$4:$A$947,0),MATCH(Graphs!CM$4,Data!$B$3:$L$3,0)))</f>
        <v>308.46</v>
      </c>
      <c r="CN115" s="24" t="str">
        <f t="array" ref="CN115">IF(INDEX(Data!$B$4:$L$947,MATCH(Graphs!$CK115,Data!$A$4:$A$947,0),MATCH(Graphs!CN$4,Data!$B$3:$L$3,0))="n.q.",NA(),INDEX(Data!$B$4:$L$947,MATCH(Graphs!$CK115,Data!$A$4:$A$947,0),MATCH(Graphs!CN$4,Data!$B$3:$L$3,0)))</f>
        <v>#N/A</v>
      </c>
      <c r="CO115" s="24" t="str">
        <f t="array" ref="CO115">IF(INDEX(Data!$B$4:$L$947,MATCH(Graphs!$CK115,Data!$A$4:$A$947,0),MATCH(Graphs!CO$4,Data!$B$3:$L$3,0))="n.q.",NA(),INDEX(Data!$B$4:$L$947,MATCH(Graphs!$CK115,Data!$A$4:$A$947,0),MATCH(Graphs!CO$4,Data!$B$3:$L$3,0)))</f>
        <v>#N/A</v>
      </c>
      <c r="CP115" s="24" t="str">
        <f t="array" ref="CP115">IF(INDEX(Data!$B$4:$L$947,MATCH(Graphs!$CK115,Data!$A$4:$A$947,0),MATCH(Graphs!CP$4,Data!$B$3:$L$3,0))="n.q.",NA(),INDEX(Data!$B$4:$L$947,MATCH(Graphs!$CK115,Data!$A$4:$A$947,0),MATCH(Graphs!CP$4,Data!$B$3:$L$3,0)))</f>
        <v>#N/A</v>
      </c>
      <c r="CQ115" s="5"/>
      <c r="CR115" s="24">
        <f t="array" ref="CR115">IF(INDEX(Data!$P$4:$Z$947,MATCH(Graphs!$CK115,Data!$A$4:$A$947,0),MATCH(Graphs!CR$4,Data!$P$3:$Z$3,0))="n.q.",NA(),INDEX(Data!$P$4:$Z$947,MATCH(Graphs!$CK115,Data!$A$4:$A$947,0),MATCH(Graphs!CR$4,Data!$P$3:$Z$3,0)))</f>
        <v>225.4081245</v>
      </c>
      <c r="CS115" s="24">
        <f t="array" ref="CS115">IF(INDEX(Data!$P$4:$Z$947,MATCH(Graphs!$CK115,Data!$A$4:$A$947,0),MATCH(Graphs!CS$4,Data!$P$3:$Z$3,0))="n.q.",NA(),INDEX(Data!$P$4:$Z$947,MATCH(Graphs!$CK115,Data!$A$4:$A$947,0),MATCH(Graphs!CS$4,Data!$P$3:$Z$3,0)))</f>
        <v>215.72</v>
      </c>
      <c r="CT115" s="24" t="str">
        <f t="array" ref="CT115">IF(INDEX(Data!$P$4:$Z$947,MATCH(Graphs!$CK115,Data!$A$4:$A$947,0),MATCH(Graphs!CT$4,Data!$P$3:$Z$3,0))="n.q.",NA(),INDEX(Data!$P$4:$Z$947,MATCH(Graphs!$CK115,Data!$A$4:$A$947,0),MATCH(Graphs!CT$4,Data!$P$3:$Z$3,0)))</f>
        <v>#N/A</v>
      </c>
      <c r="CU115" s="24" t="str">
        <f t="array" ref="CU115">IF(INDEX(Data!$P$4:$Z$947,MATCH(Graphs!$CK115,Data!$A$4:$A$947,0),MATCH(Graphs!CU$4,Data!$P$3:$Z$3,0))="n.q.",NA(),INDEX(Data!$P$4:$Z$947,MATCH(Graphs!$CK115,Data!$A$4:$A$947,0),MATCH(Graphs!CU$4,Data!$P$3:$Z$3,0)))</f>
        <v>#N/A</v>
      </c>
      <c r="CV115" s="24" t="str">
        <f t="array" ref="CV115">IF(INDEX(Data!$P$4:$Z$947,MATCH(Graphs!$CK115,Data!$A$4:$A$947,0),MATCH(Graphs!CV$4,Data!$P$3:$Z$3,0))="n.q.",NA(),INDEX(Data!$P$4:$Z$947,MATCH(Graphs!$CK115,Data!$A$4:$A$947,0),MATCH(Graphs!CV$4,Data!$P$3:$Z$3,0)))</f>
        <v>#N/A</v>
      </c>
    </row>
    <row r="116" ht="14.25" customHeight="1"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5"/>
      <c r="CK116" s="22">
        <f>Data!A115</f>
        <v>45189</v>
      </c>
      <c r="CL116" s="24">
        <f t="array" ref="CL116">IF(INDEX(Data!$B$4:$L$947,MATCH(Graphs!$CK116,Data!$A$4:$A$947,0),MATCH(Graphs!CL$4,Data!$B$3:$L$3,0))="n.q.",NA(),INDEX(Data!$B$4:$L$947,MATCH(Graphs!$CK116,Data!$A$4:$A$947,0),MATCH(Graphs!CL$4,Data!$B$3:$L$3,0)))</f>
        <v>252.47</v>
      </c>
      <c r="CM116" s="24">
        <f t="array" ref="CM116">IF(INDEX(Data!$B$4:$L$947,MATCH(Graphs!$CK116,Data!$A$4:$A$947,0),MATCH(Graphs!CM$4,Data!$B$3:$L$3,0))="n.q.",NA(),INDEX(Data!$B$4:$L$947,MATCH(Graphs!$CK116,Data!$A$4:$A$947,0),MATCH(Graphs!CM$4,Data!$B$3:$L$3,0)))</f>
        <v>321.14</v>
      </c>
      <c r="CN116" s="24" t="str">
        <f t="array" ref="CN116">IF(INDEX(Data!$B$4:$L$947,MATCH(Graphs!$CK116,Data!$A$4:$A$947,0),MATCH(Graphs!CN$4,Data!$B$3:$L$3,0))="n.q.",NA(),INDEX(Data!$B$4:$L$947,MATCH(Graphs!$CK116,Data!$A$4:$A$947,0),MATCH(Graphs!CN$4,Data!$B$3:$L$3,0)))</f>
        <v>#N/A</v>
      </c>
      <c r="CO116" s="24" t="str">
        <f t="array" ref="CO116">IF(INDEX(Data!$B$4:$L$947,MATCH(Graphs!$CK116,Data!$A$4:$A$947,0),MATCH(Graphs!CO$4,Data!$B$3:$L$3,0))="n.q.",NA(),INDEX(Data!$B$4:$L$947,MATCH(Graphs!$CK116,Data!$A$4:$A$947,0),MATCH(Graphs!CO$4,Data!$B$3:$L$3,0)))</f>
        <v>#N/A</v>
      </c>
      <c r="CP116" s="24" t="str">
        <f t="array" ref="CP116">IF(INDEX(Data!$B$4:$L$947,MATCH(Graphs!$CK116,Data!$A$4:$A$947,0),MATCH(Graphs!CP$4,Data!$B$3:$L$3,0))="n.q.",NA(),INDEX(Data!$B$4:$L$947,MATCH(Graphs!$CK116,Data!$A$4:$A$947,0),MATCH(Graphs!CP$4,Data!$B$3:$L$3,0)))</f>
        <v>#N/A</v>
      </c>
      <c r="CQ116" s="5"/>
      <c r="CR116" s="24">
        <f t="array" ref="CR116">IF(INDEX(Data!$P$4:$Z$947,MATCH(Graphs!$CK116,Data!$A$4:$A$947,0),MATCH(Graphs!CR$4,Data!$P$3:$Z$3,0))="n.q.",NA(),INDEX(Data!$P$4:$Z$947,MATCH(Graphs!$CK116,Data!$A$4:$A$947,0),MATCH(Graphs!CR$4,Data!$P$3:$Z$3,0)))</f>
        <v>217.1276397</v>
      </c>
      <c r="CS116" s="24" t="str">
        <f t="array" ref="CS116">IF(INDEX(Data!$P$4:$Z$947,MATCH(Graphs!$CK116,Data!$A$4:$A$947,0),MATCH(Graphs!CS$4,Data!$P$3:$Z$3,0))="n.q.",NA(),INDEX(Data!$P$4:$Z$947,MATCH(Graphs!$CK116,Data!$A$4:$A$947,0),MATCH(Graphs!CS$4,Data!$P$3:$Z$3,0)))</f>
        <v>#N/A</v>
      </c>
      <c r="CT116" s="24" t="str">
        <f t="array" ref="CT116">IF(INDEX(Data!$P$4:$Z$947,MATCH(Graphs!$CK116,Data!$A$4:$A$947,0),MATCH(Graphs!CT$4,Data!$P$3:$Z$3,0))="n.q.",NA(),INDEX(Data!$P$4:$Z$947,MATCH(Graphs!$CK116,Data!$A$4:$A$947,0),MATCH(Graphs!CT$4,Data!$P$3:$Z$3,0)))</f>
        <v>#N/A</v>
      </c>
      <c r="CU116" s="24" t="str">
        <f t="array" ref="CU116">IF(INDEX(Data!$P$4:$Z$947,MATCH(Graphs!$CK116,Data!$A$4:$A$947,0),MATCH(Graphs!CU$4,Data!$P$3:$Z$3,0))="n.q.",NA(),INDEX(Data!$P$4:$Z$947,MATCH(Graphs!$CK116,Data!$A$4:$A$947,0),MATCH(Graphs!CU$4,Data!$P$3:$Z$3,0)))</f>
        <v>#N/A</v>
      </c>
      <c r="CV116" s="24" t="str">
        <f t="array" ref="CV116">IF(INDEX(Data!$P$4:$Z$947,MATCH(Graphs!$CK116,Data!$A$4:$A$947,0),MATCH(Graphs!CV$4,Data!$P$3:$Z$3,0))="n.q.",NA(),INDEX(Data!$P$4:$Z$947,MATCH(Graphs!$CK116,Data!$A$4:$A$947,0),MATCH(Graphs!CV$4,Data!$P$3:$Z$3,0)))</f>
        <v>#N/A</v>
      </c>
    </row>
    <row r="117" ht="14.25" customHeight="1"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5"/>
      <c r="CK117" s="22">
        <f>Data!A116</f>
        <v>45182</v>
      </c>
      <c r="CL117" s="24">
        <f t="array" ref="CL117">IF(INDEX(Data!$B$4:$L$947,MATCH(Graphs!$CK117,Data!$A$4:$A$947,0),MATCH(Graphs!CL$4,Data!$B$3:$L$3,0))="n.q.",NA(),INDEX(Data!$B$4:$L$947,MATCH(Graphs!$CK117,Data!$A$4:$A$947,0),MATCH(Graphs!CL$4,Data!$B$3:$L$3,0)))</f>
        <v>245.45</v>
      </c>
      <c r="CM117" s="24">
        <f t="array" ref="CM117">IF(INDEX(Data!$B$4:$L$947,MATCH(Graphs!$CK117,Data!$A$4:$A$947,0),MATCH(Graphs!CM$4,Data!$B$3:$L$3,0))="n.q.",NA(),INDEX(Data!$B$4:$L$947,MATCH(Graphs!$CK117,Data!$A$4:$A$947,0),MATCH(Graphs!CM$4,Data!$B$3:$L$3,0)))</f>
        <v>323.25</v>
      </c>
      <c r="CN117" s="24" t="str">
        <f t="array" ref="CN117">IF(INDEX(Data!$B$4:$L$947,MATCH(Graphs!$CK117,Data!$A$4:$A$947,0),MATCH(Graphs!CN$4,Data!$B$3:$L$3,0))="n.q.",NA(),INDEX(Data!$B$4:$L$947,MATCH(Graphs!$CK117,Data!$A$4:$A$947,0),MATCH(Graphs!CN$4,Data!$B$3:$L$3,0)))</f>
        <v>#N/A</v>
      </c>
      <c r="CO117" s="24" t="str">
        <f t="array" ref="CO117">IF(INDEX(Data!$B$4:$L$947,MATCH(Graphs!$CK117,Data!$A$4:$A$947,0),MATCH(Graphs!CO$4,Data!$B$3:$L$3,0))="n.q.",NA(),INDEX(Data!$B$4:$L$947,MATCH(Graphs!$CK117,Data!$A$4:$A$947,0),MATCH(Graphs!CO$4,Data!$B$3:$L$3,0)))</f>
        <v>#N/A</v>
      </c>
      <c r="CP117" s="24" t="str">
        <f t="array" ref="CP117">IF(INDEX(Data!$B$4:$L$947,MATCH(Graphs!$CK117,Data!$A$4:$A$947,0),MATCH(Graphs!CP$4,Data!$B$3:$L$3,0))="n.q.",NA(),INDEX(Data!$B$4:$L$947,MATCH(Graphs!$CK117,Data!$A$4:$A$947,0),MATCH(Graphs!CP$4,Data!$B$3:$L$3,0)))</f>
        <v>#N/A</v>
      </c>
      <c r="CQ117" s="5"/>
      <c r="CR117" s="24">
        <f t="array" ref="CR117">IF(INDEX(Data!$P$4:$Z$947,MATCH(Graphs!$CK117,Data!$A$4:$A$947,0),MATCH(Graphs!CR$4,Data!$P$3:$Z$3,0))="n.q.",NA(),INDEX(Data!$P$4:$Z$947,MATCH(Graphs!$CK117,Data!$A$4:$A$947,0),MATCH(Graphs!CR$4,Data!$P$3:$Z$3,0)))</f>
        <v>220.1714339</v>
      </c>
      <c r="CS117" s="24">
        <f t="array" ref="CS117">IF(INDEX(Data!$P$4:$Z$947,MATCH(Graphs!$CK117,Data!$A$4:$A$947,0),MATCH(Graphs!CS$4,Data!$P$3:$Z$3,0))="n.q.",NA(),INDEX(Data!$P$4:$Z$947,MATCH(Graphs!$CK117,Data!$A$4:$A$947,0),MATCH(Graphs!CS$4,Data!$P$3:$Z$3,0)))</f>
        <v>222.79</v>
      </c>
      <c r="CT117" s="24" t="str">
        <f t="array" ref="CT117">IF(INDEX(Data!$P$4:$Z$947,MATCH(Graphs!$CK117,Data!$A$4:$A$947,0),MATCH(Graphs!CT$4,Data!$P$3:$Z$3,0))="n.q.",NA(),INDEX(Data!$P$4:$Z$947,MATCH(Graphs!$CK117,Data!$A$4:$A$947,0),MATCH(Graphs!CT$4,Data!$P$3:$Z$3,0)))</f>
        <v>#N/A</v>
      </c>
      <c r="CU117" s="24" t="str">
        <f t="array" ref="CU117">IF(INDEX(Data!$P$4:$Z$947,MATCH(Graphs!$CK117,Data!$A$4:$A$947,0),MATCH(Graphs!CU$4,Data!$P$3:$Z$3,0))="n.q.",NA(),INDEX(Data!$P$4:$Z$947,MATCH(Graphs!$CK117,Data!$A$4:$A$947,0),MATCH(Graphs!CU$4,Data!$P$3:$Z$3,0)))</f>
        <v>#N/A</v>
      </c>
      <c r="CV117" s="24" t="str">
        <f t="array" ref="CV117">IF(INDEX(Data!$P$4:$Z$947,MATCH(Graphs!$CK117,Data!$A$4:$A$947,0),MATCH(Graphs!CV$4,Data!$P$3:$Z$3,0))="n.q.",NA(),INDEX(Data!$P$4:$Z$947,MATCH(Graphs!$CK117,Data!$A$4:$A$947,0),MATCH(Graphs!CV$4,Data!$P$3:$Z$3,0)))</f>
        <v>#N/A</v>
      </c>
    </row>
    <row r="118" ht="14.25" customHeight="1"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5"/>
      <c r="CK118" s="22">
        <f>Data!A117</f>
        <v>45175</v>
      </c>
      <c r="CL118" s="24">
        <f t="array" ref="CL118">IF(INDEX(Data!$B$4:$L$947,MATCH(Graphs!$CK118,Data!$A$4:$A$947,0),MATCH(Graphs!CL$4,Data!$B$3:$L$3,0))="n.q.",NA(),INDEX(Data!$B$4:$L$947,MATCH(Graphs!$CK118,Data!$A$4:$A$947,0),MATCH(Graphs!CL$4,Data!$B$3:$L$3,0)))</f>
        <v>244.95</v>
      </c>
      <c r="CM118" s="24">
        <f t="array" ref="CM118">IF(INDEX(Data!$B$4:$L$947,MATCH(Graphs!$CK118,Data!$A$4:$A$947,0),MATCH(Graphs!CM$4,Data!$B$3:$L$3,0))="n.q.",NA(),INDEX(Data!$B$4:$L$947,MATCH(Graphs!$CK118,Data!$A$4:$A$947,0),MATCH(Graphs!CM$4,Data!$B$3:$L$3,0)))</f>
        <v>318.38</v>
      </c>
      <c r="CN118" s="24" t="str">
        <f t="array" ref="CN118">IF(INDEX(Data!$B$4:$L$947,MATCH(Graphs!$CK118,Data!$A$4:$A$947,0),MATCH(Graphs!CN$4,Data!$B$3:$L$3,0))="n.q.",NA(),INDEX(Data!$B$4:$L$947,MATCH(Graphs!$CK118,Data!$A$4:$A$947,0),MATCH(Graphs!CN$4,Data!$B$3:$L$3,0)))</f>
        <v>#N/A</v>
      </c>
      <c r="CO118" s="24" t="str">
        <f t="array" ref="CO118">IF(INDEX(Data!$B$4:$L$947,MATCH(Graphs!$CK118,Data!$A$4:$A$947,0),MATCH(Graphs!CO$4,Data!$B$3:$L$3,0))="n.q.",NA(),INDEX(Data!$B$4:$L$947,MATCH(Graphs!$CK118,Data!$A$4:$A$947,0),MATCH(Graphs!CO$4,Data!$B$3:$L$3,0)))</f>
        <v>#N/A</v>
      </c>
      <c r="CP118" s="24" t="str">
        <f t="array" ref="CP118">IF(INDEX(Data!$B$4:$L$947,MATCH(Graphs!$CK118,Data!$A$4:$A$947,0),MATCH(Graphs!CP$4,Data!$B$3:$L$3,0))="n.q.",NA(),INDEX(Data!$B$4:$L$947,MATCH(Graphs!$CK118,Data!$A$4:$A$947,0),MATCH(Graphs!CP$4,Data!$B$3:$L$3,0)))</f>
        <v>#N/A</v>
      </c>
      <c r="CQ118" s="5"/>
      <c r="CR118" s="24">
        <f t="array" ref="CR118">IF(INDEX(Data!$P$4:$Z$947,MATCH(Graphs!$CK118,Data!$A$4:$A$947,0),MATCH(Graphs!CR$4,Data!$P$3:$Z$3,0))="n.q.",NA(),INDEX(Data!$P$4:$Z$947,MATCH(Graphs!$CK118,Data!$A$4:$A$947,0),MATCH(Graphs!CR$4,Data!$P$3:$Z$3,0)))</f>
        <v>216.714751</v>
      </c>
      <c r="CS118" s="24">
        <f t="array" ref="CS118">IF(INDEX(Data!$P$4:$Z$947,MATCH(Graphs!$CK118,Data!$A$4:$A$947,0),MATCH(Graphs!CS$4,Data!$P$3:$Z$3,0))="n.q.",NA(),INDEX(Data!$P$4:$Z$947,MATCH(Graphs!$CK118,Data!$A$4:$A$947,0),MATCH(Graphs!CS$4,Data!$P$3:$Z$3,0)))</f>
        <v>222.79</v>
      </c>
      <c r="CT118" s="24" t="str">
        <f t="array" ref="CT118">IF(INDEX(Data!$P$4:$Z$947,MATCH(Graphs!$CK118,Data!$A$4:$A$947,0),MATCH(Graphs!CT$4,Data!$P$3:$Z$3,0))="n.q.",NA(),INDEX(Data!$P$4:$Z$947,MATCH(Graphs!$CK118,Data!$A$4:$A$947,0),MATCH(Graphs!CT$4,Data!$P$3:$Z$3,0)))</f>
        <v>#N/A</v>
      </c>
      <c r="CU118" s="24" t="str">
        <f t="array" ref="CU118">IF(INDEX(Data!$P$4:$Z$947,MATCH(Graphs!$CK118,Data!$A$4:$A$947,0),MATCH(Graphs!CU$4,Data!$P$3:$Z$3,0))="n.q.",NA(),INDEX(Data!$P$4:$Z$947,MATCH(Graphs!$CK118,Data!$A$4:$A$947,0),MATCH(Graphs!CU$4,Data!$P$3:$Z$3,0)))</f>
        <v>#N/A</v>
      </c>
      <c r="CV118" s="24" t="str">
        <f t="array" ref="CV118">IF(INDEX(Data!$P$4:$Z$947,MATCH(Graphs!$CK118,Data!$A$4:$A$947,0),MATCH(Graphs!CV$4,Data!$P$3:$Z$3,0))="n.q.",NA(),INDEX(Data!$P$4:$Z$947,MATCH(Graphs!$CK118,Data!$A$4:$A$947,0),MATCH(Graphs!CV$4,Data!$P$3:$Z$3,0)))</f>
        <v>#N/A</v>
      </c>
    </row>
    <row r="119" ht="14.25" customHeight="1"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5"/>
      <c r="CK119" s="22">
        <f>Data!A118</f>
        <v>45168</v>
      </c>
      <c r="CL119" s="24">
        <f t="array" ref="CL119">IF(INDEX(Data!$B$4:$L$947,MATCH(Graphs!$CK119,Data!$A$4:$A$947,0),MATCH(Graphs!CL$4,Data!$B$3:$L$3,0))="n.q.",NA(),INDEX(Data!$B$4:$L$947,MATCH(Graphs!$CK119,Data!$A$4:$A$947,0),MATCH(Graphs!CL$4,Data!$B$3:$L$3,0)))</f>
        <v>254.24</v>
      </c>
      <c r="CM119" s="24">
        <f t="array" ref="CM119">IF(INDEX(Data!$B$4:$L$947,MATCH(Graphs!$CK119,Data!$A$4:$A$947,0),MATCH(Graphs!CM$4,Data!$B$3:$L$3,0))="n.q.",NA(),INDEX(Data!$B$4:$L$947,MATCH(Graphs!$CK119,Data!$A$4:$A$947,0),MATCH(Graphs!CM$4,Data!$B$3:$L$3,0)))</f>
        <v>306.53</v>
      </c>
      <c r="CN119" s="24" t="str">
        <f t="array" ref="CN119">IF(INDEX(Data!$B$4:$L$947,MATCH(Graphs!$CK119,Data!$A$4:$A$947,0),MATCH(Graphs!CN$4,Data!$B$3:$L$3,0))="n.q.",NA(),INDEX(Data!$B$4:$L$947,MATCH(Graphs!$CK119,Data!$A$4:$A$947,0),MATCH(Graphs!CN$4,Data!$B$3:$L$3,0)))</f>
        <v>#N/A</v>
      </c>
      <c r="CO119" s="24" t="str">
        <f t="array" ref="CO119">IF(INDEX(Data!$B$4:$L$947,MATCH(Graphs!$CK119,Data!$A$4:$A$947,0),MATCH(Graphs!CO$4,Data!$B$3:$L$3,0))="n.q.",NA(),INDEX(Data!$B$4:$L$947,MATCH(Graphs!$CK119,Data!$A$4:$A$947,0),MATCH(Graphs!CO$4,Data!$B$3:$L$3,0)))</f>
        <v>#N/A</v>
      </c>
      <c r="CP119" s="24" t="str">
        <f t="array" ref="CP119">IF(INDEX(Data!$B$4:$L$947,MATCH(Graphs!$CK119,Data!$A$4:$A$947,0),MATCH(Graphs!CP$4,Data!$B$3:$L$3,0))="n.q.",NA(),INDEX(Data!$B$4:$L$947,MATCH(Graphs!$CK119,Data!$A$4:$A$947,0),MATCH(Graphs!CP$4,Data!$B$3:$L$3,0)))</f>
        <v>#N/A</v>
      </c>
      <c r="CQ119" s="5"/>
      <c r="CR119" s="24">
        <f t="array" ref="CR119">IF(INDEX(Data!$P$4:$Z$947,MATCH(Graphs!$CK119,Data!$A$4:$A$947,0),MATCH(Graphs!CR$4,Data!$P$3:$Z$3,0))="n.q.",NA(),INDEX(Data!$P$4:$Z$947,MATCH(Graphs!$CK119,Data!$A$4:$A$947,0),MATCH(Graphs!CR$4,Data!$P$3:$Z$3,0)))</f>
        <v>206.7701635</v>
      </c>
      <c r="CS119" s="24">
        <f t="array" ref="CS119">IF(INDEX(Data!$P$4:$Z$947,MATCH(Graphs!$CK119,Data!$A$4:$A$947,0),MATCH(Graphs!CS$4,Data!$P$3:$Z$3,0))="n.q.",NA(),INDEX(Data!$P$4:$Z$947,MATCH(Graphs!$CK119,Data!$A$4:$A$947,0),MATCH(Graphs!CS$4,Data!$P$3:$Z$3,0)))</f>
        <v>218.79</v>
      </c>
      <c r="CT119" s="24" t="str">
        <f t="array" ref="CT119">IF(INDEX(Data!$P$4:$Z$947,MATCH(Graphs!$CK119,Data!$A$4:$A$947,0),MATCH(Graphs!CT$4,Data!$P$3:$Z$3,0))="n.q.",NA(),INDEX(Data!$P$4:$Z$947,MATCH(Graphs!$CK119,Data!$A$4:$A$947,0),MATCH(Graphs!CT$4,Data!$P$3:$Z$3,0)))</f>
        <v>#N/A</v>
      </c>
      <c r="CU119" s="24" t="str">
        <f t="array" ref="CU119">IF(INDEX(Data!$P$4:$Z$947,MATCH(Graphs!$CK119,Data!$A$4:$A$947,0),MATCH(Graphs!CU$4,Data!$P$3:$Z$3,0))="n.q.",NA(),INDEX(Data!$P$4:$Z$947,MATCH(Graphs!$CK119,Data!$A$4:$A$947,0),MATCH(Graphs!CU$4,Data!$P$3:$Z$3,0)))</f>
        <v>#N/A</v>
      </c>
      <c r="CV119" s="24" t="str">
        <f t="array" ref="CV119">IF(INDEX(Data!$P$4:$Z$947,MATCH(Graphs!$CK119,Data!$A$4:$A$947,0),MATCH(Graphs!CV$4,Data!$P$3:$Z$3,0))="n.q.",NA(),INDEX(Data!$P$4:$Z$947,MATCH(Graphs!$CK119,Data!$A$4:$A$947,0),MATCH(Graphs!CV$4,Data!$P$3:$Z$3,0)))</f>
        <v>#N/A</v>
      </c>
    </row>
    <row r="120" ht="14.25" customHeight="1"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5"/>
      <c r="CK120" s="22">
        <f>Data!A119</f>
        <v>45161</v>
      </c>
      <c r="CL120" s="24">
        <f t="array" ref="CL120">IF(INDEX(Data!$B$4:$L$947,MATCH(Graphs!$CK120,Data!$A$4:$A$947,0),MATCH(Graphs!CL$4,Data!$B$3:$L$3,0))="n.q.",NA(),INDEX(Data!$B$4:$L$947,MATCH(Graphs!$CK120,Data!$A$4:$A$947,0),MATCH(Graphs!CL$4,Data!$B$3:$L$3,0)))</f>
        <v>249.49</v>
      </c>
      <c r="CM120" s="24">
        <f t="array" ref="CM120">IF(INDEX(Data!$B$4:$L$947,MATCH(Graphs!$CK120,Data!$A$4:$A$947,0),MATCH(Graphs!CM$4,Data!$B$3:$L$3,0))="n.q.",NA(),INDEX(Data!$B$4:$L$947,MATCH(Graphs!$CK120,Data!$A$4:$A$947,0),MATCH(Graphs!CM$4,Data!$B$3:$L$3,0)))</f>
        <v>319.67</v>
      </c>
      <c r="CN120" s="24" t="str">
        <f t="array" ref="CN120">IF(INDEX(Data!$B$4:$L$947,MATCH(Graphs!$CK120,Data!$A$4:$A$947,0),MATCH(Graphs!CN$4,Data!$B$3:$L$3,0))="n.q.",NA(),INDEX(Data!$B$4:$L$947,MATCH(Graphs!$CK120,Data!$A$4:$A$947,0),MATCH(Graphs!CN$4,Data!$B$3:$L$3,0)))</f>
        <v>#N/A</v>
      </c>
      <c r="CO120" s="24" t="str">
        <f t="array" ref="CO120">IF(INDEX(Data!$B$4:$L$947,MATCH(Graphs!$CK120,Data!$A$4:$A$947,0),MATCH(Graphs!CO$4,Data!$B$3:$L$3,0))="n.q.",NA(),INDEX(Data!$B$4:$L$947,MATCH(Graphs!$CK120,Data!$A$4:$A$947,0),MATCH(Graphs!CO$4,Data!$B$3:$L$3,0)))</f>
        <v>#N/A</v>
      </c>
      <c r="CP120" s="24" t="str">
        <f t="array" ref="CP120">IF(INDEX(Data!$B$4:$L$947,MATCH(Graphs!$CK120,Data!$A$4:$A$947,0),MATCH(Graphs!CP$4,Data!$B$3:$L$3,0))="n.q.",NA(),INDEX(Data!$B$4:$L$947,MATCH(Graphs!$CK120,Data!$A$4:$A$947,0),MATCH(Graphs!CP$4,Data!$B$3:$L$3,0)))</f>
        <v>#N/A</v>
      </c>
      <c r="CQ120" s="5"/>
      <c r="CR120" s="24">
        <f t="array" ref="CR120">IF(INDEX(Data!$P$4:$Z$947,MATCH(Graphs!$CK120,Data!$A$4:$A$947,0),MATCH(Graphs!CR$4,Data!$P$3:$Z$3,0))="n.q.",NA(),INDEX(Data!$P$4:$Z$947,MATCH(Graphs!$CK120,Data!$A$4:$A$947,0),MATCH(Graphs!CR$4,Data!$P$3:$Z$3,0)))</f>
        <v>200.4812587</v>
      </c>
      <c r="CS120" s="24" t="str">
        <f t="array" ref="CS120">IF(INDEX(Data!$P$4:$Z$947,MATCH(Graphs!$CK120,Data!$A$4:$A$947,0),MATCH(Graphs!CS$4,Data!$P$3:$Z$3,0))="n.q.",NA(),INDEX(Data!$P$4:$Z$947,MATCH(Graphs!$CK120,Data!$A$4:$A$947,0),MATCH(Graphs!CS$4,Data!$P$3:$Z$3,0)))</f>
        <v>#N/A</v>
      </c>
      <c r="CT120" s="24" t="str">
        <f t="array" ref="CT120">IF(INDEX(Data!$P$4:$Z$947,MATCH(Graphs!$CK120,Data!$A$4:$A$947,0),MATCH(Graphs!CT$4,Data!$P$3:$Z$3,0))="n.q.",NA(),INDEX(Data!$P$4:$Z$947,MATCH(Graphs!$CK120,Data!$A$4:$A$947,0),MATCH(Graphs!CT$4,Data!$P$3:$Z$3,0)))</f>
        <v>#N/A</v>
      </c>
      <c r="CU120" s="24" t="str">
        <f t="array" ref="CU120">IF(INDEX(Data!$P$4:$Z$947,MATCH(Graphs!$CK120,Data!$A$4:$A$947,0),MATCH(Graphs!CU$4,Data!$P$3:$Z$3,0))="n.q.",NA(),INDEX(Data!$P$4:$Z$947,MATCH(Graphs!$CK120,Data!$A$4:$A$947,0),MATCH(Graphs!CU$4,Data!$P$3:$Z$3,0)))</f>
        <v>#N/A</v>
      </c>
      <c r="CV120" s="24" t="str">
        <f t="array" ref="CV120">IF(INDEX(Data!$P$4:$Z$947,MATCH(Graphs!$CK120,Data!$A$4:$A$947,0),MATCH(Graphs!CV$4,Data!$P$3:$Z$3,0))="n.q.",NA(),INDEX(Data!$P$4:$Z$947,MATCH(Graphs!$CK120,Data!$A$4:$A$947,0),MATCH(Graphs!CV$4,Data!$P$3:$Z$3,0)))</f>
        <v>#N/A</v>
      </c>
    </row>
    <row r="121" ht="14.25" customHeight="1"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5"/>
      <c r="CK121" s="22">
        <f>Data!A120</f>
        <v>45154</v>
      </c>
      <c r="CL121" s="24">
        <f t="array" ref="CL121">IF(INDEX(Data!$B$4:$L$947,MATCH(Graphs!$CK121,Data!$A$4:$A$947,0),MATCH(Graphs!CL$4,Data!$B$3:$L$3,0))="n.q.",NA(),INDEX(Data!$B$4:$L$947,MATCH(Graphs!$CK121,Data!$A$4:$A$947,0),MATCH(Graphs!CL$4,Data!$B$3:$L$3,0)))</f>
        <v>247.17</v>
      </c>
      <c r="CM121" s="24">
        <f t="array" ref="CM121">IF(INDEX(Data!$B$4:$L$947,MATCH(Graphs!$CK121,Data!$A$4:$A$947,0),MATCH(Graphs!CM$4,Data!$B$3:$L$3,0))="n.q.",NA(),INDEX(Data!$B$4:$L$947,MATCH(Graphs!$CK121,Data!$A$4:$A$947,0),MATCH(Graphs!CM$4,Data!$B$3:$L$3,0)))</f>
        <v>311.59</v>
      </c>
      <c r="CN121" s="24" t="str">
        <f t="array" ref="CN121">IF(INDEX(Data!$B$4:$L$947,MATCH(Graphs!$CK121,Data!$A$4:$A$947,0),MATCH(Graphs!CN$4,Data!$B$3:$L$3,0))="n.q.",NA(),INDEX(Data!$B$4:$L$947,MATCH(Graphs!$CK121,Data!$A$4:$A$947,0),MATCH(Graphs!CN$4,Data!$B$3:$L$3,0)))</f>
        <v>#N/A</v>
      </c>
      <c r="CO121" s="24" t="str">
        <f t="array" ref="CO121">IF(INDEX(Data!$B$4:$L$947,MATCH(Graphs!$CK121,Data!$A$4:$A$947,0),MATCH(Graphs!CO$4,Data!$B$3:$L$3,0))="n.q.",NA(),INDEX(Data!$B$4:$L$947,MATCH(Graphs!$CK121,Data!$A$4:$A$947,0),MATCH(Graphs!CO$4,Data!$B$3:$L$3,0)))</f>
        <v>#N/A</v>
      </c>
      <c r="CP121" s="24" t="str">
        <f t="array" ref="CP121">IF(INDEX(Data!$B$4:$L$947,MATCH(Graphs!$CK121,Data!$A$4:$A$947,0),MATCH(Graphs!CP$4,Data!$B$3:$L$3,0))="n.q.",NA(),INDEX(Data!$B$4:$L$947,MATCH(Graphs!$CK121,Data!$A$4:$A$947,0),MATCH(Graphs!CP$4,Data!$B$3:$L$3,0)))</f>
        <v>#N/A</v>
      </c>
      <c r="CQ121" s="5"/>
      <c r="CR121" s="24">
        <f t="array" ref="CR121">IF(INDEX(Data!$P$4:$Z$947,MATCH(Graphs!$CK121,Data!$A$4:$A$947,0),MATCH(Graphs!CR$4,Data!$P$3:$Z$3,0))="n.q.",NA(),INDEX(Data!$P$4:$Z$947,MATCH(Graphs!$CK121,Data!$A$4:$A$947,0),MATCH(Graphs!CR$4,Data!$P$3:$Z$3,0)))</f>
        <v>194.5676072</v>
      </c>
      <c r="CS121" s="24" t="str">
        <f t="array" ref="CS121">IF(INDEX(Data!$P$4:$Z$947,MATCH(Graphs!$CK121,Data!$A$4:$A$947,0),MATCH(Graphs!CS$4,Data!$P$3:$Z$3,0))="n.q.",NA(),INDEX(Data!$P$4:$Z$947,MATCH(Graphs!$CK121,Data!$A$4:$A$947,0),MATCH(Graphs!CS$4,Data!$P$3:$Z$3,0)))</f>
        <v>#N/A</v>
      </c>
      <c r="CT121" s="24" t="str">
        <f t="array" ref="CT121">IF(INDEX(Data!$P$4:$Z$947,MATCH(Graphs!$CK121,Data!$A$4:$A$947,0),MATCH(Graphs!CT$4,Data!$P$3:$Z$3,0))="n.q.",NA(),INDEX(Data!$P$4:$Z$947,MATCH(Graphs!$CK121,Data!$A$4:$A$947,0),MATCH(Graphs!CT$4,Data!$P$3:$Z$3,0)))</f>
        <v>#N/A</v>
      </c>
      <c r="CU121" s="24" t="str">
        <f t="array" ref="CU121">IF(INDEX(Data!$P$4:$Z$947,MATCH(Graphs!$CK121,Data!$A$4:$A$947,0),MATCH(Graphs!CU$4,Data!$P$3:$Z$3,0))="n.q.",NA(),INDEX(Data!$P$4:$Z$947,MATCH(Graphs!$CK121,Data!$A$4:$A$947,0),MATCH(Graphs!CU$4,Data!$P$3:$Z$3,0)))</f>
        <v>#N/A</v>
      </c>
      <c r="CV121" s="24" t="str">
        <f t="array" ref="CV121">IF(INDEX(Data!$P$4:$Z$947,MATCH(Graphs!$CK121,Data!$A$4:$A$947,0),MATCH(Graphs!CV$4,Data!$P$3:$Z$3,0))="n.q.",NA(),INDEX(Data!$P$4:$Z$947,MATCH(Graphs!$CK121,Data!$A$4:$A$947,0),MATCH(Graphs!CV$4,Data!$P$3:$Z$3,0)))</f>
        <v>#N/A</v>
      </c>
    </row>
    <row r="122" ht="14.25" customHeight="1"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5"/>
      <c r="CK122" s="22">
        <f>Data!A121</f>
        <v>45147</v>
      </c>
      <c r="CL122" s="24">
        <f t="array" ref="CL122">IF(INDEX(Data!$B$4:$L$947,MATCH(Graphs!$CK122,Data!$A$4:$A$947,0),MATCH(Graphs!CL$4,Data!$B$3:$L$3,0))="n.q.",NA(),INDEX(Data!$B$4:$L$947,MATCH(Graphs!$CK122,Data!$A$4:$A$947,0),MATCH(Graphs!CL$4,Data!$B$3:$L$3,0)))</f>
        <v>263.09</v>
      </c>
      <c r="CM122" s="24">
        <f t="array" ref="CM122">IF(INDEX(Data!$B$4:$L$947,MATCH(Graphs!$CK122,Data!$A$4:$A$947,0),MATCH(Graphs!CM$4,Data!$B$3:$L$3,0))="n.q.",NA(),INDEX(Data!$B$4:$L$947,MATCH(Graphs!$CK122,Data!$A$4:$A$947,0),MATCH(Graphs!CM$4,Data!$B$3:$L$3,0)))</f>
        <v>318.38</v>
      </c>
      <c r="CN122" s="24" t="str">
        <f t="array" ref="CN122">IF(INDEX(Data!$B$4:$L$947,MATCH(Graphs!$CK122,Data!$A$4:$A$947,0),MATCH(Graphs!CN$4,Data!$B$3:$L$3,0))="n.q.",NA(),INDEX(Data!$B$4:$L$947,MATCH(Graphs!$CK122,Data!$A$4:$A$947,0),MATCH(Graphs!CN$4,Data!$B$3:$L$3,0)))</f>
        <v>#N/A</v>
      </c>
      <c r="CO122" s="24" t="str">
        <f t="array" ref="CO122">IF(INDEX(Data!$B$4:$L$947,MATCH(Graphs!$CK122,Data!$A$4:$A$947,0),MATCH(Graphs!CO$4,Data!$B$3:$L$3,0))="n.q.",NA(),INDEX(Data!$B$4:$L$947,MATCH(Graphs!$CK122,Data!$A$4:$A$947,0),MATCH(Graphs!CO$4,Data!$B$3:$L$3,0)))</f>
        <v>#N/A</v>
      </c>
      <c r="CP122" s="24" t="str">
        <f t="array" ref="CP122">IF(INDEX(Data!$B$4:$L$947,MATCH(Graphs!$CK122,Data!$A$4:$A$947,0),MATCH(Graphs!CP$4,Data!$B$3:$L$3,0))="n.q.",NA(),INDEX(Data!$B$4:$L$947,MATCH(Graphs!$CK122,Data!$A$4:$A$947,0),MATCH(Graphs!CP$4,Data!$B$3:$L$3,0)))</f>
        <v>#N/A</v>
      </c>
      <c r="CQ122" s="5"/>
      <c r="CR122" s="24">
        <f t="array" ref="CR122">IF(INDEX(Data!$P$4:$Z$947,MATCH(Graphs!$CK122,Data!$A$4:$A$947,0),MATCH(Graphs!CR$4,Data!$P$3:$Z$3,0))="n.q.",NA(),INDEX(Data!$P$4:$Z$947,MATCH(Graphs!$CK122,Data!$A$4:$A$947,0),MATCH(Graphs!CR$4,Data!$P$3:$Z$3,0)))</f>
        <v>195.9792123</v>
      </c>
      <c r="CS122" s="24">
        <f t="array" ref="CS122">IF(INDEX(Data!$P$4:$Z$947,MATCH(Graphs!$CK122,Data!$A$4:$A$947,0),MATCH(Graphs!CS$4,Data!$P$3:$Z$3,0))="n.q.",NA(),INDEX(Data!$P$4:$Z$947,MATCH(Graphs!$CK122,Data!$A$4:$A$947,0),MATCH(Graphs!CS$4,Data!$P$3:$Z$3,0)))</f>
        <v>234.79</v>
      </c>
      <c r="CT122" s="24" t="str">
        <f t="array" ref="CT122">IF(INDEX(Data!$P$4:$Z$947,MATCH(Graphs!$CK122,Data!$A$4:$A$947,0),MATCH(Graphs!CT$4,Data!$P$3:$Z$3,0))="n.q.",NA(),INDEX(Data!$P$4:$Z$947,MATCH(Graphs!$CK122,Data!$A$4:$A$947,0),MATCH(Graphs!CT$4,Data!$P$3:$Z$3,0)))</f>
        <v>#N/A</v>
      </c>
      <c r="CU122" s="24" t="str">
        <f t="array" ref="CU122">IF(INDEX(Data!$P$4:$Z$947,MATCH(Graphs!$CK122,Data!$A$4:$A$947,0),MATCH(Graphs!CU$4,Data!$P$3:$Z$3,0))="n.q.",NA(),INDEX(Data!$P$4:$Z$947,MATCH(Graphs!$CK122,Data!$A$4:$A$947,0),MATCH(Graphs!CU$4,Data!$P$3:$Z$3,0)))</f>
        <v>#N/A</v>
      </c>
      <c r="CV122" s="24" t="str">
        <f t="array" ref="CV122">IF(INDEX(Data!$P$4:$Z$947,MATCH(Graphs!$CK122,Data!$A$4:$A$947,0),MATCH(Graphs!CV$4,Data!$P$3:$Z$3,0))="n.q.",NA(),INDEX(Data!$P$4:$Z$947,MATCH(Graphs!$CK122,Data!$A$4:$A$947,0),MATCH(Graphs!CV$4,Data!$P$3:$Z$3,0)))</f>
        <v>#N/A</v>
      </c>
    </row>
    <row r="123" ht="14.25" customHeight="1"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5"/>
      <c r="CK123" s="22">
        <f>Data!A122</f>
        <v>45140</v>
      </c>
      <c r="CL123" s="24">
        <f t="array" ref="CL123">IF(INDEX(Data!$B$4:$L$947,MATCH(Graphs!$CK123,Data!$A$4:$A$947,0),MATCH(Graphs!CL$4,Data!$B$3:$L$3,0))="n.q.",NA(),INDEX(Data!$B$4:$L$947,MATCH(Graphs!$CK123,Data!$A$4:$A$947,0),MATCH(Graphs!CL$4,Data!$B$3:$L$3,0)))</f>
        <v>253.42</v>
      </c>
      <c r="CM123" s="24">
        <f t="array" ref="CM123">IF(INDEX(Data!$B$4:$L$947,MATCH(Graphs!$CK123,Data!$A$4:$A$947,0),MATCH(Graphs!CM$4,Data!$B$3:$L$3,0))="n.q.",NA(),INDEX(Data!$B$4:$L$947,MATCH(Graphs!$CK123,Data!$A$4:$A$947,0),MATCH(Graphs!CM$4,Data!$B$3:$L$3,0)))</f>
        <v>325.92</v>
      </c>
      <c r="CN123" s="24" t="str">
        <f t="array" ref="CN123">IF(INDEX(Data!$B$4:$L$947,MATCH(Graphs!$CK123,Data!$A$4:$A$947,0),MATCH(Graphs!CN$4,Data!$B$3:$L$3,0))="n.q.",NA(),INDEX(Data!$B$4:$L$947,MATCH(Graphs!$CK123,Data!$A$4:$A$947,0),MATCH(Graphs!CN$4,Data!$B$3:$L$3,0)))</f>
        <v>#N/A</v>
      </c>
      <c r="CO123" s="24" t="str">
        <f t="array" ref="CO123">IF(INDEX(Data!$B$4:$L$947,MATCH(Graphs!$CK123,Data!$A$4:$A$947,0),MATCH(Graphs!CO$4,Data!$B$3:$L$3,0))="n.q.",NA(),INDEX(Data!$B$4:$L$947,MATCH(Graphs!$CK123,Data!$A$4:$A$947,0),MATCH(Graphs!CO$4,Data!$B$3:$L$3,0)))</f>
        <v>#N/A</v>
      </c>
      <c r="CP123" s="24" t="str">
        <f t="array" ref="CP123">IF(INDEX(Data!$B$4:$L$947,MATCH(Graphs!$CK123,Data!$A$4:$A$947,0),MATCH(Graphs!CP$4,Data!$B$3:$L$3,0))="n.q.",NA(),INDEX(Data!$B$4:$L$947,MATCH(Graphs!$CK123,Data!$A$4:$A$947,0),MATCH(Graphs!CP$4,Data!$B$3:$L$3,0)))</f>
        <v>#N/A</v>
      </c>
      <c r="CQ123" s="5"/>
      <c r="CR123" s="24">
        <f t="array" ref="CR123">IF(INDEX(Data!$P$4:$Z$947,MATCH(Graphs!$CK123,Data!$A$4:$A$947,0),MATCH(Graphs!CR$4,Data!$P$3:$Z$3,0))="n.q.",NA(),INDEX(Data!$P$4:$Z$947,MATCH(Graphs!$CK123,Data!$A$4:$A$947,0),MATCH(Graphs!CR$4,Data!$P$3:$Z$3,0)))</f>
        <v>202.9312699</v>
      </c>
      <c r="CS123" s="24" t="str">
        <f t="array" ref="CS123">IF(INDEX(Data!$P$4:$Z$947,MATCH(Graphs!$CK123,Data!$A$4:$A$947,0),MATCH(Graphs!CS$4,Data!$P$3:$Z$3,0))="n.q.",NA(),INDEX(Data!$P$4:$Z$947,MATCH(Graphs!$CK123,Data!$A$4:$A$947,0),MATCH(Graphs!CS$4,Data!$P$3:$Z$3,0)))</f>
        <v>#N/A</v>
      </c>
      <c r="CT123" s="24" t="str">
        <f t="array" ref="CT123">IF(INDEX(Data!$P$4:$Z$947,MATCH(Graphs!$CK123,Data!$A$4:$A$947,0),MATCH(Graphs!CT$4,Data!$P$3:$Z$3,0))="n.q.",NA(),INDEX(Data!$P$4:$Z$947,MATCH(Graphs!$CK123,Data!$A$4:$A$947,0),MATCH(Graphs!CT$4,Data!$P$3:$Z$3,0)))</f>
        <v>#N/A</v>
      </c>
      <c r="CU123" s="24" t="str">
        <f t="array" ref="CU123">IF(INDEX(Data!$P$4:$Z$947,MATCH(Graphs!$CK123,Data!$A$4:$A$947,0),MATCH(Graphs!CU$4,Data!$P$3:$Z$3,0))="n.q.",NA(),INDEX(Data!$P$4:$Z$947,MATCH(Graphs!$CK123,Data!$A$4:$A$947,0),MATCH(Graphs!CU$4,Data!$P$3:$Z$3,0)))</f>
        <v>#N/A</v>
      </c>
      <c r="CV123" s="24" t="str">
        <f t="array" ref="CV123">IF(INDEX(Data!$P$4:$Z$947,MATCH(Graphs!$CK123,Data!$A$4:$A$947,0),MATCH(Graphs!CV$4,Data!$P$3:$Z$3,0))="n.q.",NA(),INDEX(Data!$P$4:$Z$947,MATCH(Graphs!$CK123,Data!$A$4:$A$947,0),MATCH(Graphs!CV$4,Data!$P$3:$Z$3,0)))</f>
        <v>#N/A</v>
      </c>
    </row>
    <row r="124" ht="14.25" customHeight="1"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5"/>
      <c r="CK124" s="22">
        <f>Data!A123</f>
        <v>45133</v>
      </c>
      <c r="CL124" s="24">
        <f t="array" ref="CL124">IF(INDEX(Data!$B$4:$L$947,MATCH(Graphs!$CK124,Data!$A$4:$A$947,0),MATCH(Graphs!CL$4,Data!$B$3:$L$3,0))="n.q.",NA(),INDEX(Data!$B$4:$L$947,MATCH(Graphs!$CK124,Data!$A$4:$A$947,0),MATCH(Graphs!CL$4,Data!$B$3:$L$3,0)))</f>
        <v>278.88</v>
      </c>
      <c r="CM124" s="24">
        <f t="array" ref="CM124">IF(INDEX(Data!$B$4:$L$947,MATCH(Graphs!$CK124,Data!$A$4:$A$947,0),MATCH(Graphs!CM$4,Data!$B$3:$L$3,0))="n.q.",NA(),INDEX(Data!$B$4:$L$947,MATCH(Graphs!$CK124,Data!$A$4:$A$947,0),MATCH(Graphs!CM$4,Data!$B$3:$L$3,0)))</f>
        <v>354.67</v>
      </c>
      <c r="CN124" s="24" t="str">
        <f t="array" ref="CN124">IF(INDEX(Data!$B$4:$L$947,MATCH(Graphs!$CK124,Data!$A$4:$A$947,0),MATCH(Graphs!CN$4,Data!$B$3:$L$3,0))="n.q.",NA(),INDEX(Data!$B$4:$L$947,MATCH(Graphs!$CK124,Data!$A$4:$A$947,0),MATCH(Graphs!CN$4,Data!$B$3:$L$3,0)))</f>
        <v>#N/A</v>
      </c>
      <c r="CO124" s="24" t="str">
        <f t="array" ref="CO124">IF(INDEX(Data!$B$4:$L$947,MATCH(Graphs!$CK124,Data!$A$4:$A$947,0),MATCH(Graphs!CO$4,Data!$B$3:$L$3,0))="n.q.",NA(),INDEX(Data!$B$4:$L$947,MATCH(Graphs!$CK124,Data!$A$4:$A$947,0),MATCH(Graphs!CO$4,Data!$B$3:$L$3,0)))</f>
        <v>#N/A</v>
      </c>
      <c r="CP124" s="24" t="str">
        <f t="array" ref="CP124">IF(INDEX(Data!$B$4:$L$947,MATCH(Graphs!$CK124,Data!$A$4:$A$947,0),MATCH(Graphs!CP$4,Data!$B$3:$L$3,0))="n.q.",NA(),INDEX(Data!$B$4:$L$947,MATCH(Graphs!$CK124,Data!$A$4:$A$947,0),MATCH(Graphs!CP$4,Data!$B$3:$L$3,0)))</f>
        <v>#N/A</v>
      </c>
      <c r="CQ124" s="5"/>
      <c r="CR124" s="24">
        <f t="array" ref="CR124">IF(INDEX(Data!$P$4:$Z$947,MATCH(Graphs!$CK124,Data!$A$4:$A$947,0),MATCH(Graphs!CR$4,Data!$P$3:$Z$3,0))="n.q.",NA(),INDEX(Data!$P$4:$Z$947,MATCH(Graphs!$CK124,Data!$A$4:$A$947,0),MATCH(Graphs!CR$4,Data!$P$3:$Z$3,0)))</f>
        <v>220.0831902</v>
      </c>
      <c r="CS124" s="24">
        <f t="array" ref="CS124">IF(INDEX(Data!$P$4:$Z$947,MATCH(Graphs!$CK124,Data!$A$4:$A$947,0),MATCH(Graphs!CS$4,Data!$P$3:$Z$3,0))="n.q.",NA(),INDEX(Data!$P$4:$Z$947,MATCH(Graphs!$CK124,Data!$A$4:$A$947,0),MATCH(Graphs!CS$4,Data!$P$3:$Z$3,0)))</f>
        <v>260.09</v>
      </c>
      <c r="CT124" s="24" t="str">
        <f t="array" ref="CT124">IF(INDEX(Data!$P$4:$Z$947,MATCH(Graphs!$CK124,Data!$A$4:$A$947,0),MATCH(Graphs!CT$4,Data!$P$3:$Z$3,0))="n.q.",NA(),INDEX(Data!$P$4:$Z$947,MATCH(Graphs!$CK124,Data!$A$4:$A$947,0),MATCH(Graphs!CT$4,Data!$P$3:$Z$3,0)))</f>
        <v>#N/A</v>
      </c>
      <c r="CU124" s="24" t="str">
        <f t="array" ref="CU124">IF(INDEX(Data!$P$4:$Z$947,MATCH(Graphs!$CK124,Data!$A$4:$A$947,0),MATCH(Graphs!CU$4,Data!$P$3:$Z$3,0))="n.q.",NA(),INDEX(Data!$P$4:$Z$947,MATCH(Graphs!$CK124,Data!$A$4:$A$947,0),MATCH(Graphs!CU$4,Data!$P$3:$Z$3,0)))</f>
        <v>#N/A</v>
      </c>
      <c r="CV124" s="24" t="str">
        <f t="array" ref="CV124">IF(INDEX(Data!$P$4:$Z$947,MATCH(Graphs!$CK124,Data!$A$4:$A$947,0),MATCH(Graphs!CV$4,Data!$P$3:$Z$3,0))="n.q.",NA(),INDEX(Data!$P$4:$Z$947,MATCH(Graphs!$CK124,Data!$A$4:$A$947,0),MATCH(Graphs!CV$4,Data!$P$3:$Z$3,0)))</f>
        <v>#N/A</v>
      </c>
    </row>
    <row r="125" ht="14.25" customHeight="1"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5"/>
      <c r="CK125" s="22">
        <f>Data!A124</f>
        <v>45126</v>
      </c>
      <c r="CL125" s="24">
        <f t="array" ref="CL125">IF(INDEX(Data!$B$4:$L$947,MATCH(Graphs!$CK125,Data!$A$4:$A$947,0),MATCH(Graphs!CL$4,Data!$B$3:$L$3,0))="n.q.",NA(),INDEX(Data!$B$4:$L$947,MATCH(Graphs!$CK125,Data!$A$4:$A$947,0),MATCH(Graphs!CL$4,Data!$B$3:$L$3,0)))</f>
        <v>277.34</v>
      </c>
      <c r="CM125" s="24">
        <f t="array" ref="CM125">IF(INDEX(Data!$B$4:$L$947,MATCH(Graphs!$CK125,Data!$A$4:$A$947,0),MATCH(Graphs!CM$4,Data!$B$3:$L$3,0))="n.q.",NA(),INDEX(Data!$B$4:$L$947,MATCH(Graphs!$CK125,Data!$A$4:$A$947,0),MATCH(Graphs!CM$4,Data!$B$3:$L$3,0)))</f>
        <v>355.22</v>
      </c>
      <c r="CN125" s="24">
        <f t="array" ref="CN125">IF(INDEX(Data!$B$4:$L$947,MATCH(Graphs!$CK125,Data!$A$4:$A$947,0),MATCH(Graphs!CN$4,Data!$B$3:$L$3,0))="n.q.",NA(),INDEX(Data!$B$4:$L$947,MATCH(Graphs!$CK125,Data!$A$4:$A$947,0),MATCH(Graphs!CN$4,Data!$B$3:$L$3,0)))</f>
        <v>211</v>
      </c>
      <c r="CO125" s="24" t="str">
        <f t="array" ref="CO125">IF(INDEX(Data!$B$4:$L$947,MATCH(Graphs!$CK125,Data!$A$4:$A$947,0),MATCH(Graphs!CO$4,Data!$B$3:$L$3,0))="n.q.",NA(),INDEX(Data!$B$4:$L$947,MATCH(Graphs!$CK125,Data!$A$4:$A$947,0),MATCH(Graphs!CO$4,Data!$B$3:$L$3,0)))</f>
        <v>#N/A</v>
      </c>
      <c r="CP125" s="24" t="str">
        <f t="array" ref="CP125">IF(INDEX(Data!$B$4:$L$947,MATCH(Graphs!$CK125,Data!$A$4:$A$947,0),MATCH(Graphs!CP$4,Data!$B$3:$L$3,0))="n.q.",NA(),INDEX(Data!$B$4:$L$947,MATCH(Graphs!$CK125,Data!$A$4:$A$947,0),MATCH(Graphs!CP$4,Data!$B$3:$L$3,0)))</f>
        <v>#N/A</v>
      </c>
      <c r="CQ125" s="5"/>
      <c r="CR125" s="24">
        <f t="array" ref="CR125">IF(INDEX(Data!$P$4:$Z$947,MATCH(Graphs!$CK125,Data!$A$4:$A$947,0),MATCH(Graphs!CR$4,Data!$P$3:$Z$3,0))="n.q.",NA(),INDEX(Data!$P$4:$Z$947,MATCH(Graphs!$CK125,Data!$A$4:$A$947,0),MATCH(Graphs!CR$4,Data!$P$3:$Z$3,0)))</f>
        <v>218.731064</v>
      </c>
      <c r="CS125" s="24">
        <f t="array" ref="CS125">IF(INDEX(Data!$P$4:$Z$947,MATCH(Graphs!$CK125,Data!$A$4:$A$947,0),MATCH(Graphs!CS$4,Data!$P$3:$Z$3,0))="n.q.",NA(),INDEX(Data!$P$4:$Z$947,MATCH(Graphs!$CK125,Data!$A$4:$A$947,0),MATCH(Graphs!CS$4,Data!$P$3:$Z$3,0)))</f>
        <v>255.16</v>
      </c>
      <c r="CT125" s="24">
        <f t="array" ref="CT125">IF(INDEX(Data!$P$4:$Z$947,MATCH(Graphs!$CK125,Data!$A$4:$A$947,0),MATCH(Graphs!CT$4,Data!$P$3:$Z$3,0))="n.q.",NA(),INDEX(Data!$P$4:$Z$947,MATCH(Graphs!$CK125,Data!$A$4:$A$947,0),MATCH(Graphs!CT$4,Data!$P$3:$Z$3,0)))</f>
        <v>175.5480307</v>
      </c>
      <c r="CU125" s="24" t="str">
        <f t="array" ref="CU125">IF(INDEX(Data!$P$4:$Z$947,MATCH(Graphs!$CK125,Data!$A$4:$A$947,0),MATCH(Graphs!CU$4,Data!$P$3:$Z$3,0))="n.q.",NA(),INDEX(Data!$P$4:$Z$947,MATCH(Graphs!$CK125,Data!$A$4:$A$947,0),MATCH(Graphs!CU$4,Data!$P$3:$Z$3,0)))</f>
        <v>#N/A</v>
      </c>
      <c r="CV125" s="24" t="str">
        <f t="array" ref="CV125">IF(INDEX(Data!$P$4:$Z$947,MATCH(Graphs!$CK125,Data!$A$4:$A$947,0),MATCH(Graphs!CV$4,Data!$P$3:$Z$3,0))="n.q.",NA(),INDEX(Data!$P$4:$Z$947,MATCH(Graphs!$CK125,Data!$A$4:$A$947,0),MATCH(Graphs!CV$4,Data!$P$3:$Z$3,0)))</f>
        <v>#N/A</v>
      </c>
    </row>
    <row r="126" ht="14.25" customHeight="1"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5"/>
      <c r="CK126" s="22">
        <f>Data!A125</f>
        <v>45119</v>
      </c>
      <c r="CL126" s="24">
        <f t="array" ref="CL126">IF(INDEX(Data!$B$4:$L$947,MATCH(Graphs!$CK126,Data!$A$4:$A$947,0),MATCH(Graphs!CL$4,Data!$B$3:$L$3,0))="n.q.",NA(),INDEX(Data!$B$4:$L$947,MATCH(Graphs!$CK126,Data!$A$4:$A$947,0),MATCH(Graphs!CL$4,Data!$B$3:$L$3,0)))</f>
        <v>249.97</v>
      </c>
      <c r="CM126" s="24">
        <f t="array" ref="CM126">IF(INDEX(Data!$B$4:$L$947,MATCH(Graphs!$CK126,Data!$A$4:$A$947,0),MATCH(Graphs!CM$4,Data!$B$3:$L$3,0))="n.q.",NA(),INDEX(Data!$B$4:$L$947,MATCH(Graphs!$CK126,Data!$A$4:$A$947,0),MATCH(Graphs!CM$4,Data!$B$3:$L$3,0)))</f>
        <v>330.42</v>
      </c>
      <c r="CN126" s="24">
        <f t="array" ref="CN126">IF(INDEX(Data!$B$4:$L$947,MATCH(Graphs!$CK126,Data!$A$4:$A$947,0),MATCH(Graphs!CN$4,Data!$B$3:$L$3,0))="n.q.",NA(),INDEX(Data!$B$4:$L$947,MATCH(Graphs!$CK126,Data!$A$4:$A$947,0),MATCH(Graphs!CN$4,Data!$B$3:$L$3,0)))</f>
        <v>209</v>
      </c>
      <c r="CO126" s="24" t="str">
        <f t="array" ref="CO126">IF(INDEX(Data!$B$4:$L$947,MATCH(Graphs!$CK126,Data!$A$4:$A$947,0),MATCH(Graphs!CO$4,Data!$B$3:$L$3,0))="n.q.",NA(),INDEX(Data!$B$4:$L$947,MATCH(Graphs!$CK126,Data!$A$4:$A$947,0),MATCH(Graphs!CO$4,Data!$B$3:$L$3,0)))</f>
        <v>#N/A</v>
      </c>
      <c r="CP126" s="24" t="str">
        <f t="array" ref="CP126">IF(INDEX(Data!$B$4:$L$947,MATCH(Graphs!$CK126,Data!$A$4:$A$947,0),MATCH(Graphs!CP$4,Data!$B$3:$L$3,0))="n.q.",NA(),INDEX(Data!$B$4:$L$947,MATCH(Graphs!$CK126,Data!$A$4:$A$947,0),MATCH(Graphs!CP$4,Data!$B$3:$L$3,0)))</f>
        <v>#N/A</v>
      </c>
      <c r="CQ126" s="5"/>
      <c r="CR126" s="24">
        <f t="array" ref="CR126">IF(INDEX(Data!$P$4:$Z$947,MATCH(Graphs!$CK126,Data!$A$4:$A$947,0),MATCH(Graphs!CR$4,Data!$P$3:$Z$3,0))="n.q.",NA(),INDEX(Data!$P$4:$Z$947,MATCH(Graphs!$CK126,Data!$A$4:$A$947,0),MATCH(Graphs!CR$4,Data!$P$3:$Z$3,0)))</f>
        <v>216.0043549</v>
      </c>
      <c r="CS126" s="24">
        <f t="array" ref="CS126">IF(INDEX(Data!$P$4:$Z$947,MATCH(Graphs!$CK126,Data!$A$4:$A$947,0),MATCH(Graphs!CS$4,Data!$P$3:$Z$3,0))="n.q.",NA(),INDEX(Data!$P$4:$Z$947,MATCH(Graphs!$CK126,Data!$A$4:$A$947,0),MATCH(Graphs!CS$4,Data!$P$3:$Z$3,0)))</f>
        <v>243.16</v>
      </c>
      <c r="CT126" s="24">
        <f t="array" ref="CT126">IF(INDEX(Data!$P$4:$Z$947,MATCH(Graphs!$CK126,Data!$A$4:$A$947,0),MATCH(Graphs!CT$4,Data!$P$3:$Z$3,0))="n.q.",NA(),INDEX(Data!$P$4:$Z$947,MATCH(Graphs!$CK126,Data!$A$4:$A$947,0),MATCH(Graphs!CT$4,Data!$P$3:$Z$3,0)))</f>
        <v>178.7334422</v>
      </c>
      <c r="CU126" s="24" t="str">
        <f t="array" ref="CU126">IF(INDEX(Data!$P$4:$Z$947,MATCH(Graphs!$CK126,Data!$A$4:$A$947,0),MATCH(Graphs!CU$4,Data!$P$3:$Z$3,0))="n.q.",NA(),INDEX(Data!$P$4:$Z$947,MATCH(Graphs!$CK126,Data!$A$4:$A$947,0),MATCH(Graphs!CU$4,Data!$P$3:$Z$3,0)))</f>
        <v>#N/A</v>
      </c>
      <c r="CV126" s="24" t="str">
        <f t="array" ref="CV126">IF(INDEX(Data!$P$4:$Z$947,MATCH(Graphs!$CK126,Data!$A$4:$A$947,0),MATCH(Graphs!CV$4,Data!$P$3:$Z$3,0))="n.q.",NA(),INDEX(Data!$P$4:$Z$947,MATCH(Graphs!$CK126,Data!$A$4:$A$947,0),MATCH(Graphs!CV$4,Data!$P$3:$Z$3,0)))</f>
        <v>#N/A</v>
      </c>
    </row>
    <row r="127" ht="14.25" customHeight="1"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5"/>
      <c r="CK127" s="22">
        <f>Data!A126</f>
        <v>45112</v>
      </c>
      <c r="CL127" s="24">
        <f t="array" ref="CL127">IF(INDEX(Data!$B$4:$L$947,MATCH(Graphs!$CK127,Data!$A$4:$A$947,0),MATCH(Graphs!CL$4,Data!$B$3:$L$3,0))="n.q.",NA(),INDEX(Data!$B$4:$L$947,MATCH(Graphs!$CK127,Data!$A$4:$A$947,0),MATCH(Graphs!CL$4,Data!$B$3:$L$3,0)))</f>
        <v>247.5</v>
      </c>
      <c r="CM127" s="24">
        <f t="array" ref="CM127">IF(INDEX(Data!$B$4:$L$947,MATCH(Graphs!$CK127,Data!$A$4:$A$947,0),MATCH(Graphs!CM$4,Data!$B$3:$L$3,0))="n.q.",NA(),INDEX(Data!$B$4:$L$947,MATCH(Graphs!$CK127,Data!$A$4:$A$947,0),MATCH(Graphs!CM$4,Data!$B$3:$L$3,0)))</f>
        <v>346.95</v>
      </c>
      <c r="CN127" s="24">
        <f t="array" ref="CN127">IF(INDEX(Data!$B$4:$L$947,MATCH(Graphs!$CK127,Data!$A$4:$A$947,0),MATCH(Graphs!CN$4,Data!$B$3:$L$3,0))="n.q.",NA(),INDEX(Data!$B$4:$L$947,MATCH(Graphs!$CK127,Data!$A$4:$A$947,0),MATCH(Graphs!CN$4,Data!$B$3:$L$3,0)))</f>
        <v>215</v>
      </c>
      <c r="CO127" s="24" t="str">
        <f t="array" ref="CO127">IF(INDEX(Data!$B$4:$L$947,MATCH(Graphs!$CK127,Data!$A$4:$A$947,0),MATCH(Graphs!CO$4,Data!$B$3:$L$3,0))="n.q.",NA(),INDEX(Data!$B$4:$L$947,MATCH(Graphs!$CK127,Data!$A$4:$A$947,0),MATCH(Graphs!CO$4,Data!$B$3:$L$3,0)))</f>
        <v>#N/A</v>
      </c>
      <c r="CP127" s="24" t="str">
        <f t="array" ref="CP127">IF(INDEX(Data!$B$4:$L$947,MATCH(Graphs!$CK127,Data!$A$4:$A$947,0),MATCH(Graphs!CP$4,Data!$B$3:$L$3,0))="n.q.",NA(),INDEX(Data!$B$4:$L$947,MATCH(Graphs!$CK127,Data!$A$4:$A$947,0),MATCH(Graphs!CP$4,Data!$B$3:$L$3,0)))</f>
        <v>#N/A</v>
      </c>
      <c r="CQ127" s="5"/>
      <c r="CR127" s="24">
        <f t="array" ref="CR127">IF(INDEX(Data!$P$4:$Z$947,MATCH(Graphs!$CK127,Data!$A$4:$A$947,0),MATCH(Graphs!CR$4,Data!$P$3:$Z$3,0))="n.q.",NA(),INDEX(Data!$P$4:$Z$947,MATCH(Graphs!$CK127,Data!$A$4:$A$947,0),MATCH(Graphs!CR$4,Data!$P$3:$Z$3,0)))</f>
        <v>217.2166559</v>
      </c>
      <c r="CS127" s="24">
        <f t="array" ref="CS127">IF(INDEX(Data!$P$4:$Z$947,MATCH(Graphs!$CK127,Data!$A$4:$A$947,0),MATCH(Graphs!CS$4,Data!$P$3:$Z$3,0))="n.q.",NA(),INDEX(Data!$P$4:$Z$947,MATCH(Graphs!$CK127,Data!$A$4:$A$947,0),MATCH(Graphs!CS$4,Data!$P$3:$Z$3,0)))</f>
        <v>239.66</v>
      </c>
      <c r="CT127" s="24">
        <f t="array" ref="CT127">IF(INDEX(Data!$P$4:$Z$947,MATCH(Graphs!$CK127,Data!$A$4:$A$947,0),MATCH(Graphs!CT$4,Data!$P$3:$Z$3,0))="n.q.",NA(),INDEX(Data!$P$4:$Z$947,MATCH(Graphs!$CK127,Data!$A$4:$A$947,0),MATCH(Graphs!CT$4,Data!$P$3:$Z$3,0)))</f>
        <v>188.4364372</v>
      </c>
      <c r="CU127" s="24" t="str">
        <f t="array" ref="CU127">IF(INDEX(Data!$P$4:$Z$947,MATCH(Graphs!$CK127,Data!$A$4:$A$947,0),MATCH(Graphs!CU$4,Data!$P$3:$Z$3,0))="n.q.",NA(),INDEX(Data!$P$4:$Z$947,MATCH(Graphs!$CK127,Data!$A$4:$A$947,0),MATCH(Graphs!CU$4,Data!$P$3:$Z$3,0)))</f>
        <v>#N/A</v>
      </c>
      <c r="CV127" s="24" t="str">
        <f t="array" ref="CV127">IF(INDEX(Data!$P$4:$Z$947,MATCH(Graphs!$CK127,Data!$A$4:$A$947,0),MATCH(Graphs!CV$4,Data!$P$3:$Z$3,0))="n.q.",NA(),INDEX(Data!$P$4:$Z$947,MATCH(Graphs!$CK127,Data!$A$4:$A$947,0),MATCH(Graphs!CV$4,Data!$P$3:$Z$3,0)))</f>
        <v>#N/A</v>
      </c>
    </row>
    <row r="128" ht="14.25" customHeight="1"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5"/>
      <c r="CK128" s="22">
        <f>Data!A127</f>
        <v>45105</v>
      </c>
      <c r="CL128" s="24">
        <f t="array" ref="CL128">IF(INDEX(Data!$B$4:$L$947,MATCH(Graphs!$CK128,Data!$A$4:$A$947,0),MATCH(Graphs!CL$4,Data!$B$3:$L$3,0))="n.q.",NA(),INDEX(Data!$B$4:$L$947,MATCH(Graphs!$CK128,Data!$A$4:$A$947,0),MATCH(Graphs!CL$4,Data!$B$3:$L$3,0)))</f>
        <v>248.34</v>
      </c>
      <c r="CM128" s="24">
        <f t="array" ref="CM128">IF(INDEX(Data!$B$4:$L$947,MATCH(Graphs!$CK128,Data!$A$4:$A$947,0),MATCH(Graphs!CM$4,Data!$B$3:$L$3,0))="n.q.",NA(),INDEX(Data!$B$4:$L$947,MATCH(Graphs!$CK128,Data!$A$4:$A$947,0),MATCH(Graphs!CM$4,Data!$B$3:$L$3,0)))</f>
        <v>330.97</v>
      </c>
      <c r="CN128" s="24">
        <f t="array" ref="CN128">IF(INDEX(Data!$B$4:$L$947,MATCH(Graphs!$CK128,Data!$A$4:$A$947,0),MATCH(Graphs!CN$4,Data!$B$3:$L$3,0))="n.q.",NA(),INDEX(Data!$B$4:$L$947,MATCH(Graphs!$CK128,Data!$A$4:$A$947,0),MATCH(Graphs!CN$4,Data!$B$3:$L$3,0)))</f>
        <v>215</v>
      </c>
      <c r="CO128" s="24" t="str">
        <f t="array" ref="CO128">IF(INDEX(Data!$B$4:$L$947,MATCH(Graphs!$CK128,Data!$A$4:$A$947,0),MATCH(Graphs!CO$4,Data!$B$3:$L$3,0))="n.q.",NA(),INDEX(Data!$B$4:$L$947,MATCH(Graphs!$CK128,Data!$A$4:$A$947,0),MATCH(Graphs!CO$4,Data!$B$3:$L$3,0)))</f>
        <v>#N/A</v>
      </c>
      <c r="CP128" s="24" t="str">
        <f t="array" ref="CP128">IF(INDEX(Data!$B$4:$L$947,MATCH(Graphs!$CK128,Data!$A$4:$A$947,0),MATCH(Graphs!CP$4,Data!$B$3:$L$3,0))="n.q.",NA(),INDEX(Data!$B$4:$L$947,MATCH(Graphs!$CK128,Data!$A$4:$A$947,0),MATCH(Graphs!CP$4,Data!$B$3:$L$3,0)))</f>
        <v>#N/A</v>
      </c>
      <c r="CQ128" s="5"/>
      <c r="CR128" s="24">
        <f t="array" ref="CR128">IF(INDEX(Data!$P$4:$Z$947,MATCH(Graphs!$CK128,Data!$A$4:$A$947,0),MATCH(Graphs!CR$4,Data!$P$3:$Z$3,0))="n.q.",NA(),INDEX(Data!$P$4:$Z$947,MATCH(Graphs!$CK128,Data!$A$4:$A$947,0),MATCH(Graphs!CR$4,Data!$P$3:$Z$3,0)))</f>
        <v>232.1448162</v>
      </c>
      <c r="CS128" s="24" t="str">
        <f t="array" ref="CS128">IF(INDEX(Data!$P$4:$Z$947,MATCH(Graphs!$CK128,Data!$A$4:$A$947,0),MATCH(Graphs!CS$4,Data!$P$3:$Z$3,0))="n.q.",NA(),INDEX(Data!$P$4:$Z$947,MATCH(Graphs!$CK128,Data!$A$4:$A$947,0),MATCH(Graphs!CS$4,Data!$P$3:$Z$3,0)))</f>
        <v>#N/A</v>
      </c>
      <c r="CT128" s="24">
        <f t="array" ref="CT128">IF(INDEX(Data!$P$4:$Z$947,MATCH(Graphs!$CK128,Data!$A$4:$A$947,0),MATCH(Graphs!CT$4,Data!$P$3:$Z$3,0))="n.q.",NA(),INDEX(Data!$P$4:$Z$947,MATCH(Graphs!$CK128,Data!$A$4:$A$947,0),MATCH(Graphs!CT$4,Data!$P$3:$Z$3,0)))</f>
        <v>198.3909307</v>
      </c>
      <c r="CU128" s="24" t="str">
        <f t="array" ref="CU128">IF(INDEX(Data!$P$4:$Z$947,MATCH(Graphs!$CK128,Data!$A$4:$A$947,0),MATCH(Graphs!CU$4,Data!$P$3:$Z$3,0))="n.q.",NA(),INDEX(Data!$P$4:$Z$947,MATCH(Graphs!$CK128,Data!$A$4:$A$947,0),MATCH(Graphs!CU$4,Data!$P$3:$Z$3,0)))</f>
        <v>#N/A</v>
      </c>
      <c r="CV128" s="24" t="str">
        <f t="array" ref="CV128">IF(INDEX(Data!$P$4:$Z$947,MATCH(Graphs!$CK128,Data!$A$4:$A$947,0),MATCH(Graphs!CV$4,Data!$P$3:$Z$3,0))="n.q.",NA(),INDEX(Data!$P$4:$Z$947,MATCH(Graphs!$CK128,Data!$A$4:$A$947,0),MATCH(Graphs!CV$4,Data!$P$3:$Z$3,0)))</f>
        <v>#N/A</v>
      </c>
    </row>
    <row r="129" ht="14.25" customHeight="1"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5"/>
      <c r="CK129" s="22">
        <f>Data!A128</f>
        <v>45098</v>
      </c>
      <c r="CL129" s="24">
        <f t="array" ref="CL129">IF(INDEX(Data!$B$4:$L$947,MATCH(Graphs!$CK129,Data!$A$4:$A$947,0),MATCH(Graphs!CL$4,Data!$B$3:$L$3,0))="n.q.",NA(),INDEX(Data!$B$4:$L$947,MATCH(Graphs!$CK129,Data!$A$4:$A$947,0),MATCH(Graphs!CL$4,Data!$B$3:$L$3,0)))</f>
        <v>266.94</v>
      </c>
      <c r="CM129" s="24">
        <f t="array" ref="CM129">IF(INDEX(Data!$B$4:$L$947,MATCH(Graphs!$CK129,Data!$A$4:$A$947,0),MATCH(Graphs!CM$4,Data!$B$3:$L$3,0))="n.q.",NA(),INDEX(Data!$B$4:$L$947,MATCH(Graphs!$CK129,Data!$A$4:$A$947,0),MATCH(Graphs!CM$4,Data!$B$3:$L$3,0)))</f>
        <v>363.3</v>
      </c>
      <c r="CN129" s="24">
        <f t="array" ref="CN129">IF(INDEX(Data!$B$4:$L$947,MATCH(Graphs!$CK129,Data!$A$4:$A$947,0),MATCH(Graphs!CN$4,Data!$B$3:$L$3,0))="n.q.",NA(),INDEX(Data!$B$4:$L$947,MATCH(Graphs!$CK129,Data!$A$4:$A$947,0),MATCH(Graphs!CN$4,Data!$B$3:$L$3,0)))</f>
        <v>211</v>
      </c>
      <c r="CO129" s="24" t="str">
        <f t="array" ref="CO129">IF(INDEX(Data!$B$4:$L$947,MATCH(Graphs!$CK129,Data!$A$4:$A$947,0),MATCH(Graphs!CO$4,Data!$B$3:$L$3,0))="n.q.",NA(),INDEX(Data!$B$4:$L$947,MATCH(Graphs!$CK129,Data!$A$4:$A$947,0),MATCH(Graphs!CO$4,Data!$B$3:$L$3,0)))</f>
        <v>#N/A</v>
      </c>
      <c r="CP129" s="24" t="str">
        <f t="array" ref="CP129">IF(INDEX(Data!$B$4:$L$947,MATCH(Graphs!$CK129,Data!$A$4:$A$947,0),MATCH(Graphs!CP$4,Data!$B$3:$L$3,0))="n.q.",NA(),INDEX(Data!$B$4:$L$947,MATCH(Graphs!$CK129,Data!$A$4:$A$947,0),MATCH(Graphs!CP$4,Data!$B$3:$L$3,0)))</f>
        <v>#N/A</v>
      </c>
      <c r="CQ129" s="5"/>
      <c r="CR129" s="24">
        <f t="array" ref="CR129">IF(INDEX(Data!$P$4:$Z$947,MATCH(Graphs!$CK129,Data!$A$4:$A$947,0),MATCH(Graphs!CR$4,Data!$P$3:$Z$3,0))="n.q.",NA(),INDEX(Data!$P$4:$Z$947,MATCH(Graphs!$CK129,Data!$A$4:$A$947,0),MATCH(Graphs!CR$4,Data!$P$3:$Z$3,0)))</f>
        <v>262.3821295</v>
      </c>
      <c r="CS129" s="24">
        <f t="array" ref="CS129">IF(INDEX(Data!$P$4:$Z$947,MATCH(Graphs!$CK129,Data!$A$4:$A$947,0),MATCH(Graphs!CS$4,Data!$P$3:$Z$3,0))="n.q.",NA(),INDEX(Data!$P$4:$Z$947,MATCH(Graphs!$CK129,Data!$A$4:$A$947,0),MATCH(Graphs!CS$4,Data!$P$3:$Z$3,0)))</f>
        <v>261.23</v>
      </c>
      <c r="CT129" s="24">
        <f t="array" ref="CT129">IF(INDEX(Data!$P$4:$Z$947,MATCH(Graphs!$CK129,Data!$A$4:$A$947,0),MATCH(Graphs!CT$4,Data!$P$3:$Z$3,0))="n.q.",NA(),INDEX(Data!$P$4:$Z$947,MATCH(Graphs!$CK129,Data!$A$4:$A$947,0),MATCH(Graphs!CT$4,Data!$P$3:$Z$3,0)))</f>
        <v>205.9873661</v>
      </c>
      <c r="CU129" s="24" t="str">
        <f t="array" ref="CU129">IF(INDEX(Data!$P$4:$Z$947,MATCH(Graphs!$CK129,Data!$A$4:$A$947,0),MATCH(Graphs!CU$4,Data!$P$3:$Z$3,0))="n.q.",NA(),INDEX(Data!$P$4:$Z$947,MATCH(Graphs!$CK129,Data!$A$4:$A$947,0),MATCH(Graphs!CU$4,Data!$P$3:$Z$3,0)))</f>
        <v>#N/A</v>
      </c>
      <c r="CV129" s="24" t="str">
        <f t="array" ref="CV129">IF(INDEX(Data!$P$4:$Z$947,MATCH(Graphs!$CK129,Data!$A$4:$A$947,0),MATCH(Graphs!CV$4,Data!$P$3:$Z$3,0))="n.q.",NA(),INDEX(Data!$P$4:$Z$947,MATCH(Graphs!$CK129,Data!$A$4:$A$947,0),MATCH(Graphs!CV$4,Data!$P$3:$Z$3,0)))</f>
        <v>#N/A</v>
      </c>
    </row>
    <row r="130" ht="14.25" customHeight="1"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5"/>
      <c r="CK130" s="22">
        <f>Data!A129</f>
        <v>45091</v>
      </c>
      <c r="CL130" s="24">
        <f t="array" ref="CL130">IF(INDEX(Data!$B$4:$L$947,MATCH(Graphs!$CK130,Data!$A$4:$A$947,0),MATCH(Graphs!CL$4,Data!$B$3:$L$3,0))="n.q.",NA(),INDEX(Data!$B$4:$L$947,MATCH(Graphs!$CK130,Data!$A$4:$A$947,0),MATCH(Graphs!CL$4,Data!$B$3:$L$3,0)))</f>
        <v>251.91</v>
      </c>
      <c r="CM130" s="24">
        <f t="array" ref="CM130">IF(INDEX(Data!$B$4:$L$947,MATCH(Graphs!$CK130,Data!$A$4:$A$947,0),MATCH(Graphs!CM$4,Data!$B$3:$L$3,0))="n.q.",NA(),INDEX(Data!$B$4:$L$947,MATCH(Graphs!$CK130,Data!$A$4:$A$947,0),MATCH(Graphs!CM$4,Data!$B$3:$L$3,0)))</f>
        <v>330.97</v>
      </c>
      <c r="CN130" s="24">
        <f t="array" ref="CN130">IF(INDEX(Data!$B$4:$L$947,MATCH(Graphs!$CK130,Data!$A$4:$A$947,0),MATCH(Graphs!CN$4,Data!$B$3:$L$3,0))="n.q.",NA(),INDEX(Data!$B$4:$L$947,MATCH(Graphs!$CK130,Data!$A$4:$A$947,0),MATCH(Graphs!CN$4,Data!$B$3:$L$3,0)))</f>
        <v>211</v>
      </c>
      <c r="CO130" s="24" t="str">
        <f t="array" ref="CO130">IF(INDEX(Data!$B$4:$L$947,MATCH(Graphs!$CK130,Data!$A$4:$A$947,0),MATCH(Graphs!CO$4,Data!$B$3:$L$3,0))="n.q.",NA(),INDEX(Data!$B$4:$L$947,MATCH(Graphs!$CK130,Data!$A$4:$A$947,0),MATCH(Graphs!CO$4,Data!$B$3:$L$3,0)))</f>
        <v>#N/A</v>
      </c>
      <c r="CP130" s="24" t="str">
        <f t="array" ref="CP130">IF(INDEX(Data!$B$4:$L$947,MATCH(Graphs!$CK130,Data!$A$4:$A$947,0),MATCH(Graphs!CP$4,Data!$B$3:$L$3,0))="n.q.",NA(),INDEX(Data!$B$4:$L$947,MATCH(Graphs!$CK130,Data!$A$4:$A$947,0),MATCH(Graphs!CP$4,Data!$B$3:$L$3,0)))</f>
        <v>#N/A</v>
      </c>
      <c r="CQ130" s="5"/>
      <c r="CR130" s="24">
        <f t="array" ref="CR130">IF(INDEX(Data!$P$4:$Z$947,MATCH(Graphs!$CK130,Data!$A$4:$A$947,0),MATCH(Graphs!CR$4,Data!$P$3:$Z$3,0))="n.q.",NA(),INDEX(Data!$P$4:$Z$947,MATCH(Graphs!$CK130,Data!$A$4:$A$947,0),MATCH(Graphs!CR$4,Data!$P$3:$Z$3,0)))</f>
        <v>245.0272921</v>
      </c>
      <c r="CS130" s="24" t="str">
        <f t="array" ref="CS130">IF(INDEX(Data!$P$4:$Z$947,MATCH(Graphs!$CK130,Data!$A$4:$A$947,0),MATCH(Graphs!CS$4,Data!$P$3:$Z$3,0))="n.q.",NA(),INDEX(Data!$P$4:$Z$947,MATCH(Graphs!$CK130,Data!$A$4:$A$947,0),MATCH(Graphs!CS$4,Data!$P$3:$Z$3,0)))</f>
        <v>#N/A</v>
      </c>
      <c r="CT130" s="24">
        <f t="array" ref="CT130">IF(INDEX(Data!$P$4:$Z$947,MATCH(Graphs!$CK130,Data!$A$4:$A$947,0),MATCH(Graphs!CT$4,Data!$P$3:$Z$3,0))="n.q.",NA(),INDEX(Data!$P$4:$Z$947,MATCH(Graphs!$CK130,Data!$A$4:$A$947,0),MATCH(Graphs!CT$4,Data!$P$3:$Z$3,0)))</f>
        <v>198.9083171</v>
      </c>
      <c r="CU130" s="24" t="str">
        <f t="array" ref="CU130">IF(INDEX(Data!$P$4:$Z$947,MATCH(Graphs!$CK130,Data!$A$4:$A$947,0),MATCH(Graphs!CU$4,Data!$P$3:$Z$3,0))="n.q.",NA(),INDEX(Data!$P$4:$Z$947,MATCH(Graphs!$CK130,Data!$A$4:$A$947,0),MATCH(Graphs!CU$4,Data!$P$3:$Z$3,0)))</f>
        <v>#N/A</v>
      </c>
      <c r="CV130" s="24" t="str">
        <f t="array" ref="CV130">IF(INDEX(Data!$P$4:$Z$947,MATCH(Graphs!$CK130,Data!$A$4:$A$947,0),MATCH(Graphs!CV$4,Data!$P$3:$Z$3,0))="n.q.",NA(),INDEX(Data!$P$4:$Z$947,MATCH(Graphs!$CK130,Data!$A$4:$A$947,0),MATCH(Graphs!CV$4,Data!$P$3:$Z$3,0)))</f>
        <v>#N/A</v>
      </c>
    </row>
    <row r="131" ht="14.25" customHeight="1"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5"/>
      <c r="CK131" s="22">
        <f>Data!A130</f>
        <v>45084</v>
      </c>
      <c r="CL131" s="24">
        <f t="array" ref="CL131">IF(INDEX(Data!$B$4:$L$947,MATCH(Graphs!$CK131,Data!$A$4:$A$947,0),MATCH(Graphs!CL$4,Data!$B$3:$L$3,0))="n.q.",NA(),INDEX(Data!$B$4:$L$947,MATCH(Graphs!$CK131,Data!$A$4:$A$947,0),MATCH(Graphs!CL$4,Data!$B$3:$L$3,0)))</f>
        <v>246.1</v>
      </c>
      <c r="CM131" s="24">
        <f t="array" ref="CM131">IF(INDEX(Data!$B$4:$L$947,MATCH(Graphs!$CK131,Data!$A$4:$A$947,0),MATCH(Graphs!CM$4,Data!$B$3:$L$3,0))="n.q.",NA(),INDEX(Data!$B$4:$L$947,MATCH(Graphs!$CK131,Data!$A$4:$A$947,0),MATCH(Graphs!CM$4,Data!$B$3:$L$3,0)))</f>
        <v>340.98</v>
      </c>
      <c r="CN131" s="24">
        <f t="array" ref="CN131">IF(INDEX(Data!$B$4:$L$947,MATCH(Graphs!$CK131,Data!$A$4:$A$947,0),MATCH(Graphs!CN$4,Data!$B$3:$L$3,0))="n.q.",NA(),INDEX(Data!$B$4:$L$947,MATCH(Graphs!$CK131,Data!$A$4:$A$947,0),MATCH(Graphs!CN$4,Data!$B$3:$L$3,0)))</f>
        <v>211</v>
      </c>
      <c r="CO131" s="24" t="str">
        <f t="array" ref="CO131">IF(INDEX(Data!$B$4:$L$947,MATCH(Graphs!$CK131,Data!$A$4:$A$947,0),MATCH(Graphs!CO$4,Data!$B$3:$L$3,0))="n.q.",NA(),INDEX(Data!$B$4:$L$947,MATCH(Graphs!$CK131,Data!$A$4:$A$947,0),MATCH(Graphs!CO$4,Data!$B$3:$L$3,0)))</f>
        <v>#N/A</v>
      </c>
      <c r="CP131" s="24" t="str">
        <f t="array" ref="CP131">IF(INDEX(Data!$B$4:$L$947,MATCH(Graphs!$CK131,Data!$A$4:$A$947,0),MATCH(Graphs!CP$4,Data!$B$3:$L$3,0))="n.q.",NA(),INDEX(Data!$B$4:$L$947,MATCH(Graphs!$CK131,Data!$A$4:$A$947,0),MATCH(Graphs!CP$4,Data!$B$3:$L$3,0)))</f>
        <v>#N/A</v>
      </c>
      <c r="CQ131" s="5"/>
      <c r="CR131" s="24">
        <f t="array" ref="CR131">IF(INDEX(Data!$P$4:$Z$947,MATCH(Graphs!$CK131,Data!$A$4:$A$947,0),MATCH(Graphs!CR$4,Data!$P$3:$Z$3,0))="n.q.",NA(),INDEX(Data!$P$4:$Z$947,MATCH(Graphs!$CK131,Data!$A$4:$A$947,0),MATCH(Graphs!CR$4,Data!$P$3:$Z$3,0)))</f>
        <v>253.195857</v>
      </c>
      <c r="CS131" s="24">
        <f t="array" ref="CS131">IF(INDEX(Data!$P$4:$Z$947,MATCH(Graphs!$CK131,Data!$A$4:$A$947,0),MATCH(Graphs!CS$4,Data!$P$3:$Z$3,0))="n.q.",NA(),INDEX(Data!$P$4:$Z$947,MATCH(Graphs!$CK131,Data!$A$4:$A$947,0),MATCH(Graphs!CS$4,Data!$P$3:$Z$3,0)))</f>
        <v>243.23</v>
      </c>
      <c r="CT131" s="24">
        <f t="array" ref="CT131">IF(INDEX(Data!$P$4:$Z$947,MATCH(Graphs!$CK131,Data!$A$4:$A$947,0),MATCH(Graphs!CT$4,Data!$P$3:$Z$3,0))="n.q.",NA(),INDEX(Data!$P$4:$Z$947,MATCH(Graphs!$CK131,Data!$A$4:$A$947,0),MATCH(Graphs!CT$4,Data!$P$3:$Z$3,0)))</f>
        <v>200.615844</v>
      </c>
      <c r="CU131" s="24" t="str">
        <f t="array" ref="CU131">IF(INDEX(Data!$P$4:$Z$947,MATCH(Graphs!$CK131,Data!$A$4:$A$947,0),MATCH(Graphs!CU$4,Data!$P$3:$Z$3,0))="n.q.",NA(),INDEX(Data!$P$4:$Z$947,MATCH(Graphs!$CK131,Data!$A$4:$A$947,0),MATCH(Graphs!CU$4,Data!$P$3:$Z$3,0)))</f>
        <v>#N/A</v>
      </c>
      <c r="CV131" s="24" t="str">
        <f t="array" ref="CV131">IF(INDEX(Data!$P$4:$Z$947,MATCH(Graphs!$CK131,Data!$A$4:$A$947,0),MATCH(Graphs!CV$4,Data!$P$3:$Z$3,0))="n.q.",NA(),INDEX(Data!$P$4:$Z$947,MATCH(Graphs!$CK131,Data!$A$4:$A$947,0),MATCH(Graphs!CV$4,Data!$P$3:$Z$3,0)))</f>
        <v>#N/A</v>
      </c>
    </row>
    <row r="132" ht="14.25" customHeight="1"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5"/>
      <c r="CK132" s="22">
        <f>Data!A131</f>
        <v>45077</v>
      </c>
      <c r="CL132" s="24">
        <f t="array" ref="CL132">IF(INDEX(Data!$B$4:$L$947,MATCH(Graphs!$CK132,Data!$A$4:$A$947,0),MATCH(Graphs!CL$4,Data!$B$3:$L$3,0))="n.q.",NA(),INDEX(Data!$B$4:$L$947,MATCH(Graphs!$CK132,Data!$A$4:$A$947,0),MATCH(Graphs!CL$4,Data!$B$3:$L$3,0)))</f>
        <v>242.87</v>
      </c>
      <c r="CM132" s="24">
        <f t="array" ref="CM132">IF(INDEX(Data!$B$4:$L$947,MATCH(Graphs!$CK132,Data!$A$4:$A$947,0),MATCH(Graphs!CM$4,Data!$B$3:$L$3,0))="n.q.",NA(),INDEX(Data!$B$4:$L$947,MATCH(Graphs!$CK132,Data!$A$4:$A$947,0),MATCH(Graphs!CM$4,Data!$B$3:$L$3,0)))</f>
        <v>349.25</v>
      </c>
      <c r="CN132" s="24">
        <f t="array" ref="CN132">IF(INDEX(Data!$B$4:$L$947,MATCH(Graphs!$CK132,Data!$A$4:$A$947,0),MATCH(Graphs!CN$4,Data!$B$3:$L$3,0))="n.q.",NA(),INDEX(Data!$B$4:$L$947,MATCH(Graphs!$CK132,Data!$A$4:$A$947,0),MATCH(Graphs!CN$4,Data!$B$3:$L$3,0)))</f>
        <v>211</v>
      </c>
      <c r="CO132" s="24" t="str">
        <f t="array" ref="CO132">IF(INDEX(Data!$B$4:$L$947,MATCH(Graphs!$CK132,Data!$A$4:$A$947,0),MATCH(Graphs!CO$4,Data!$B$3:$L$3,0))="n.q.",NA(),INDEX(Data!$B$4:$L$947,MATCH(Graphs!$CK132,Data!$A$4:$A$947,0),MATCH(Graphs!CO$4,Data!$B$3:$L$3,0)))</f>
        <v>#N/A</v>
      </c>
      <c r="CP132" s="24" t="str">
        <f t="array" ref="CP132">IF(INDEX(Data!$B$4:$L$947,MATCH(Graphs!$CK132,Data!$A$4:$A$947,0),MATCH(Graphs!CP$4,Data!$B$3:$L$3,0))="n.q.",NA(),INDEX(Data!$B$4:$L$947,MATCH(Graphs!$CK132,Data!$A$4:$A$947,0),MATCH(Graphs!CP$4,Data!$B$3:$L$3,0)))</f>
        <v>#N/A</v>
      </c>
      <c r="CQ132" s="5"/>
      <c r="CR132" s="24">
        <f t="array" ref="CR132">IF(INDEX(Data!$P$4:$Z$947,MATCH(Graphs!$CK132,Data!$A$4:$A$947,0),MATCH(Graphs!CR$4,Data!$P$3:$Z$3,0))="n.q.",NA(),INDEX(Data!$P$4:$Z$947,MATCH(Graphs!$CK132,Data!$A$4:$A$947,0),MATCH(Graphs!CR$4,Data!$P$3:$Z$3,0)))</f>
        <v>248.3759244</v>
      </c>
      <c r="CS132" s="24">
        <f t="array" ref="CS132">IF(INDEX(Data!$P$4:$Z$947,MATCH(Graphs!$CK132,Data!$A$4:$A$947,0),MATCH(Graphs!CS$4,Data!$P$3:$Z$3,0))="n.q.",NA(),INDEX(Data!$P$4:$Z$947,MATCH(Graphs!$CK132,Data!$A$4:$A$947,0),MATCH(Graphs!CS$4,Data!$P$3:$Z$3,0)))</f>
        <v>234.23</v>
      </c>
      <c r="CT132" s="24">
        <f t="array" ref="CT132">IF(INDEX(Data!$P$4:$Z$947,MATCH(Graphs!$CK132,Data!$A$4:$A$947,0),MATCH(Graphs!CT$4,Data!$P$3:$Z$3,0))="n.q.",NA(),INDEX(Data!$P$4:$Z$947,MATCH(Graphs!$CK132,Data!$A$4:$A$947,0),MATCH(Graphs!CT$4,Data!$P$3:$Z$3,0)))</f>
        <v>205.9346625</v>
      </c>
      <c r="CU132" s="24" t="str">
        <f t="array" ref="CU132">IF(INDEX(Data!$P$4:$Z$947,MATCH(Graphs!$CK132,Data!$A$4:$A$947,0),MATCH(Graphs!CU$4,Data!$P$3:$Z$3,0))="n.q.",NA(),INDEX(Data!$P$4:$Z$947,MATCH(Graphs!$CK132,Data!$A$4:$A$947,0),MATCH(Graphs!CU$4,Data!$P$3:$Z$3,0)))</f>
        <v>#N/A</v>
      </c>
      <c r="CV132" s="24" t="str">
        <f t="array" ref="CV132">IF(INDEX(Data!$P$4:$Z$947,MATCH(Graphs!$CK132,Data!$A$4:$A$947,0),MATCH(Graphs!CV$4,Data!$P$3:$Z$3,0))="n.q.",NA(),INDEX(Data!$P$4:$Z$947,MATCH(Graphs!$CK132,Data!$A$4:$A$947,0),MATCH(Graphs!CV$4,Data!$P$3:$Z$3,0)))</f>
        <v>#N/A</v>
      </c>
    </row>
    <row r="133" ht="14.25" customHeight="1"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5"/>
      <c r="CK133" s="22">
        <f>Data!A132</f>
        <v>45070</v>
      </c>
      <c r="CL133" s="24">
        <f t="array" ref="CL133">IF(INDEX(Data!$B$4:$L$947,MATCH(Graphs!$CK133,Data!$A$4:$A$947,0),MATCH(Graphs!CL$4,Data!$B$3:$L$3,0))="n.q.",NA(),INDEX(Data!$B$4:$L$947,MATCH(Graphs!$CK133,Data!$A$4:$A$947,0),MATCH(Graphs!CL$4,Data!$B$3:$L$3,0)))</f>
        <v>246.42</v>
      </c>
      <c r="CM133" s="24">
        <f t="array" ref="CM133">IF(INDEX(Data!$B$4:$L$947,MATCH(Graphs!$CK133,Data!$A$4:$A$947,0),MATCH(Graphs!CM$4,Data!$B$3:$L$3,0))="n.q.",NA(),INDEX(Data!$B$4:$L$947,MATCH(Graphs!$CK133,Data!$A$4:$A$947,0),MATCH(Graphs!CM$4,Data!$B$3:$L$3,0)))</f>
        <v>359.08</v>
      </c>
      <c r="CN133" s="24">
        <f t="array" ref="CN133">IF(INDEX(Data!$B$4:$L$947,MATCH(Graphs!$CK133,Data!$A$4:$A$947,0),MATCH(Graphs!CN$4,Data!$B$3:$L$3,0))="n.q.",NA(),INDEX(Data!$B$4:$L$947,MATCH(Graphs!$CK133,Data!$A$4:$A$947,0),MATCH(Graphs!CN$4,Data!$B$3:$L$3,0)))</f>
        <v>220</v>
      </c>
      <c r="CO133" s="24" t="str">
        <f t="array" ref="CO133">IF(INDEX(Data!$B$4:$L$947,MATCH(Graphs!$CK133,Data!$A$4:$A$947,0),MATCH(Graphs!CO$4,Data!$B$3:$L$3,0))="n.q.",NA(),INDEX(Data!$B$4:$L$947,MATCH(Graphs!$CK133,Data!$A$4:$A$947,0),MATCH(Graphs!CO$4,Data!$B$3:$L$3,0)))</f>
        <v>#N/A</v>
      </c>
      <c r="CP133" s="24" t="str">
        <f t="array" ref="CP133">IF(INDEX(Data!$B$4:$L$947,MATCH(Graphs!$CK133,Data!$A$4:$A$947,0),MATCH(Graphs!CP$4,Data!$B$3:$L$3,0))="n.q.",NA(),INDEX(Data!$B$4:$L$947,MATCH(Graphs!$CK133,Data!$A$4:$A$947,0),MATCH(Graphs!CP$4,Data!$B$3:$L$3,0)))</f>
        <v>#N/A</v>
      </c>
      <c r="CQ133" s="5"/>
      <c r="CR133" s="24">
        <f t="array" ref="CR133">IF(INDEX(Data!$P$4:$Z$947,MATCH(Graphs!$CK133,Data!$A$4:$A$947,0),MATCH(Graphs!CR$4,Data!$P$3:$Z$3,0))="n.q.",NA(),INDEX(Data!$P$4:$Z$947,MATCH(Graphs!$CK133,Data!$A$4:$A$947,0),MATCH(Graphs!CR$4,Data!$P$3:$Z$3,0)))</f>
        <v>243.5605007</v>
      </c>
      <c r="CS133" s="24" t="str">
        <f t="array" ref="CS133">IF(INDEX(Data!$P$4:$Z$947,MATCH(Graphs!$CK133,Data!$A$4:$A$947,0),MATCH(Graphs!CS$4,Data!$P$3:$Z$3,0))="n.q.",NA(),INDEX(Data!$P$4:$Z$947,MATCH(Graphs!$CK133,Data!$A$4:$A$947,0),MATCH(Graphs!CS$4,Data!$P$3:$Z$3,0)))</f>
        <v>#N/A</v>
      </c>
      <c r="CT133" s="24">
        <f t="array" ref="CT133">IF(INDEX(Data!$P$4:$Z$947,MATCH(Graphs!$CK133,Data!$A$4:$A$947,0),MATCH(Graphs!CT$4,Data!$P$3:$Z$3,0))="n.q.",NA(),INDEX(Data!$P$4:$Z$947,MATCH(Graphs!$CK133,Data!$A$4:$A$947,0),MATCH(Graphs!CT$4,Data!$P$3:$Z$3,0)))</f>
        <v>208.6230876</v>
      </c>
      <c r="CU133" s="24" t="str">
        <f t="array" ref="CU133">IF(INDEX(Data!$P$4:$Z$947,MATCH(Graphs!$CK133,Data!$A$4:$A$947,0),MATCH(Graphs!CU$4,Data!$P$3:$Z$3,0))="n.q.",NA(),INDEX(Data!$P$4:$Z$947,MATCH(Graphs!$CK133,Data!$A$4:$A$947,0),MATCH(Graphs!CU$4,Data!$P$3:$Z$3,0)))</f>
        <v>#N/A</v>
      </c>
      <c r="CV133" s="24" t="str">
        <f t="array" ref="CV133">IF(INDEX(Data!$P$4:$Z$947,MATCH(Graphs!$CK133,Data!$A$4:$A$947,0),MATCH(Graphs!CV$4,Data!$P$3:$Z$3,0))="n.q.",NA(),INDEX(Data!$P$4:$Z$947,MATCH(Graphs!$CK133,Data!$A$4:$A$947,0),MATCH(Graphs!CV$4,Data!$P$3:$Z$3,0)))</f>
        <v>#N/A</v>
      </c>
    </row>
    <row r="134" ht="14.25" customHeight="1"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5"/>
      <c r="CK134" s="22">
        <f>Data!A133</f>
        <v>45063</v>
      </c>
      <c r="CL134" s="24">
        <f t="array" ref="CL134">IF(INDEX(Data!$B$4:$L$947,MATCH(Graphs!$CK134,Data!$A$4:$A$947,0),MATCH(Graphs!CL$4,Data!$B$3:$L$3,0))="n.q.",NA(),INDEX(Data!$B$4:$L$947,MATCH(Graphs!$CK134,Data!$A$4:$A$947,0),MATCH(Graphs!CL$4,Data!$B$3:$L$3,0)))</f>
        <v>253.52</v>
      </c>
      <c r="CM134" s="24">
        <f t="array" ref="CM134">IF(INDEX(Data!$B$4:$L$947,MATCH(Graphs!$CK134,Data!$A$4:$A$947,0),MATCH(Graphs!CM$4,Data!$B$3:$L$3,0))="n.q.",NA(),INDEX(Data!$B$4:$L$947,MATCH(Graphs!$CK134,Data!$A$4:$A$947,0),MATCH(Graphs!CM$4,Data!$B$3:$L$3,0)))</f>
        <v>385.99</v>
      </c>
      <c r="CN134" s="24">
        <f t="array" ref="CN134">IF(INDEX(Data!$B$4:$L$947,MATCH(Graphs!$CK134,Data!$A$4:$A$947,0),MATCH(Graphs!CN$4,Data!$B$3:$L$3,0))="n.q.",NA(),INDEX(Data!$B$4:$L$947,MATCH(Graphs!$CK134,Data!$A$4:$A$947,0),MATCH(Graphs!CN$4,Data!$B$3:$L$3,0)))</f>
        <v>225</v>
      </c>
      <c r="CO134" s="24" t="str">
        <f t="array" ref="CO134">IF(INDEX(Data!$B$4:$L$947,MATCH(Graphs!$CK134,Data!$A$4:$A$947,0),MATCH(Graphs!CO$4,Data!$B$3:$L$3,0))="n.q.",NA(),INDEX(Data!$B$4:$L$947,MATCH(Graphs!$CK134,Data!$A$4:$A$947,0),MATCH(Graphs!CO$4,Data!$B$3:$L$3,0)))</f>
        <v>#N/A</v>
      </c>
      <c r="CP134" s="24" t="str">
        <f t="array" ref="CP134">IF(INDEX(Data!$B$4:$L$947,MATCH(Graphs!$CK134,Data!$A$4:$A$947,0),MATCH(Graphs!CP$4,Data!$B$3:$L$3,0))="n.q.",NA(),INDEX(Data!$B$4:$L$947,MATCH(Graphs!$CK134,Data!$A$4:$A$947,0),MATCH(Graphs!CP$4,Data!$B$3:$L$3,0)))</f>
        <v>#N/A</v>
      </c>
      <c r="CQ134" s="5"/>
      <c r="CR134" s="24">
        <f t="array" ref="CR134">IF(INDEX(Data!$P$4:$Z$947,MATCH(Graphs!$CK134,Data!$A$4:$A$947,0),MATCH(Graphs!CR$4,Data!$P$3:$Z$3,0))="n.q.",NA(),INDEX(Data!$P$4:$Z$947,MATCH(Graphs!$CK134,Data!$A$4:$A$947,0),MATCH(Graphs!CR$4,Data!$P$3:$Z$3,0)))</f>
        <v>235.0355527</v>
      </c>
      <c r="CS134" s="24">
        <f t="array" ref="CS134">IF(INDEX(Data!$P$4:$Z$947,MATCH(Graphs!$CK134,Data!$A$4:$A$947,0),MATCH(Graphs!CS$4,Data!$P$3:$Z$3,0))="n.q.",NA(),INDEX(Data!$P$4:$Z$947,MATCH(Graphs!$CK134,Data!$A$4:$A$947,0),MATCH(Graphs!CS$4,Data!$P$3:$Z$3,0)))</f>
        <v>242.3</v>
      </c>
      <c r="CT134" s="24">
        <f t="array" ref="CT134">IF(INDEX(Data!$P$4:$Z$947,MATCH(Graphs!$CK134,Data!$A$4:$A$947,0),MATCH(Graphs!CT$4,Data!$P$3:$Z$3,0))="n.q.",NA(),INDEX(Data!$P$4:$Z$947,MATCH(Graphs!$CK134,Data!$A$4:$A$947,0),MATCH(Graphs!CT$4,Data!$P$3:$Z$3,0)))</f>
        <v>203.1581864</v>
      </c>
      <c r="CU134" s="24" t="str">
        <f t="array" ref="CU134">IF(INDEX(Data!$P$4:$Z$947,MATCH(Graphs!$CK134,Data!$A$4:$A$947,0),MATCH(Graphs!CU$4,Data!$P$3:$Z$3,0))="n.q.",NA(),INDEX(Data!$P$4:$Z$947,MATCH(Graphs!$CK134,Data!$A$4:$A$947,0),MATCH(Graphs!CU$4,Data!$P$3:$Z$3,0)))</f>
        <v>#N/A</v>
      </c>
      <c r="CV134" s="24" t="str">
        <f t="array" ref="CV134">IF(INDEX(Data!$P$4:$Z$947,MATCH(Graphs!$CK134,Data!$A$4:$A$947,0),MATCH(Graphs!CV$4,Data!$P$3:$Z$3,0))="n.q.",NA(),INDEX(Data!$P$4:$Z$947,MATCH(Graphs!$CK134,Data!$A$4:$A$947,0),MATCH(Graphs!CV$4,Data!$P$3:$Z$3,0)))</f>
        <v>#N/A</v>
      </c>
    </row>
    <row r="135" ht="14.25" customHeight="1"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5"/>
      <c r="CK135" s="22">
        <f>Data!A134</f>
        <v>45056</v>
      </c>
      <c r="CL135" s="24">
        <f t="array" ref="CL135">IF(INDEX(Data!$B$4:$L$947,MATCH(Graphs!$CK135,Data!$A$4:$A$947,0),MATCH(Graphs!CL$4,Data!$B$3:$L$3,0))="n.q.",NA(),INDEX(Data!$B$4:$L$947,MATCH(Graphs!$CK135,Data!$A$4:$A$947,0),MATCH(Graphs!CL$4,Data!$B$3:$L$3,0)))</f>
        <v>262.11</v>
      </c>
      <c r="CM135" s="24">
        <f t="array" ref="CM135">IF(INDEX(Data!$B$4:$L$947,MATCH(Graphs!$CK135,Data!$A$4:$A$947,0),MATCH(Graphs!CM$4,Data!$B$3:$L$3,0))="n.q.",NA(),INDEX(Data!$B$4:$L$947,MATCH(Graphs!$CK135,Data!$A$4:$A$947,0),MATCH(Graphs!CM$4,Data!$B$3:$L$3,0)))</f>
        <v>374.88</v>
      </c>
      <c r="CN135" s="24">
        <f t="array" ref="CN135">IF(INDEX(Data!$B$4:$L$947,MATCH(Graphs!$CK135,Data!$A$4:$A$947,0),MATCH(Graphs!CN$4,Data!$B$3:$L$3,0))="n.q.",NA(),INDEX(Data!$B$4:$L$947,MATCH(Graphs!$CK135,Data!$A$4:$A$947,0),MATCH(Graphs!CN$4,Data!$B$3:$L$3,0)))</f>
        <v>240</v>
      </c>
      <c r="CO135" s="24" t="str">
        <f t="array" ref="CO135">IF(INDEX(Data!$B$4:$L$947,MATCH(Graphs!$CK135,Data!$A$4:$A$947,0),MATCH(Graphs!CO$4,Data!$B$3:$L$3,0))="n.q.",NA(),INDEX(Data!$B$4:$L$947,MATCH(Graphs!$CK135,Data!$A$4:$A$947,0),MATCH(Graphs!CO$4,Data!$B$3:$L$3,0)))</f>
        <v>#N/A</v>
      </c>
      <c r="CP135" s="24" t="str">
        <f t="array" ref="CP135">IF(INDEX(Data!$B$4:$L$947,MATCH(Graphs!$CK135,Data!$A$4:$A$947,0),MATCH(Graphs!CP$4,Data!$B$3:$L$3,0))="n.q.",NA(),INDEX(Data!$B$4:$L$947,MATCH(Graphs!$CK135,Data!$A$4:$A$947,0),MATCH(Graphs!CP$4,Data!$B$3:$L$3,0)))</f>
        <v>#N/A</v>
      </c>
      <c r="CQ135" s="5"/>
      <c r="CR135" s="24">
        <f t="array" ref="CR135">IF(INDEX(Data!$P$4:$Z$947,MATCH(Graphs!$CK135,Data!$A$4:$A$947,0),MATCH(Graphs!CR$4,Data!$P$3:$Z$3,0))="n.q.",NA(),INDEX(Data!$P$4:$Z$947,MATCH(Graphs!$CK135,Data!$A$4:$A$947,0),MATCH(Graphs!CR$4,Data!$P$3:$Z$3,0)))</f>
        <v>249.5159817</v>
      </c>
      <c r="CS135" s="24">
        <f t="array" ref="CS135">IF(INDEX(Data!$P$4:$Z$947,MATCH(Graphs!$CK135,Data!$A$4:$A$947,0),MATCH(Graphs!CS$4,Data!$P$3:$Z$3,0))="n.q.",NA(),INDEX(Data!$P$4:$Z$947,MATCH(Graphs!$CK135,Data!$A$4:$A$947,0),MATCH(Graphs!CS$4,Data!$P$3:$Z$3,0)))</f>
        <v>250.8</v>
      </c>
      <c r="CT135" s="24">
        <f t="array" ref="CT135">IF(INDEX(Data!$P$4:$Z$947,MATCH(Graphs!$CK135,Data!$A$4:$A$947,0),MATCH(Graphs!CT$4,Data!$P$3:$Z$3,0))="n.q.",NA(),INDEX(Data!$P$4:$Z$947,MATCH(Graphs!$CK135,Data!$A$4:$A$947,0),MATCH(Graphs!CT$4,Data!$P$3:$Z$3,0)))</f>
        <v>208.2191781</v>
      </c>
      <c r="CU135" s="24" t="str">
        <f t="array" ref="CU135">IF(INDEX(Data!$P$4:$Z$947,MATCH(Graphs!$CK135,Data!$A$4:$A$947,0),MATCH(Graphs!CU$4,Data!$P$3:$Z$3,0))="n.q.",NA(),INDEX(Data!$P$4:$Z$947,MATCH(Graphs!$CK135,Data!$A$4:$A$947,0),MATCH(Graphs!CU$4,Data!$P$3:$Z$3,0)))</f>
        <v>#N/A</v>
      </c>
      <c r="CV135" s="24" t="str">
        <f t="array" ref="CV135">IF(INDEX(Data!$P$4:$Z$947,MATCH(Graphs!$CK135,Data!$A$4:$A$947,0),MATCH(Graphs!CV$4,Data!$P$3:$Z$3,0))="n.q.",NA(),INDEX(Data!$P$4:$Z$947,MATCH(Graphs!$CK135,Data!$A$4:$A$947,0),MATCH(Graphs!CV$4,Data!$P$3:$Z$3,0)))</f>
        <v>#N/A</v>
      </c>
    </row>
    <row r="136" ht="14.25" customHeight="1"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5"/>
      <c r="CK136" s="22">
        <f>Data!A135</f>
        <v>45049</v>
      </c>
      <c r="CL136" s="24">
        <f t="array" ref="CL136">IF(INDEX(Data!$B$4:$L$947,MATCH(Graphs!$CK136,Data!$A$4:$A$947,0),MATCH(Graphs!CL$4,Data!$B$3:$L$3,0))="n.q.",NA(),INDEX(Data!$B$4:$L$947,MATCH(Graphs!$CK136,Data!$A$4:$A$947,0),MATCH(Graphs!CL$4,Data!$B$3:$L$3,0)))</f>
        <v>266.32</v>
      </c>
      <c r="CM136" s="24">
        <f t="array" ref="CM136">IF(INDEX(Data!$B$4:$L$947,MATCH(Graphs!$CK136,Data!$A$4:$A$947,0),MATCH(Graphs!CM$4,Data!$B$3:$L$3,0))="n.q.",NA(),INDEX(Data!$B$4:$L$947,MATCH(Graphs!$CK136,Data!$A$4:$A$947,0),MATCH(Graphs!CM$4,Data!$B$3:$L$3,0)))</f>
        <v>350.9</v>
      </c>
      <c r="CN136" s="24">
        <f t="array" ref="CN136">IF(INDEX(Data!$B$4:$L$947,MATCH(Graphs!$CK136,Data!$A$4:$A$947,0),MATCH(Graphs!CN$4,Data!$B$3:$L$3,0))="n.q.",NA(),INDEX(Data!$B$4:$L$947,MATCH(Graphs!$CK136,Data!$A$4:$A$947,0),MATCH(Graphs!CN$4,Data!$B$3:$L$3,0)))</f>
        <v>240</v>
      </c>
      <c r="CO136" s="24" t="str">
        <f t="array" ref="CO136">IF(INDEX(Data!$B$4:$L$947,MATCH(Graphs!$CK136,Data!$A$4:$A$947,0),MATCH(Graphs!CO$4,Data!$B$3:$L$3,0))="n.q.",NA(),INDEX(Data!$B$4:$L$947,MATCH(Graphs!$CK136,Data!$A$4:$A$947,0),MATCH(Graphs!CO$4,Data!$B$3:$L$3,0)))</f>
        <v>#N/A</v>
      </c>
      <c r="CP136" s="24" t="str">
        <f t="array" ref="CP136">IF(INDEX(Data!$B$4:$L$947,MATCH(Graphs!$CK136,Data!$A$4:$A$947,0),MATCH(Graphs!CP$4,Data!$B$3:$L$3,0))="n.q.",NA(),INDEX(Data!$B$4:$L$947,MATCH(Graphs!$CK136,Data!$A$4:$A$947,0),MATCH(Graphs!CP$4,Data!$B$3:$L$3,0)))</f>
        <v>#N/A</v>
      </c>
      <c r="CQ136" s="5"/>
      <c r="CR136" s="24">
        <f t="array" ref="CR136">IF(INDEX(Data!$P$4:$Z$947,MATCH(Graphs!$CK136,Data!$A$4:$A$947,0),MATCH(Graphs!CR$4,Data!$P$3:$Z$3,0))="n.q.",NA(),INDEX(Data!$P$4:$Z$947,MATCH(Graphs!$CK136,Data!$A$4:$A$947,0),MATCH(Graphs!CR$4,Data!$P$3:$Z$3,0)))</f>
        <v>251.4171874</v>
      </c>
      <c r="CS136" s="24">
        <f t="array" ref="CS136">IF(INDEX(Data!$P$4:$Z$947,MATCH(Graphs!$CK136,Data!$A$4:$A$947,0),MATCH(Graphs!CS$4,Data!$P$3:$Z$3,0))="n.q.",NA(),INDEX(Data!$P$4:$Z$947,MATCH(Graphs!$CK136,Data!$A$4:$A$947,0),MATCH(Graphs!CS$4,Data!$P$3:$Z$3,0)))</f>
        <v>246.3</v>
      </c>
      <c r="CT136" s="24">
        <f t="array" ref="CT136">IF(INDEX(Data!$P$4:$Z$947,MATCH(Graphs!$CK136,Data!$A$4:$A$947,0),MATCH(Graphs!CT$4,Data!$P$3:$Z$3,0))="n.q.",NA(),INDEX(Data!$P$4:$Z$947,MATCH(Graphs!$CK136,Data!$A$4:$A$947,0),MATCH(Graphs!CT$4,Data!$P$3:$Z$3,0)))</f>
        <v>203.7489813</v>
      </c>
      <c r="CU136" s="24" t="str">
        <f t="array" ref="CU136">IF(INDEX(Data!$P$4:$Z$947,MATCH(Graphs!$CK136,Data!$A$4:$A$947,0),MATCH(Graphs!CU$4,Data!$P$3:$Z$3,0))="n.q.",NA(),INDEX(Data!$P$4:$Z$947,MATCH(Graphs!$CK136,Data!$A$4:$A$947,0),MATCH(Graphs!CU$4,Data!$P$3:$Z$3,0)))</f>
        <v>#N/A</v>
      </c>
      <c r="CV136" s="24" t="str">
        <f t="array" ref="CV136">IF(INDEX(Data!$P$4:$Z$947,MATCH(Graphs!$CK136,Data!$A$4:$A$947,0),MATCH(Graphs!CV$4,Data!$P$3:$Z$3,0))="n.q.",NA(),INDEX(Data!$P$4:$Z$947,MATCH(Graphs!$CK136,Data!$A$4:$A$947,0),MATCH(Graphs!CV$4,Data!$P$3:$Z$3,0)))</f>
        <v>#N/A</v>
      </c>
    </row>
    <row r="137" ht="14.25" customHeight="1"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5"/>
      <c r="CK137" s="22">
        <f>Data!A136</f>
        <v>45042</v>
      </c>
      <c r="CL137" s="24">
        <f t="array" ref="CL137">IF(INDEX(Data!$B$4:$L$947,MATCH(Graphs!$CK137,Data!$A$4:$A$947,0),MATCH(Graphs!CL$4,Data!$B$3:$L$3,0))="n.q.",NA(),INDEX(Data!$B$4:$L$947,MATCH(Graphs!$CK137,Data!$A$4:$A$947,0),MATCH(Graphs!CL$4,Data!$B$3:$L$3,0)))</f>
        <v>274.19</v>
      </c>
      <c r="CM137" s="24">
        <f t="array" ref="CM137">IF(INDEX(Data!$B$4:$L$947,MATCH(Graphs!$CK137,Data!$A$4:$A$947,0),MATCH(Graphs!CM$4,Data!$B$3:$L$3,0))="n.q.",NA(),INDEX(Data!$B$4:$L$947,MATCH(Graphs!$CK137,Data!$A$4:$A$947,0),MATCH(Graphs!CM$4,Data!$B$3:$L$3,0)))</f>
        <v>354.03</v>
      </c>
      <c r="CN137" s="24">
        <f t="array" ref="CN137">IF(INDEX(Data!$B$4:$L$947,MATCH(Graphs!$CK137,Data!$A$4:$A$947,0),MATCH(Graphs!CN$4,Data!$B$3:$L$3,0))="n.q.",NA(),INDEX(Data!$B$4:$L$947,MATCH(Graphs!$CK137,Data!$A$4:$A$947,0),MATCH(Graphs!CN$4,Data!$B$3:$L$3,0)))</f>
        <v>250</v>
      </c>
      <c r="CO137" s="24" t="str">
        <f t="array" ref="CO137">IF(INDEX(Data!$B$4:$L$947,MATCH(Graphs!$CK137,Data!$A$4:$A$947,0),MATCH(Graphs!CO$4,Data!$B$3:$L$3,0))="n.q.",NA(),INDEX(Data!$B$4:$L$947,MATCH(Graphs!$CK137,Data!$A$4:$A$947,0),MATCH(Graphs!CO$4,Data!$B$3:$L$3,0)))</f>
        <v>#N/A</v>
      </c>
      <c r="CP137" s="24" t="str">
        <f t="array" ref="CP137">IF(INDEX(Data!$B$4:$L$947,MATCH(Graphs!$CK137,Data!$A$4:$A$947,0),MATCH(Graphs!CP$4,Data!$B$3:$L$3,0))="n.q.",NA(),INDEX(Data!$B$4:$L$947,MATCH(Graphs!$CK137,Data!$A$4:$A$947,0),MATCH(Graphs!CP$4,Data!$B$3:$L$3,0)))</f>
        <v>#N/A</v>
      </c>
      <c r="CQ137" s="5"/>
      <c r="CR137" s="24">
        <f t="array" ref="CR137">IF(INDEX(Data!$P$4:$Z$947,MATCH(Graphs!$CK137,Data!$A$4:$A$947,0),MATCH(Graphs!CR$4,Data!$P$3:$Z$3,0))="n.q.",NA(),INDEX(Data!$P$4:$Z$947,MATCH(Graphs!$CK137,Data!$A$4:$A$947,0),MATCH(Graphs!CR$4,Data!$P$3:$Z$3,0)))</f>
        <v>253.7367515</v>
      </c>
      <c r="CS137" s="24">
        <f t="array" ref="CS137">IF(INDEX(Data!$P$4:$Z$947,MATCH(Graphs!$CK137,Data!$A$4:$A$947,0),MATCH(Graphs!CS$4,Data!$P$3:$Z$3,0))="n.q.",NA(),INDEX(Data!$P$4:$Z$947,MATCH(Graphs!$CK137,Data!$A$4:$A$947,0),MATCH(Graphs!CS$4,Data!$P$3:$Z$3,0)))</f>
        <v>263.3</v>
      </c>
      <c r="CT137" s="24">
        <f t="array" ref="CT137">IF(INDEX(Data!$P$4:$Z$947,MATCH(Graphs!$CK137,Data!$A$4:$A$947,0),MATCH(Graphs!CT$4,Data!$P$3:$Z$3,0))="n.q.",NA(),INDEX(Data!$P$4:$Z$947,MATCH(Graphs!$CK137,Data!$A$4:$A$947,0),MATCH(Graphs!CT$4,Data!$P$3:$Z$3,0)))</f>
        <v>206.5404475</v>
      </c>
      <c r="CU137" s="24" t="str">
        <f t="array" ref="CU137">IF(INDEX(Data!$P$4:$Z$947,MATCH(Graphs!$CK137,Data!$A$4:$A$947,0),MATCH(Graphs!CU$4,Data!$P$3:$Z$3,0))="n.q.",NA(),INDEX(Data!$P$4:$Z$947,MATCH(Graphs!$CK137,Data!$A$4:$A$947,0),MATCH(Graphs!CU$4,Data!$P$3:$Z$3,0)))</f>
        <v>#N/A</v>
      </c>
      <c r="CV137" s="24" t="str">
        <f t="array" ref="CV137">IF(INDEX(Data!$P$4:$Z$947,MATCH(Graphs!$CK137,Data!$A$4:$A$947,0),MATCH(Graphs!CV$4,Data!$P$3:$Z$3,0))="n.q.",NA(),INDEX(Data!$P$4:$Z$947,MATCH(Graphs!$CK137,Data!$A$4:$A$947,0),MATCH(Graphs!CV$4,Data!$P$3:$Z$3,0)))</f>
        <v>#N/A</v>
      </c>
    </row>
    <row r="138" ht="14.25" customHeight="1"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5"/>
      <c r="CK138" s="22">
        <f>Data!A137</f>
        <v>45035</v>
      </c>
      <c r="CL138" s="24">
        <f t="array" ref="CL138">IF(INDEX(Data!$B$4:$L$947,MATCH(Graphs!$CK138,Data!$A$4:$A$947,0),MATCH(Graphs!CL$4,Data!$B$3:$L$3,0))="n.q.",NA(),INDEX(Data!$B$4:$L$947,MATCH(Graphs!$CK138,Data!$A$4:$A$947,0),MATCH(Graphs!CL$4,Data!$B$3:$L$3,0)))</f>
        <v>282.71</v>
      </c>
      <c r="CM138" s="24">
        <f t="array" ref="CM138">IF(INDEX(Data!$B$4:$L$947,MATCH(Graphs!$CK138,Data!$A$4:$A$947,0),MATCH(Graphs!CM$4,Data!$B$3:$L$3,0))="n.q.",NA(),INDEX(Data!$B$4:$L$947,MATCH(Graphs!$CK138,Data!$A$4:$A$947,0),MATCH(Graphs!CM$4,Data!$B$3:$L$3,0)))</f>
        <v>382.78</v>
      </c>
      <c r="CN138" s="24">
        <f t="array" ref="CN138">IF(INDEX(Data!$B$4:$L$947,MATCH(Graphs!$CK138,Data!$A$4:$A$947,0),MATCH(Graphs!CN$4,Data!$B$3:$L$3,0))="n.q.",NA(),INDEX(Data!$B$4:$L$947,MATCH(Graphs!$CK138,Data!$A$4:$A$947,0),MATCH(Graphs!CN$4,Data!$B$3:$L$3,0)))</f>
        <v>250</v>
      </c>
      <c r="CO138" s="24" t="str">
        <f t="array" ref="CO138">IF(INDEX(Data!$B$4:$L$947,MATCH(Graphs!$CK138,Data!$A$4:$A$947,0),MATCH(Graphs!CO$4,Data!$B$3:$L$3,0))="n.q.",NA(),INDEX(Data!$B$4:$L$947,MATCH(Graphs!$CK138,Data!$A$4:$A$947,0),MATCH(Graphs!CO$4,Data!$B$3:$L$3,0)))</f>
        <v>#N/A</v>
      </c>
      <c r="CP138" s="24" t="str">
        <f t="array" ref="CP138">IF(INDEX(Data!$B$4:$L$947,MATCH(Graphs!$CK138,Data!$A$4:$A$947,0),MATCH(Graphs!CP$4,Data!$B$3:$L$3,0))="n.q.",NA(),INDEX(Data!$B$4:$L$947,MATCH(Graphs!$CK138,Data!$A$4:$A$947,0),MATCH(Graphs!CP$4,Data!$B$3:$L$3,0)))</f>
        <v>#N/A</v>
      </c>
      <c r="CQ138" s="5"/>
      <c r="CR138" s="24">
        <f t="array" ref="CR138">IF(INDEX(Data!$P$4:$Z$947,MATCH(Graphs!$CK138,Data!$A$4:$A$947,0),MATCH(Graphs!CR$4,Data!$P$3:$Z$3,0))="n.q.",NA(),INDEX(Data!$P$4:$Z$947,MATCH(Graphs!$CK138,Data!$A$4:$A$947,0),MATCH(Graphs!CR$4,Data!$P$3:$Z$3,0)))</f>
        <v>272.6790451</v>
      </c>
      <c r="CS138" s="24">
        <f t="array" ref="CS138">IF(INDEX(Data!$P$4:$Z$947,MATCH(Graphs!$CK138,Data!$A$4:$A$947,0),MATCH(Graphs!CS$4,Data!$P$3:$Z$3,0))="n.q.",NA(),INDEX(Data!$P$4:$Z$947,MATCH(Graphs!$CK138,Data!$A$4:$A$947,0),MATCH(Graphs!CS$4,Data!$P$3:$Z$3,0)))</f>
        <v>265.4581414</v>
      </c>
      <c r="CT138" s="24">
        <f t="array" ref="CT138">IF(INDEX(Data!$P$4:$Z$947,MATCH(Graphs!$CK138,Data!$A$4:$A$947,0),MATCH(Graphs!CT$4,Data!$P$3:$Z$3,0))="n.q.",NA(),INDEX(Data!$P$4:$Z$947,MATCH(Graphs!$CK138,Data!$A$4:$A$947,0),MATCH(Graphs!CT$4,Data!$P$3:$Z$3,0)))</f>
        <v>221.3482118</v>
      </c>
      <c r="CU138" s="24" t="str">
        <f t="array" ref="CU138">IF(INDEX(Data!$P$4:$Z$947,MATCH(Graphs!$CK138,Data!$A$4:$A$947,0),MATCH(Graphs!CU$4,Data!$P$3:$Z$3,0))="n.q.",NA(),INDEX(Data!$P$4:$Z$947,MATCH(Graphs!$CK138,Data!$A$4:$A$947,0),MATCH(Graphs!CU$4,Data!$P$3:$Z$3,0)))</f>
        <v>#N/A</v>
      </c>
      <c r="CV138" s="24" t="str">
        <f t="array" ref="CV138">IF(INDEX(Data!$P$4:$Z$947,MATCH(Graphs!$CK138,Data!$A$4:$A$947,0),MATCH(Graphs!CV$4,Data!$P$3:$Z$3,0))="n.q.",NA(),INDEX(Data!$P$4:$Z$947,MATCH(Graphs!$CK138,Data!$A$4:$A$947,0),MATCH(Graphs!CV$4,Data!$P$3:$Z$3,0)))</f>
        <v>#N/A</v>
      </c>
    </row>
    <row r="139" ht="14.25" customHeight="1"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5"/>
      <c r="CK139" s="22">
        <f>Data!A138</f>
        <v>45028</v>
      </c>
      <c r="CL139" s="24">
        <f t="array" ref="CL139">IF(INDEX(Data!$B$4:$L$947,MATCH(Graphs!$CK139,Data!$A$4:$A$947,0),MATCH(Graphs!CL$4,Data!$B$3:$L$3,0))="n.q.",NA(),INDEX(Data!$B$4:$L$947,MATCH(Graphs!$CK139,Data!$A$4:$A$947,0),MATCH(Graphs!CL$4,Data!$B$3:$L$3,0)))</f>
        <v>281.44</v>
      </c>
      <c r="CM139" s="24">
        <f t="array" ref="CM139">IF(INDEX(Data!$B$4:$L$947,MATCH(Graphs!$CK139,Data!$A$4:$A$947,0),MATCH(Graphs!CM$4,Data!$B$3:$L$3,0))="n.q.",NA(),INDEX(Data!$B$4:$L$947,MATCH(Graphs!$CK139,Data!$A$4:$A$947,0),MATCH(Graphs!CM$4,Data!$B$3:$L$3,0)))</f>
        <v>381.58</v>
      </c>
      <c r="CN139" s="24">
        <f t="array" ref="CN139">IF(INDEX(Data!$B$4:$L$947,MATCH(Graphs!$CK139,Data!$A$4:$A$947,0),MATCH(Graphs!CN$4,Data!$B$3:$L$3,0))="n.q.",NA(),INDEX(Data!$B$4:$L$947,MATCH(Graphs!$CK139,Data!$A$4:$A$947,0),MATCH(Graphs!CN$4,Data!$B$3:$L$3,0)))</f>
        <v>245</v>
      </c>
      <c r="CO139" s="24" t="str">
        <f t="array" ref="CO139">IF(INDEX(Data!$B$4:$L$947,MATCH(Graphs!$CK139,Data!$A$4:$A$947,0),MATCH(Graphs!CO$4,Data!$B$3:$L$3,0))="n.q.",NA(),INDEX(Data!$B$4:$L$947,MATCH(Graphs!$CK139,Data!$A$4:$A$947,0),MATCH(Graphs!CO$4,Data!$B$3:$L$3,0)))</f>
        <v>#N/A</v>
      </c>
      <c r="CP139" s="24" t="str">
        <f t="array" ref="CP139">IF(INDEX(Data!$B$4:$L$947,MATCH(Graphs!$CK139,Data!$A$4:$A$947,0),MATCH(Graphs!CP$4,Data!$B$3:$L$3,0))="n.q.",NA(),INDEX(Data!$B$4:$L$947,MATCH(Graphs!$CK139,Data!$A$4:$A$947,0),MATCH(Graphs!CP$4,Data!$B$3:$L$3,0)))</f>
        <v>#N/A</v>
      </c>
      <c r="CQ139" s="5"/>
      <c r="CR139" s="24">
        <f t="array" ref="CR139">IF(INDEX(Data!$P$4:$Z$947,MATCH(Graphs!$CK139,Data!$A$4:$A$947,0),MATCH(Graphs!CR$4,Data!$P$3:$Z$3,0))="n.q.",NA(),INDEX(Data!$P$4:$Z$947,MATCH(Graphs!$CK139,Data!$A$4:$A$947,0),MATCH(Graphs!CR$4,Data!$P$3:$Z$3,0)))</f>
        <v>271.0584142</v>
      </c>
      <c r="CS139" s="24">
        <f t="array" ref="CS139">IF(INDEX(Data!$P$4:$Z$947,MATCH(Graphs!$CK139,Data!$A$4:$A$947,0),MATCH(Graphs!CS$4,Data!$P$3:$Z$3,0))="n.q.",NA(),INDEX(Data!$P$4:$Z$947,MATCH(Graphs!$CK139,Data!$A$4:$A$947,0),MATCH(Graphs!CS$4,Data!$P$3:$Z$3,0)))</f>
        <v>270.37</v>
      </c>
      <c r="CT139" s="24">
        <f t="array" ref="CT139">IF(INDEX(Data!$P$4:$Z$947,MATCH(Graphs!$CK139,Data!$A$4:$A$947,0),MATCH(Graphs!CT$4,Data!$P$3:$Z$3,0))="n.q.",NA(),INDEX(Data!$P$4:$Z$947,MATCH(Graphs!$CK139,Data!$A$4:$A$947,0),MATCH(Graphs!CT$4,Data!$P$3:$Z$3,0)))</f>
        <v>221.5711408</v>
      </c>
      <c r="CU139" s="24" t="str">
        <f t="array" ref="CU139">IF(INDEX(Data!$P$4:$Z$947,MATCH(Graphs!$CK139,Data!$A$4:$A$947,0),MATCH(Graphs!CU$4,Data!$P$3:$Z$3,0))="n.q.",NA(),INDEX(Data!$P$4:$Z$947,MATCH(Graphs!$CK139,Data!$A$4:$A$947,0),MATCH(Graphs!CU$4,Data!$P$3:$Z$3,0)))</f>
        <v>#N/A</v>
      </c>
      <c r="CV139" s="24" t="str">
        <f t="array" ref="CV139">IF(INDEX(Data!$P$4:$Z$947,MATCH(Graphs!$CK139,Data!$A$4:$A$947,0),MATCH(Graphs!CV$4,Data!$P$3:$Z$3,0))="n.q.",NA(),INDEX(Data!$P$4:$Z$947,MATCH(Graphs!$CK139,Data!$A$4:$A$947,0),MATCH(Graphs!CV$4,Data!$P$3:$Z$3,0)))</f>
        <v>#N/A</v>
      </c>
    </row>
    <row r="140" ht="14.25" customHeight="1"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5"/>
      <c r="CK140" s="22">
        <f>Data!A139</f>
        <v>45021</v>
      </c>
      <c r="CL140" s="24">
        <f t="array" ref="CL140">IF(INDEX(Data!$B$4:$L$947,MATCH(Graphs!$CK140,Data!$A$4:$A$947,0),MATCH(Graphs!CL$4,Data!$B$3:$L$3,0))="n.q.",NA(),INDEX(Data!$B$4:$L$947,MATCH(Graphs!$CK140,Data!$A$4:$A$947,0),MATCH(Graphs!CL$4,Data!$B$3:$L$3,0)))</f>
        <v>285.06</v>
      </c>
      <c r="CM140" s="24">
        <f t="array" ref="CM140">IF(INDEX(Data!$B$4:$L$947,MATCH(Graphs!$CK140,Data!$A$4:$A$947,0),MATCH(Graphs!CM$4,Data!$B$3:$L$3,0))="n.q.",NA(),INDEX(Data!$B$4:$L$947,MATCH(Graphs!$CK140,Data!$A$4:$A$947,0),MATCH(Graphs!CM$4,Data!$B$3:$L$3,0)))</f>
        <v>386.36</v>
      </c>
      <c r="CN140" s="24">
        <f t="array" ref="CN140">IF(INDEX(Data!$B$4:$L$947,MATCH(Graphs!$CK140,Data!$A$4:$A$947,0),MATCH(Graphs!CN$4,Data!$B$3:$L$3,0))="n.q.",NA(),INDEX(Data!$B$4:$L$947,MATCH(Graphs!$CK140,Data!$A$4:$A$947,0),MATCH(Graphs!CN$4,Data!$B$3:$L$3,0)))</f>
        <v>250</v>
      </c>
      <c r="CO140" s="24" t="str">
        <f t="array" ref="CO140">IF(INDEX(Data!$B$4:$L$947,MATCH(Graphs!$CK140,Data!$A$4:$A$947,0),MATCH(Graphs!CO$4,Data!$B$3:$L$3,0))="n.q.",NA(),INDEX(Data!$B$4:$L$947,MATCH(Graphs!$CK140,Data!$A$4:$A$947,0),MATCH(Graphs!CO$4,Data!$B$3:$L$3,0)))</f>
        <v>#N/A</v>
      </c>
      <c r="CP140" s="24" t="str">
        <f t="array" ref="CP140">IF(INDEX(Data!$B$4:$L$947,MATCH(Graphs!$CK140,Data!$A$4:$A$947,0),MATCH(Graphs!CP$4,Data!$B$3:$L$3,0))="n.q.",NA(),INDEX(Data!$B$4:$L$947,MATCH(Graphs!$CK140,Data!$A$4:$A$947,0),MATCH(Graphs!CP$4,Data!$B$3:$L$3,0)))</f>
        <v>#N/A</v>
      </c>
      <c r="CQ140" s="5"/>
      <c r="CR140" s="24">
        <f t="array" ref="CR140">IF(INDEX(Data!$P$4:$Z$947,MATCH(Graphs!$CK140,Data!$A$4:$A$947,0),MATCH(Graphs!CR$4,Data!$P$3:$Z$3,0))="n.q.",NA(),INDEX(Data!$P$4:$Z$947,MATCH(Graphs!$CK140,Data!$A$4:$A$947,0),MATCH(Graphs!CR$4,Data!$P$3:$Z$3,0)))</f>
        <v>271.9652651</v>
      </c>
      <c r="CS140" s="24" t="str">
        <f t="array" ref="CS140">IF(INDEX(Data!$P$4:$Z$947,MATCH(Graphs!$CK140,Data!$A$4:$A$947,0),MATCH(Graphs!CS$4,Data!$P$3:$Z$3,0))="n.q.",NA(),INDEX(Data!$P$4:$Z$947,MATCH(Graphs!$CK140,Data!$A$4:$A$947,0),MATCH(Graphs!CS$4,Data!$P$3:$Z$3,0)))</f>
        <v>#N/A</v>
      </c>
      <c r="CT140" s="24">
        <f t="array" ref="CT140">IF(INDEX(Data!$P$4:$Z$947,MATCH(Graphs!$CK140,Data!$A$4:$A$947,0),MATCH(Graphs!CT$4,Data!$P$3:$Z$3,0))="n.q.",NA(),INDEX(Data!$P$4:$Z$947,MATCH(Graphs!$CK140,Data!$A$4:$A$947,0),MATCH(Graphs!CT$4,Data!$P$3:$Z$3,0)))</f>
        <v>222.1206581</v>
      </c>
      <c r="CU140" s="24" t="str">
        <f t="array" ref="CU140">IF(INDEX(Data!$P$4:$Z$947,MATCH(Graphs!$CK140,Data!$A$4:$A$947,0),MATCH(Graphs!CU$4,Data!$P$3:$Z$3,0))="n.q.",NA(),INDEX(Data!$P$4:$Z$947,MATCH(Graphs!$CK140,Data!$A$4:$A$947,0),MATCH(Graphs!CU$4,Data!$P$3:$Z$3,0)))</f>
        <v>#N/A</v>
      </c>
      <c r="CV140" s="24" t="str">
        <f t="array" ref="CV140">IF(INDEX(Data!$P$4:$Z$947,MATCH(Graphs!$CK140,Data!$A$4:$A$947,0),MATCH(Graphs!CV$4,Data!$P$3:$Z$3,0))="n.q.",NA(),INDEX(Data!$P$4:$Z$947,MATCH(Graphs!$CK140,Data!$A$4:$A$947,0),MATCH(Graphs!CV$4,Data!$P$3:$Z$3,0)))</f>
        <v>#N/A</v>
      </c>
    </row>
    <row r="141" ht="14.25" customHeight="1"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5"/>
      <c r="CK141" s="22">
        <f>Data!A140</f>
        <v>45014</v>
      </c>
      <c r="CL141" s="24">
        <f t="array" ref="CL141">IF(INDEX(Data!$B$4:$L$947,MATCH(Graphs!$CK141,Data!$A$4:$A$947,0),MATCH(Graphs!CL$4,Data!$B$3:$L$3,0))="n.q.",NA(),INDEX(Data!$B$4:$L$947,MATCH(Graphs!$CK141,Data!$A$4:$A$947,0),MATCH(Graphs!CL$4,Data!$B$3:$L$3,0)))</f>
        <v>295.71</v>
      </c>
      <c r="CM141" s="24">
        <f t="array" ref="CM141">IF(INDEX(Data!$B$4:$L$947,MATCH(Graphs!$CK141,Data!$A$4:$A$947,0),MATCH(Graphs!CM$4,Data!$B$3:$L$3,0))="n.q.",NA(),INDEX(Data!$B$4:$L$947,MATCH(Graphs!$CK141,Data!$A$4:$A$947,0),MATCH(Graphs!CM$4,Data!$B$3:$L$3,0)))</f>
        <v>387.83</v>
      </c>
      <c r="CN141" s="24">
        <f t="array" ref="CN141">IF(INDEX(Data!$B$4:$L$947,MATCH(Graphs!$CK141,Data!$A$4:$A$947,0),MATCH(Graphs!CN$4,Data!$B$3:$L$3,0))="n.q.",NA(),INDEX(Data!$B$4:$L$947,MATCH(Graphs!$CK141,Data!$A$4:$A$947,0),MATCH(Graphs!CN$4,Data!$B$3:$L$3,0)))</f>
        <v>255</v>
      </c>
      <c r="CO141" s="24" t="str">
        <f t="array" ref="CO141">IF(INDEX(Data!$B$4:$L$947,MATCH(Graphs!$CK141,Data!$A$4:$A$947,0),MATCH(Graphs!CO$4,Data!$B$3:$L$3,0))="n.q.",NA(),INDEX(Data!$B$4:$L$947,MATCH(Graphs!$CK141,Data!$A$4:$A$947,0),MATCH(Graphs!CO$4,Data!$B$3:$L$3,0)))</f>
        <v>#N/A</v>
      </c>
      <c r="CP141" s="24" t="str">
        <f t="array" ref="CP141">IF(INDEX(Data!$B$4:$L$947,MATCH(Graphs!$CK141,Data!$A$4:$A$947,0),MATCH(Graphs!CP$4,Data!$B$3:$L$3,0))="n.q.",NA(),INDEX(Data!$B$4:$L$947,MATCH(Graphs!$CK141,Data!$A$4:$A$947,0),MATCH(Graphs!CP$4,Data!$B$3:$L$3,0)))</f>
        <v>#N/A</v>
      </c>
      <c r="CQ141" s="5"/>
      <c r="CR141" s="24">
        <f t="array" ref="CR141">IF(INDEX(Data!$P$4:$Z$947,MATCH(Graphs!$CK141,Data!$A$4:$A$947,0),MATCH(Graphs!CR$4,Data!$P$3:$Z$3,0))="n.q.",NA(),INDEX(Data!$P$4:$Z$947,MATCH(Graphs!$CK141,Data!$A$4:$A$947,0),MATCH(Graphs!CR$4,Data!$P$3:$Z$3,0)))</f>
        <v>274.2048493</v>
      </c>
      <c r="CS141" s="24">
        <f t="array" ref="CS141">IF(INDEX(Data!$P$4:$Z$947,MATCH(Graphs!$CK141,Data!$A$4:$A$947,0),MATCH(Graphs!CS$4,Data!$P$3:$Z$3,0))="n.q.",NA(),INDEX(Data!$P$4:$Z$947,MATCH(Graphs!$CK141,Data!$A$4:$A$947,0),MATCH(Graphs!CS$4,Data!$P$3:$Z$3,0)))</f>
        <v>289.37</v>
      </c>
      <c r="CT141" s="24">
        <f t="array" ref="CT141">IF(INDEX(Data!$P$4:$Z$947,MATCH(Graphs!$CK141,Data!$A$4:$A$947,0),MATCH(Graphs!CT$4,Data!$P$3:$Z$3,0))="n.q.",NA(),INDEX(Data!$P$4:$Z$947,MATCH(Graphs!$CK141,Data!$A$4:$A$947,0),MATCH(Graphs!CT$4,Data!$P$3:$Z$3,0)))</f>
        <v>231.4003872</v>
      </c>
      <c r="CU141" s="24" t="str">
        <f t="array" ref="CU141">IF(INDEX(Data!$P$4:$Z$947,MATCH(Graphs!$CK141,Data!$A$4:$A$947,0),MATCH(Graphs!CU$4,Data!$P$3:$Z$3,0))="n.q.",NA(),INDEX(Data!$P$4:$Z$947,MATCH(Graphs!$CK141,Data!$A$4:$A$947,0),MATCH(Graphs!CU$4,Data!$P$3:$Z$3,0)))</f>
        <v>#N/A</v>
      </c>
      <c r="CV141" s="24" t="str">
        <f t="array" ref="CV141">IF(INDEX(Data!$P$4:$Z$947,MATCH(Graphs!$CK141,Data!$A$4:$A$947,0),MATCH(Graphs!CV$4,Data!$P$3:$Z$3,0))="n.q.",NA(),INDEX(Data!$P$4:$Z$947,MATCH(Graphs!$CK141,Data!$A$4:$A$947,0),MATCH(Graphs!CV$4,Data!$P$3:$Z$3,0)))</f>
        <v>#N/A</v>
      </c>
    </row>
    <row r="142" ht="14.25" customHeight="1"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5"/>
      <c r="CK142" s="22">
        <f>Data!A141</f>
        <v>45007</v>
      </c>
      <c r="CL142" s="24">
        <f t="array" ref="CL142">IF(INDEX(Data!$B$4:$L$947,MATCH(Graphs!$CK142,Data!$A$4:$A$947,0),MATCH(Graphs!CL$4,Data!$B$3:$L$3,0))="n.q.",NA(),INDEX(Data!$B$4:$L$947,MATCH(Graphs!$CK142,Data!$A$4:$A$947,0),MATCH(Graphs!CL$4,Data!$B$3:$L$3,0)))</f>
        <v>279.9</v>
      </c>
      <c r="CM142" s="24">
        <f t="array" ref="CM142">IF(INDEX(Data!$B$4:$L$947,MATCH(Graphs!$CK142,Data!$A$4:$A$947,0),MATCH(Graphs!CM$4,Data!$B$3:$L$3,0))="n.q.",NA(),INDEX(Data!$B$4:$L$947,MATCH(Graphs!$CK142,Data!$A$4:$A$947,0),MATCH(Graphs!CM$4,Data!$B$3:$L$3,0)))</f>
        <v>362.38</v>
      </c>
      <c r="CN142" s="24">
        <f t="array" ref="CN142">IF(INDEX(Data!$B$4:$L$947,MATCH(Graphs!$CK142,Data!$A$4:$A$947,0),MATCH(Graphs!CN$4,Data!$B$3:$L$3,0))="n.q.",NA(),INDEX(Data!$B$4:$L$947,MATCH(Graphs!$CK142,Data!$A$4:$A$947,0),MATCH(Graphs!CN$4,Data!$B$3:$L$3,0)))</f>
        <v>250</v>
      </c>
      <c r="CO142" s="24" t="str">
        <f t="array" ref="CO142">IF(INDEX(Data!$B$4:$L$947,MATCH(Graphs!$CK142,Data!$A$4:$A$947,0),MATCH(Graphs!CO$4,Data!$B$3:$L$3,0))="n.q.",NA(),INDEX(Data!$B$4:$L$947,MATCH(Graphs!$CK142,Data!$A$4:$A$947,0),MATCH(Graphs!CO$4,Data!$B$3:$L$3,0)))</f>
        <v>#N/A</v>
      </c>
      <c r="CP142" s="24" t="str">
        <f t="array" ref="CP142">IF(INDEX(Data!$B$4:$L$947,MATCH(Graphs!$CK142,Data!$A$4:$A$947,0),MATCH(Graphs!CP$4,Data!$B$3:$L$3,0))="n.q.",NA(),INDEX(Data!$B$4:$L$947,MATCH(Graphs!$CK142,Data!$A$4:$A$947,0),MATCH(Graphs!CP$4,Data!$B$3:$L$3,0)))</f>
        <v>#N/A</v>
      </c>
      <c r="CQ142" s="5"/>
      <c r="CR142" s="24">
        <f t="array" ref="CR142">IF(INDEX(Data!$P$4:$Z$947,MATCH(Graphs!$CK142,Data!$A$4:$A$947,0),MATCH(Graphs!CR$4,Data!$P$3:$Z$3,0))="n.q.",NA(),INDEX(Data!$P$4:$Z$947,MATCH(Graphs!$CK142,Data!$A$4:$A$947,0),MATCH(Graphs!CR$4,Data!$P$3:$Z$3,0)))</f>
        <v>269.5688456</v>
      </c>
      <c r="CS142" s="24">
        <f t="array" ref="CS142">IF(INDEX(Data!$P$4:$Z$947,MATCH(Graphs!$CK142,Data!$A$4:$A$947,0),MATCH(Graphs!CS$4,Data!$P$3:$Z$3,0))="n.q.",NA(),INDEX(Data!$P$4:$Z$947,MATCH(Graphs!$CK142,Data!$A$4:$A$947,0),MATCH(Graphs!CS$4,Data!$P$3:$Z$3,0)))</f>
        <v>270.69</v>
      </c>
      <c r="CT142" s="24">
        <f t="array" ref="CT142">IF(INDEX(Data!$P$4:$Z$947,MATCH(Graphs!$CK142,Data!$A$4:$A$947,0),MATCH(Graphs!CT$4,Data!$P$3:$Z$3,0))="n.q.",NA(),INDEX(Data!$P$4:$Z$947,MATCH(Graphs!$CK142,Data!$A$4:$A$947,0),MATCH(Graphs!CT$4,Data!$P$3:$Z$3,0)))</f>
        <v>231.8034307</v>
      </c>
      <c r="CU142" s="24" t="str">
        <f t="array" ref="CU142">IF(INDEX(Data!$P$4:$Z$947,MATCH(Graphs!$CK142,Data!$A$4:$A$947,0),MATCH(Graphs!CU$4,Data!$P$3:$Z$3,0))="n.q.",NA(),INDEX(Data!$P$4:$Z$947,MATCH(Graphs!$CK142,Data!$A$4:$A$947,0),MATCH(Graphs!CU$4,Data!$P$3:$Z$3,0)))</f>
        <v>#N/A</v>
      </c>
      <c r="CV142" s="24" t="str">
        <f t="array" ref="CV142">IF(INDEX(Data!$P$4:$Z$947,MATCH(Graphs!$CK142,Data!$A$4:$A$947,0),MATCH(Graphs!CV$4,Data!$P$3:$Z$3,0))="n.q.",NA(),INDEX(Data!$P$4:$Z$947,MATCH(Graphs!$CK142,Data!$A$4:$A$947,0),MATCH(Graphs!CV$4,Data!$P$3:$Z$3,0)))</f>
        <v>#N/A</v>
      </c>
    </row>
    <row r="143" ht="14.25" customHeight="1"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5"/>
      <c r="CK143" s="22">
        <f>Data!A142</f>
        <v>45000</v>
      </c>
      <c r="CL143" s="24">
        <f t="array" ref="CL143">IF(INDEX(Data!$B$4:$L$947,MATCH(Graphs!$CK143,Data!$A$4:$A$947,0),MATCH(Graphs!CL$4,Data!$B$3:$L$3,0))="n.q.",NA(),INDEX(Data!$B$4:$L$947,MATCH(Graphs!$CK143,Data!$A$4:$A$947,0),MATCH(Graphs!CL$4,Data!$B$3:$L$3,0)))</f>
        <v>294.37</v>
      </c>
      <c r="CM143" s="24">
        <f t="array" ref="CM143">IF(INDEX(Data!$B$4:$L$947,MATCH(Graphs!$CK143,Data!$A$4:$A$947,0),MATCH(Graphs!CM$4,Data!$B$3:$L$3,0))="n.q.",NA(),INDEX(Data!$B$4:$L$947,MATCH(Graphs!$CK143,Data!$A$4:$A$947,0),MATCH(Graphs!CM$4,Data!$B$3:$L$3,0)))</f>
        <v>365.51</v>
      </c>
      <c r="CN143" s="24">
        <f t="array" ref="CN143">IF(INDEX(Data!$B$4:$L$947,MATCH(Graphs!$CK143,Data!$A$4:$A$947,0),MATCH(Graphs!CN$4,Data!$B$3:$L$3,0))="n.q.",NA(),INDEX(Data!$B$4:$L$947,MATCH(Graphs!$CK143,Data!$A$4:$A$947,0),MATCH(Graphs!CN$4,Data!$B$3:$L$3,0)))</f>
        <v>265</v>
      </c>
      <c r="CO143" s="24" t="str">
        <f t="array" ref="CO143">IF(INDEX(Data!$B$4:$L$947,MATCH(Graphs!$CK143,Data!$A$4:$A$947,0),MATCH(Graphs!CO$4,Data!$B$3:$L$3,0))="n.q.",NA(),INDEX(Data!$B$4:$L$947,MATCH(Graphs!$CK143,Data!$A$4:$A$947,0),MATCH(Graphs!CO$4,Data!$B$3:$L$3,0)))</f>
        <v>#N/A</v>
      </c>
      <c r="CP143" s="24" t="str">
        <f t="array" ref="CP143">IF(INDEX(Data!$B$4:$L$947,MATCH(Graphs!$CK143,Data!$A$4:$A$947,0),MATCH(Graphs!CP$4,Data!$B$3:$L$3,0))="n.q.",NA(),INDEX(Data!$B$4:$L$947,MATCH(Graphs!$CK143,Data!$A$4:$A$947,0),MATCH(Graphs!CP$4,Data!$B$3:$L$3,0)))</f>
        <v>#N/A</v>
      </c>
      <c r="CQ143" s="5"/>
      <c r="CR143" s="24">
        <f t="array" ref="CR143">IF(INDEX(Data!$P$4:$Z$947,MATCH(Graphs!$CK143,Data!$A$4:$A$947,0),MATCH(Graphs!CR$4,Data!$P$3:$Z$3,0))="n.q.",NA(),INDEX(Data!$P$4:$Z$947,MATCH(Graphs!$CK143,Data!$A$4:$A$947,0),MATCH(Graphs!CR$4,Data!$P$3:$Z$3,0)))</f>
        <v>269.2577495</v>
      </c>
      <c r="CS143" s="24">
        <f t="array" ref="CS143">IF(INDEX(Data!$P$4:$Z$947,MATCH(Graphs!$CK143,Data!$A$4:$A$947,0),MATCH(Graphs!CS$4,Data!$P$3:$Z$3,0))="n.q.",NA(),INDEX(Data!$P$4:$Z$947,MATCH(Graphs!$CK143,Data!$A$4:$A$947,0),MATCH(Graphs!CS$4,Data!$P$3:$Z$3,0)))</f>
        <v>291.44</v>
      </c>
      <c r="CT143" s="24">
        <f t="array" ref="CT143">IF(INDEX(Data!$P$4:$Z$947,MATCH(Graphs!$CK143,Data!$A$4:$A$947,0),MATCH(Graphs!CT$4,Data!$P$3:$Z$3,0))="n.q.",NA(),INDEX(Data!$P$4:$Z$947,MATCH(Graphs!$CK143,Data!$A$4:$A$947,0),MATCH(Graphs!CT$4,Data!$P$3:$Z$3,0)))</f>
        <v>238.8852024</v>
      </c>
      <c r="CU143" s="24" t="str">
        <f t="array" ref="CU143">IF(INDEX(Data!$P$4:$Z$947,MATCH(Graphs!$CK143,Data!$A$4:$A$947,0),MATCH(Graphs!CU$4,Data!$P$3:$Z$3,0))="n.q.",NA(),INDEX(Data!$P$4:$Z$947,MATCH(Graphs!$CK143,Data!$A$4:$A$947,0),MATCH(Graphs!CU$4,Data!$P$3:$Z$3,0)))</f>
        <v>#N/A</v>
      </c>
      <c r="CV143" s="24" t="str">
        <f t="array" ref="CV143">IF(INDEX(Data!$P$4:$Z$947,MATCH(Graphs!$CK143,Data!$A$4:$A$947,0),MATCH(Graphs!CV$4,Data!$P$3:$Z$3,0))="n.q.",NA(),INDEX(Data!$P$4:$Z$947,MATCH(Graphs!$CK143,Data!$A$4:$A$947,0),MATCH(Graphs!CV$4,Data!$P$3:$Z$3,0)))</f>
        <v>#N/A</v>
      </c>
    </row>
    <row r="144" ht="14.25" customHeight="1"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5"/>
      <c r="CK144" s="22">
        <f>Data!A143</f>
        <v>44993</v>
      </c>
      <c r="CL144" s="24">
        <f t="array" ref="CL144">IF(INDEX(Data!$B$4:$L$947,MATCH(Graphs!$CK144,Data!$A$4:$A$947,0),MATCH(Graphs!CL$4,Data!$B$3:$L$3,0))="n.q.",NA(),INDEX(Data!$B$4:$L$947,MATCH(Graphs!$CK144,Data!$A$4:$A$947,0),MATCH(Graphs!CL$4,Data!$B$3:$L$3,0)))</f>
        <v>289.22</v>
      </c>
      <c r="CM144" s="24">
        <f t="array" ref="CM144">IF(INDEX(Data!$B$4:$L$947,MATCH(Graphs!$CK144,Data!$A$4:$A$947,0),MATCH(Graphs!CM$4,Data!$B$3:$L$3,0))="n.q.",NA(),INDEX(Data!$B$4:$L$947,MATCH(Graphs!$CK144,Data!$A$4:$A$947,0),MATCH(Graphs!CM$4,Data!$B$3:$L$3,0)))</f>
        <v>358.34</v>
      </c>
      <c r="CN144" s="24">
        <f t="array" ref="CN144">IF(INDEX(Data!$B$4:$L$947,MATCH(Graphs!$CK144,Data!$A$4:$A$947,0),MATCH(Graphs!CN$4,Data!$B$3:$L$3,0))="n.q.",NA(),INDEX(Data!$B$4:$L$947,MATCH(Graphs!$CK144,Data!$A$4:$A$947,0),MATCH(Graphs!CN$4,Data!$B$3:$L$3,0)))</f>
        <v>271</v>
      </c>
      <c r="CO144" s="24" t="str">
        <f t="array" ref="CO144">IF(INDEX(Data!$B$4:$L$947,MATCH(Graphs!$CK144,Data!$A$4:$A$947,0),MATCH(Graphs!CO$4,Data!$B$3:$L$3,0))="n.q.",NA(),INDEX(Data!$B$4:$L$947,MATCH(Graphs!$CK144,Data!$A$4:$A$947,0),MATCH(Graphs!CO$4,Data!$B$3:$L$3,0)))</f>
        <v>#N/A</v>
      </c>
      <c r="CP144" s="24" t="str">
        <f t="array" ref="CP144">IF(INDEX(Data!$B$4:$L$947,MATCH(Graphs!$CK144,Data!$A$4:$A$947,0),MATCH(Graphs!CP$4,Data!$B$3:$L$3,0))="n.q.",NA(),INDEX(Data!$B$4:$L$947,MATCH(Graphs!$CK144,Data!$A$4:$A$947,0),MATCH(Graphs!CP$4,Data!$B$3:$L$3,0)))</f>
        <v>#N/A</v>
      </c>
      <c r="CQ144" s="5"/>
      <c r="CR144" s="24">
        <f t="array" ref="CR144">IF(INDEX(Data!$P$4:$Z$947,MATCH(Graphs!$CK144,Data!$A$4:$A$947,0),MATCH(Graphs!CR$4,Data!$P$3:$Z$3,0))="n.q.",NA(),INDEX(Data!$P$4:$Z$947,MATCH(Graphs!$CK144,Data!$A$4:$A$947,0),MATCH(Graphs!CR$4,Data!$P$3:$Z$3,0)))</f>
        <v>267.8710289</v>
      </c>
      <c r="CS144" s="24">
        <f t="array" ref="CS144">IF(INDEX(Data!$P$4:$Z$947,MATCH(Graphs!$CK144,Data!$A$4:$A$947,0),MATCH(Graphs!CS$4,Data!$P$3:$Z$3,0))="n.q.",NA(),INDEX(Data!$P$4:$Z$947,MATCH(Graphs!$CK144,Data!$A$4:$A$947,0),MATCH(Graphs!CS$4,Data!$P$3:$Z$3,0)))</f>
        <v>288.44</v>
      </c>
      <c r="CT144" s="24">
        <f t="array" ref="CT144">IF(INDEX(Data!$P$4:$Z$947,MATCH(Graphs!$CK144,Data!$A$4:$A$947,0),MATCH(Graphs!CT$4,Data!$P$3:$Z$3,0))="n.q.",NA(),INDEX(Data!$P$4:$Z$947,MATCH(Graphs!$CK144,Data!$A$4:$A$947,0),MATCH(Graphs!CT$4,Data!$P$3:$Z$3,0)))</f>
        <v>242.7690849</v>
      </c>
      <c r="CU144" s="24" t="str">
        <f t="array" ref="CU144">IF(INDEX(Data!$P$4:$Z$947,MATCH(Graphs!$CK144,Data!$A$4:$A$947,0),MATCH(Graphs!CU$4,Data!$P$3:$Z$3,0))="n.q.",NA(),INDEX(Data!$P$4:$Z$947,MATCH(Graphs!$CK144,Data!$A$4:$A$947,0),MATCH(Graphs!CU$4,Data!$P$3:$Z$3,0)))</f>
        <v>#N/A</v>
      </c>
      <c r="CV144" s="24" t="str">
        <f t="array" ref="CV144">IF(INDEX(Data!$P$4:$Z$947,MATCH(Graphs!$CK144,Data!$A$4:$A$947,0),MATCH(Graphs!CV$4,Data!$P$3:$Z$3,0))="n.q.",NA(),INDEX(Data!$P$4:$Z$947,MATCH(Graphs!$CK144,Data!$A$4:$A$947,0),MATCH(Graphs!CV$4,Data!$P$3:$Z$3,0)))</f>
        <v>#N/A</v>
      </c>
    </row>
    <row r="145" ht="14.25" customHeight="1"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5"/>
      <c r="CK145" s="22">
        <f>Data!A144</f>
        <v>44986</v>
      </c>
      <c r="CL145" s="24">
        <f t="array" ref="CL145">IF(INDEX(Data!$B$4:$L$947,MATCH(Graphs!$CK145,Data!$A$4:$A$947,0),MATCH(Graphs!CL$4,Data!$B$3:$L$3,0))="n.q.",NA(),INDEX(Data!$B$4:$L$947,MATCH(Graphs!$CK145,Data!$A$4:$A$947,0),MATCH(Graphs!CL$4,Data!$B$3:$L$3,0)))</f>
        <v>300.18</v>
      </c>
      <c r="CM145" s="24">
        <f t="array" ref="CM145">IF(INDEX(Data!$B$4:$L$947,MATCH(Graphs!$CK145,Data!$A$4:$A$947,0),MATCH(Graphs!CM$4,Data!$B$3:$L$3,0))="n.q.",NA(),INDEX(Data!$B$4:$L$947,MATCH(Graphs!$CK145,Data!$A$4:$A$947,0),MATCH(Graphs!CM$4,Data!$B$3:$L$3,0)))</f>
        <v>371.57</v>
      </c>
      <c r="CN145" s="24">
        <f t="array" ref="CN145">IF(INDEX(Data!$B$4:$L$947,MATCH(Graphs!$CK145,Data!$A$4:$A$947,0),MATCH(Graphs!CN$4,Data!$B$3:$L$3,0))="n.q.",NA(),INDEX(Data!$B$4:$L$947,MATCH(Graphs!$CK145,Data!$A$4:$A$947,0),MATCH(Graphs!CN$4,Data!$B$3:$L$3,0)))</f>
        <v>270</v>
      </c>
      <c r="CO145" s="24" t="str">
        <f t="array" ref="CO145">IF(INDEX(Data!$B$4:$L$947,MATCH(Graphs!$CK145,Data!$A$4:$A$947,0),MATCH(Graphs!CO$4,Data!$B$3:$L$3,0))="n.q.",NA(),INDEX(Data!$B$4:$L$947,MATCH(Graphs!$CK145,Data!$A$4:$A$947,0),MATCH(Graphs!CO$4,Data!$B$3:$L$3,0)))</f>
        <v>#N/A</v>
      </c>
      <c r="CP145" s="24" t="str">
        <f t="array" ref="CP145">IF(INDEX(Data!$B$4:$L$947,MATCH(Graphs!$CK145,Data!$A$4:$A$947,0),MATCH(Graphs!CP$4,Data!$B$3:$L$3,0))="n.q.",NA(),INDEX(Data!$B$4:$L$947,MATCH(Graphs!$CK145,Data!$A$4:$A$947,0),MATCH(Graphs!CP$4,Data!$B$3:$L$3,0)))</f>
        <v>#N/A</v>
      </c>
      <c r="CQ145" s="5"/>
      <c r="CR145" s="24">
        <f t="array" ref="CR145">IF(INDEX(Data!$P$4:$Z$947,MATCH(Graphs!$CK145,Data!$A$4:$A$947,0),MATCH(Graphs!CR$4,Data!$P$3:$Z$3,0))="n.q.",NA(),INDEX(Data!$P$4:$Z$947,MATCH(Graphs!$CK145,Data!$A$4:$A$947,0),MATCH(Graphs!CR$4,Data!$P$3:$Z$3,0)))</f>
        <v>267.3343317</v>
      </c>
      <c r="CS145" s="24">
        <f t="array" ref="CS145">IF(INDEX(Data!$P$4:$Z$947,MATCH(Graphs!$CK145,Data!$A$4:$A$947,0),MATCH(Graphs!CS$4,Data!$P$3:$Z$3,0))="n.q.",NA(),INDEX(Data!$P$4:$Z$947,MATCH(Graphs!$CK145,Data!$A$4:$A$947,0),MATCH(Graphs!CS$4,Data!$P$3:$Z$3,0)))</f>
        <v>294.44</v>
      </c>
      <c r="CT145" s="24">
        <f t="array" ref="CT145">IF(INDEX(Data!$P$4:$Z$947,MATCH(Graphs!$CK145,Data!$A$4:$A$947,0),MATCH(Graphs!CT$4,Data!$P$3:$Z$3,0))="n.q.",NA(),INDEX(Data!$P$4:$Z$947,MATCH(Graphs!$CK145,Data!$A$4:$A$947,0),MATCH(Graphs!CT$4,Data!$P$3:$Z$3,0)))</f>
        <v>239.6106327</v>
      </c>
      <c r="CU145" s="24" t="str">
        <f t="array" ref="CU145">IF(INDEX(Data!$P$4:$Z$947,MATCH(Graphs!$CK145,Data!$A$4:$A$947,0),MATCH(Graphs!CU$4,Data!$P$3:$Z$3,0))="n.q.",NA(),INDEX(Data!$P$4:$Z$947,MATCH(Graphs!$CK145,Data!$A$4:$A$947,0),MATCH(Graphs!CU$4,Data!$P$3:$Z$3,0)))</f>
        <v>#N/A</v>
      </c>
      <c r="CV145" s="24" t="str">
        <f t="array" ref="CV145">IF(INDEX(Data!$P$4:$Z$947,MATCH(Graphs!$CK145,Data!$A$4:$A$947,0),MATCH(Graphs!CV$4,Data!$P$3:$Z$3,0))="n.q.",NA(),INDEX(Data!$P$4:$Z$947,MATCH(Graphs!$CK145,Data!$A$4:$A$947,0),MATCH(Graphs!CV$4,Data!$P$3:$Z$3,0)))</f>
        <v>#N/A</v>
      </c>
    </row>
    <row r="146" ht="14.25" customHeight="1"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5"/>
      <c r="CK146" s="22">
        <f>Data!A145</f>
        <v>44979</v>
      </c>
      <c r="CL146" s="24">
        <f t="array" ref="CL146">IF(INDEX(Data!$B$4:$L$947,MATCH(Graphs!$CK146,Data!$A$4:$A$947,0),MATCH(Graphs!CL$4,Data!$B$3:$L$3,0))="n.q.",NA(),INDEX(Data!$B$4:$L$947,MATCH(Graphs!$CK146,Data!$A$4:$A$947,0),MATCH(Graphs!CL$4,Data!$B$3:$L$3,0)))</f>
        <v>309.41</v>
      </c>
      <c r="CM146" s="24">
        <f t="array" ref="CM146">IF(INDEX(Data!$B$4:$L$947,MATCH(Graphs!$CK146,Data!$A$4:$A$947,0),MATCH(Graphs!CM$4,Data!$B$3:$L$3,0))="n.q.",NA(),INDEX(Data!$B$4:$L$947,MATCH(Graphs!$CK146,Data!$A$4:$A$947,0),MATCH(Graphs!CM$4,Data!$B$3:$L$3,0)))</f>
        <v>393.53</v>
      </c>
      <c r="CN146" s="24">
        <f t="array" ref="CN146">IF(INDEX(Data!$B$4:$L$947,MATCH(Graphs!$CK146,Data!$A$4:$A$947,0),MATCH(Graphs!CN$4,Data!$B$3:$L$3,0))="n.q.",NA(),INDEX(Data!$B$4:$L$947,MATCH(Graphs!$CK146,Data!$A$4:$A$947,0),MATCH(Graphs!CN$4,Data!$B$3:$L$3,0)))</f>
        <v>270</v>
      </c>
      <c r="CO146" s="24" t="str">
        <f t="array" ref="CO146">IF(INDEX(Data!$B$4:$L$947,MATCH(Graphs!$CK146,Data!$A$4:$A$947,0),MATCH(Graphs!CO$4,Data!$B$3:$L$3,0))="n.q.",NA(),INDEX(Data!$B$4:$L$947,MATCH(Graphs!$CK146,Data!$A$4:$A$947,0),MATCH(Graphs!CO$4,Data!$B$3:$L$3,0)))</f>
        <v>#N/A</v>
      </c>
      <c r="CP146" s="24" t="str">
        <f t="array" ref="CP146">IF(INDEX(Data!$B$4:$L$947,MATCH(Graphs!$CK146,Data!$A$4:$A$947,0),MATCH(Graphs!CP$4,Data!$B$3:$L$3,0))="n.q.",NA(),INDEX(Data!$B$4:$L$947,MATCH(Graphs!$CK146,Data!$A$4:$A$947,0),MATCH(Graphs!CP$4,Data!$B$3:$L$3,0)))</f>
        <v>#N/A</v>
      </c>
      <c r="CQ146" s="5"/>
      <c r="CR146" s="24">
        <f t="array" ref="CR146">IF(INDEX(Data!$P$4:$Z$947,MATCH(Graphs!$CK146,Data!$A$4:$A$947,0),MATCH(Graphs!CR$4,Data!$P$3:$Z$3,0))="n.q.",NA(),INDEX(Data!$P$4:$Z$947,MATCH(Graphs!$CK146,Data!$A$4:$A$947,0),MATCH(Graphs!CR$4,Data!$P$3:$Z$3,0)))</f>
        <v>280.7215333</v>
      </c>
      <c r="CS146" s="24">
        <f t="array" ref="CS146">IF(INDEX(Data!$P$4:$Z$947,MATCH(Graphs!$CK146,Data!$A$4:$A$947,0),MATCH(Graphs!CS$4,Data!$P$3:$Z$3,0))="n.q.",NA(),INDEX(Data!$P$4:$Z$947,MATCH(Graphs!$CK146,Data!$A$4:$A$947,0),MATCH(Graphs!CS$4,Data!$P$3:$Z$3,0)))</f>
        <v>312.01</v>
      </c>
      <c r="CT146" s="24">
        <f t="array" ref="CT146">IF(INDEX(Data!$P$4:$Z$947,MATCH(Graphs!$CK146,Data!$A$4:$A$947,0),MATCH(Graphs!CT$4,Data!$P$3:$Z$3,0))="n.q.",NA(),INDEX(Data!$P$4:$Z$947,MATCH(Graphs!$CK146,Data!$A$4:$A$947,0),MATCH(Graphs!CT$4,Data!$P$3:$Z$3,0)))</f>
        <v>245.2085682</v>
      </c>
      <c r="CU146" s="24" t="str">
        <f t="array" ref="CU146">IF(INDEX(Data!$P$4:$Z$947,MATCH(Graphs!$CK146,Data!$A$4:$A$947,0),MATCH(Graphs!CU$4,Data!$P$3:$Z$3,0))="n.q.",NA(),INDEX(Data!$P$4:$Z$947,MATCH(Graphs!$CK146,Data!$A$4:$A$947,0),MATCH(Graphs!CU$4,Data!$P$3:$Z$3,0)))</f>
        <v>#N/A</v>
      </c>
      <c r="CV146" s="24" t="str">
        <f t="array" ref="CV146">IF(INDEX(Data!$P$4:$Z$947,MATCH(Graphs!$CK146,Data!$A$4:$A$947,0),MATCH(Graphs!CV$4,Data!$P$3:$Z$3,0))="n.q.",NA(),INDEX(Data!$P$4:$Z$947,MATCH(Graphs!$CK146,Data!$A$4:$A$947,0),MATCH(Graphs!CV$4,Data!$P$3:$Z$3,0)))</f>
        <v>#N/A</v>
      </c>
    </row>
    <row r="147" ht="14.25" customHeight="1"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5"/>
      <c r="CK147" s="22">
        <f>Data!A146</f>
        <v>44972</v>
      </c>
      <c r="CL147" s="24">
        <f t="array" ref="CL147">IF(INDEX(Data!$B$4:$L$947,MATCH(Graphs!$CK147,Data!$A$4:$A$947,0),MATCH(Graphs!CL$4,Data!$B$3:$L$3,0))="n.q.",NA(),INDEX(Data!$B$4:$L$947,MATCH(Graphs!$CK147,Data!$A$4:$A$947,0),MATCH(Graphs!CL$4,Data!$B$3:$L$3,0)))</f>
        <v>328.22</v>
      </c>
      <c r="CM147" s="24">
        <f t="array" ref="CM147">IF(INDEX(Data!$B$4:$L$947,MATCH(Graphs!$CK147,Data!$A$4:$A$947,0),MATCH(Graphs!CM$4,Data!$B$3:$L$3,0))="n.q.",NA(),INDEX(Data!$B$4:$L$947,MATCH(Graphs!$CK147,Data!$A$4:$A$947,0),MATCH(Graphs!CM$4,Data!$B$3:$L$3,0)))</f>
        <v>400.32</v>
      </c>
      <c r="CN147" s="24">
        <f t="array" ref="CN147">IF(INDEX(Data!$B$4:$L$947,MATCH(Graphs!$CK147,Data!$A$4:$A$947,0),MATCH(Graphs!CN$4,Data!$B$3:$L$3,0))="n.q.",NA(),INDEX(Data!$B$4:$L$947,MATCH(Graphs!$CK147,Data!$A$4:$A$947,0),MATCH(Graphs!CN$4,Data!$B$3:$L$3,0)))</f>
        <v>270</v>
      </c>
      <c r="CO147" s="24" t="str">
        <f t="array" ref="CO147">IF(INDEX(Data!$B$4:$L$947,MATCH(Graphs!$CK147,Data!$A$4:$A$947,0),MATCH(Graphs!CO$4,Data!$B$3:$L$3,0))="n.q.",NA(),INDEX(Data!$B$4:$L$947,MATCH(Graphs!$CK147,Data!$A$4:$A$947,0),MATCH(Graphs!CO$4,Data!$B$3:$L$3,0)))</f>
        <v>#N/A</v>
      </c>
      <c r="CP147" s="24" t="str">
        <f t="array" ref="CP147">IF(INDEX(Data!$B$4:$L$947,MATCH(Graphs!$CK147,Data!$A$4:$A$947,0),MATCH(Graphs!CP$4,Data!$B$3:$L$3,0))="n.q.",NA(),INDEX(Data!$B$4:$L$947,MATCH(Graphs!$CK147,Data!$A$4:$A$947,0),MATCH(Graphs!CP$4,Data!$B$3:$L$3,0)))</f>
        <v>#N/A</v>
      </c>
      <c r="CQ147" s="5"/>
      <c r="CR147" s="24">
        <f t="array" ref="CR147">IF(INDEX(Data!$P$4:$Z$947,MATCH(Graphs!$CK147,Data!$A$4:$A$947,0),MATCH(Graphs!CR$4,Data!$P$3:$Z$3,0))="n.q.",NA(),INDEX(Data!$P$4:$Z$947,MATCH(Graphs!$CK147,Data!$A$4:$A$947,0),MATCH(Graphs!CR$4,Data!$P$3:$Z$3,0)))</f>
        <v>283.7663551</v>
      </c>
      <c r="CS147" s="24">
        <f t="array" ref="CS147">IF(INDEX(Data!$P$4:$Z$947,MATCH(Graphs!$CK147,Data!$A$4:$A$947,0),MATCH(Graphs!CS$4,Data!$P$3:$Z$3,0))="n.q.",NA(),INDEX(Data!$P$4:$Z$947,MATCH(Graphs!$CK147,Data!$A$4:$A$947,0),MATCH(Graphs!CS$4,Data!$P$3:$Z$3,0)))</f>
        <v>316.51</v>
      </c>
      <c r="CT147" s="24">
        <f t="array" ref="CT147">IF(INDEX(Data!$P$4:$Z$947,MATCH(Graphs!$CK147,Data!$A$4:$A$947,0),MATCH(Graphs!CT$4,Data!$P$3:$Z$3,0))="n.q.",NA(),INDEX(Data!$P$4:$Z$947,MATCH(Graphs!$CK147,Data!$A$4:$A$947,0),MATCH(Graphs!CT$4,Data!$P$3:$Z$3,0)))</f>
        <v>247.6635514</v>
      </c>
      <c r="CU147" s="24" t="str">
        <f t="array" ref="CU147">IF(INDEX(Data!$P$4:$Z$947,MATCH(Graphs!$CK147,Data!$A$4:$A$947,0),MATCH(Graphs!CU$4,Data!$P$3:$Z$3,0))="n.q.",NA(),INDEX(Data!$P$4:$Z$947,MATCH(Graphs!$CK147,Data!$A$4:$A$947,0),MATCH(Graphs!CU$4,Data!$P$3:$Z$3,0)))</f>
        <v>#N/A</v>
      </c>
      <c r="CV147" s="24" t="str">
        <f t="array" ref="CV147">IF(INDEX(Data!$P$4:$Z$947,MATCH(Graphs!$CK147,Data!$A$4:$A$947,0),MATCH(Graphs!CV$4,Data!$P$3:$Z$3,0))="n.q.",NA(),INDEX(Data!$P$4:$Z$947,MATCH(Graphs!$CK147,Data!$A$4:$A$947,0),MATCH(Graphs!CV$4,Data!$P$3:$Z$3,0)))</f>
        <v>#N/A</v>
      </c>
    </row>
    <row r="148" ht="14.25" customHeight="1"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5"/>
      <c r="CK148" s="22">
        <f>Data!A147</f>
        <v>44965</v>
      </c>
      <c r="CL148" s="24">
        <f t="array" ref="CL148">IF(INDEX(Data!$B$4:$L$947,MATCH(Graphs!$CK148,Data!$A$4:$A$947,0),MATCH(Graphs!CL$4,Data!$B$3:$L$3,0))="n.q.",NA(),INDEX(Data!$B$4:$L$947,MATCH(Graphs!$CK148,Data!$A$4:$A$947,0),MATCH(Graphs!CL$4,Data!$B$3:$L$3,0)))</f>
        <v>328.73</v>
      </c>
      <c r="CM148" s="24">
        <f t="array" ref="CM148">IF(INDEX(Data!$B$4:$L$947,MATCH(Graphs!$CK148,Data!$A$4:$A$947,0),MATCH(Graphs!CM$4,Data!$B$3:$L$3,0))="n.q.",NA(),INDEX(Data!$B$4:$L$947,MATCH(Graphs!$CK148,Data!$A$4:$A$947,0),MATCH(Graphs!CM$4,Data!$B$3:$L$3,0)))</f>
        <v>399.04</v>
      </c>
      <c r="CN148" s="24">
        <f t="array" ref="CN148">IF(INDEX(Data!$B$4:$L$947,MATCH(Graphs!$CK148,Data!$A$4:$A$947,0),MATCH(Graphs!CN$4,Data!$B$3:$L$3,0))="n.q.",NA(),INDEX(Data!$B$4:$L$947,MATCH(Graphs!$CK148,Data!$A$4:$A$947,0),MATCH(Graphs!CN$4,Data!$B$3:$L$3,0)))</f>
        <v>270</v>
      </c>
      <c r="CO148" s="24" t="str">
        <f t="array" ref="CO148">IF(INDEX(Data!$B$4:$L$947,MATCH(Graphs!$CK148,Data!$A$4:$A$947,0),MATCH(Graphs!CO$4,Data!$B$3:$L$3,0))="n.q.",NA(),INDEX(Data!$B$4:$L$947,MATCH(Graphs!$CK148,Data!$A$4:$A$947,0),MATCH(Graphs!CO$4,Data!$B$3:$L$3,0)))</f>
        <v>#N/A</v>
      </c>
      <c r="CP148" s="24" t="str">
        <f t="array" ref="CP148">IF(INDEX(Data!$B$4:$L$947,MATCH(Graphs!$CK148,Data!$A$4:$A$947,0),MATCH(Graphs!CP$4,Data!$B$3:$L$3,0))="n.q.",NA(),INDEX(Data!$B$4:$L$947,MATCH(Graphs!$CK148,Data!$A$4:$A$947,0),MATCH(Graphs!CP$4,Data!$B$3:$L$3,0)))</f>
        <v>#N/A</v>
      </c>
      <c r="CQ148" s="5"/>
      <c r="CR148" s="24">
        <f t="array" ref="CR148">IF(INDEX(Data!$P$4:$Z$947,MATCH(Graphs!$CK148,Data!$A$4:$A$947,0),MATCH(Graphs!CR$4,Data!$P$3:$Z$3,0))="n.q.",NA(),INDEX(Data!$P$4:$Z$947,MATCH(Graphs!$CK148,Data!$A$4:$A$947,0),MATCH(Graphs!CR$4,Data!$P$3:$Z$3,0)))</f>
        <v>284.7601304</v>
      </c>
      <c r="CS148" s="24">
        <f t="array" ref="CS148">IF(INDEX(Data!$P$4:$Z$947,MATCH(Graphs!$CK148,Data!$A$4:$A$947,0),MATCH(Graphs!CS$4,Data!$P$3:$Z$3,0))="n.q.",NA(),INDEX(Data!$P$4:$Z$947,MATCH(Graphs!$CK148,Data!$A$4:$A$947,0),MATCH(Graphs!CS$4,Data!$P$3:$Z$3,0)))</f>
        <v>309.51</v>
      </c>
      <c r="CT148" s="24">
        <f t="array" ref="CT148">IF(INDEX(Data!$P$4:$Z$947,MATCH(Graphs!$CK148,Data!$A$4:$A$947,0),MATCH(Graphs!CT$4,Data!$P$3:$Z$3,0))="n.q.",NA(),INDEX(Data!$P$4:$Z$947,MATCH(Graphs!$CK148,Data!$A$4:$A$947,0),MATCH(Graphs!CT$4,Data!$P$3:$Z$3,0)))</f>
        <v>249.6506754</v>
      </c>
      <c r="CU148" s="24" t="str">
        <f t="array" ref="CU148">IF(INDEX(Data!$P$4:$Z$947,MATCH(Graphs!$CK148,Data!$A$4:$A$947,0),MATCH(Graphs!CU$4,Data!$P$3:$Z$3,0))="n.q.",NA(),INDEX(Data!$P$4:$Z$947,MATCH(Graphs!$CK148,Data!$A$4:$A$947,0),MATCH(Graphs!CU$4,Data!$P$3:$Z$3,0)))</f>
        <v>#N/A</v>
      </c>
      <c r="CV148" s="24" t="str">
        <f t="array" ref="CV148">IF(INDEX(Data!$P$4:$Z$947,MATCH(Graphs!$CK148,Data!$A$4:$A$947,0),MATCH(Graphs!CV$4,Data!$P$3:$Z$3,0))="n.q.",NA(),INDEX(Data!$P$4:$Z$947,MATCH(Graphs!$CK148,Data!$A$4:$A$947,0),MATCH(Graphs!CV$4,Data!$P$3:$Z$3,0)))</f>
        <v>#N/A</v>
      </c>
    </row>
    <row r="149" ht="14.25" customHeight="1"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5"/>
      <c r="CK149" s="22">
        <f>Data!A148</f>
        <v>44958</v>
      </c>
      <c r="CL149" s="24">
        <f t="array" ref="CL149">IF(INDEX(Data!$B$4:$L$947,MATCH(Graphs!$CK149,Data!$A$4:$A$947,0),MATCH(Graphs!CL$4,Data!$B$3:$L$3,0))="n.q.",NA(),INDEX(Data!$B$4:$L$947,MATCH(Graphs!$CK149,Data!$A$4:$A$947,0),MATCH(Graphs!CL$4,Data!$B$3:$L$3,0)))</f>
        <v>325.59</v>
      </c>
      <c r="CM149" s="24">
        <f t="array" ref="CM149">IF(INDEX(Data!$B$4:$L$947,MATCH(Graphs!$CK149,Data!$A$4:$A$947,0),MATCH(Graphs!CM$4,Data!$B$3:$L$3,0))="n.q.",NA(),INDEX(Data!$B$4:$L$947,MATCH(Graphs!$CK149,Data!$A$4:$A$947,0),MATCH(Graphs!CM$4,Data!$B$3:$L$3,0)))</f>
        <v>394.72</v>
      </c>
      <c r="CN149" s="24">
        <f t="array" ref="CN149">IF(INDEX(Data!$B$4:$L$947,MATCH(Graphs!$CK149,Data!$A$4:$A$947,0),MATCH(Graphs!CN$4,Data!$B$3:$L$3,0))="n.q.",NA(),INDEX(Data!$B$4:$L$947,MATCH(Graphs!$CK149,Data!$A$4:$A$947,0),MATCH(Graphs!CN$4,Data!$B$3:$L$3,0)))</f>
        <v>270</v>
      </c>
      <c r="CO149" s="24" t="str">
        <f t="array" ref="CO149">IF(INDEX(Data!$B$4:$L$947,MATCH(Graphs!$CK149,Data!$A$4:$A$947,0),MATCH(Graphs!CO$4,Data!$B$3:$L$3,0))="n.q.",NA(),INDEX(Data!$B$4:$L$947,MATCH(Graphs!$CK149,Data!$A$4:$A$947,0),MATCH(Graphs!CO$4,Data!$B$3:$L$3,0)))</f>
        <v>#N/A</v>
      </c>
      <c r="CP149" s="24" t="str">
        <f t="array" ref="CP149">IF(INDEX(Data!$B$4:$L$947,MATCH(Graphs!$CK149,Data!$A$4:$A$947,0),MATCH(Graphs!CP$4,Data!$B$3:$L$3,0))="n.q.",NA(),INDEX(Data!$B$4:$L$947,MATCH(Graphs!$CK149,Data!$A$4:$A$947,0),MATCH(Graphs!CP$4,Data!$B$3:$L$3,0)))</f>
        <v>#N/A</v>
      </c>
      <c r="CQ149" s="5"/>
      <c r="CR149" s="24">
        <f t="array" ref="CR149">IF(INDEX(Data!$P$4:$Z$947,MATCH(Graphs!$CK149,Data!$A$4:$A$947,0),MATCH(Graphs!CR$4,Data!$P$3:$Z$3,0))="n.q.",NA(),INDEX(Data!$P$4:$Z$947,MATCH(Graphs!$CK149,Data!$A$4:$A$947,0),MATCH(Graphs!CR$4,Data!$P$3:$Z$3,0)))</f>
        <v>280.4295943</v>
      </c>
      <c r="CS149" s="24">
        <f t="array" ref="CS149">IF(INDEX(Data!$P$4:$Z$947,MATCH(Graphs!$CK149,Data!$A$4:$A$947,0),MATCH(Graphs!CS$4,Data!$P$3:$Z$3,0))="n.q.",NA(),INDEX(Data!$P$4:$Z$947,MATCH(Graphs!$CK149,Data!$A$4:$A$947,0),MATCH(Graphs!CS$4,Data!$P$3:$Z$3,0)))</f>
        <v>298.76</v>
      </c>
      <c r="CT149" s="24">
        <f t="array" ref="CT149">IF(INDEX(Data!$P$4:$Z$947,MATCH(Graphs!$CK149,Data!$A$4:$A$947,0),MATCH(Graphs!CT$4,Data!$P$3:$Z$3,0))="n.q.",NA(),INDEX(Data!$P$4:$Z$947,MATCH(Graphs!$CK149,Data!$A$4:$A$947,0),MATCH(Graphs!CT$4,Data!$P$3:$Z$3,0)))</f>
        <v>246.0069763</v>
      </c>
      <c r="CU149" s="24" t="str">
        <f t="array" ref="CU149">IF(INDEX(Data!$P$4:$Z$947,MATCH(Graphs!$CK149,Data!$A$4:$A$947,0),MATCH(Graphs!CU$4,Data!$P$3:$Z$3,0))="n.q.",NA(),INDEX(Data!$P$4:$Z$947,MATCH(Graphs!$CK149,Data!$A$4:$A$947,0),MATCH(Graphs!CU$4,Data!$P$3:$Z$3,0)))</f>
        <v>#N/A</v>
      </c>
      <c r="CV149" s="24" t="str">
        <f t="array" ref="CV149">IF(INDEX(Data!$P$4:$Z$947,MATCH(Graphs!$CK149,Data!$A$4:$A$947,0),MATCH(Graphs!CV$4,Data!$P$3:$Z$3,0))="n.q.",NA(),INDEX(Data!$P$4:$Z$947,MATCH(Graphs!$CK149,Data!$A$4:$A$947,0),MATCH(Graphs!CV$4,Data!$P$3:$Z$3,0)))</f>
        <v>#N/A</v>
      </c>
    </row>
    <row r="150" ht="14.25" customHeight="1"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5"/>
      <c r="CK150" s="22">
        <f>Data!A149</f>
        <v>44951</v>
      </c>
      <c r="CL150" s="24">
        <f t="array" ref="CL150">IF(INDEX(Data!$B$4:$L$947,MATCH(Graphs!$CK150,Data!$A$4:$A$947,0),MATCH(Graphs!CL$4,Data!$B$3:$L$3,0))="n.q.",NA(),INDEX(Data!$B$4:$L$947,MATCH(Graphs!$CK150,Data!$A$4:$A$947,0),MATCH(Graphs!CL$4,Data!$B$3:$L$3,0)))</f>
        <v>320.78</v>
      </c>
      <c r="CM150" s="24">
        <f t="array" ref="CM150">IF(INDEX(Data!$B$4:$L$947,MATCH(Graphs!$CK150,Data!$A$4:$A$947,0),MATCH(Graphs!CM$4,Data!$B$3:$L$3,0))="n.q.",NA(),INDEX(Data!$B$4:$L$947,MATCH(Graphs!$CK150,Data!$A$4:$A$947,0),MATCH(Graphs!CM$4,Data!$B$3:$L$3,0)))</f>
        <v>377.82</v>
      </c>
      <c r="CN150" s="24">
        <f t="array" ref="CN150">IF(INDEX(Data!$B$4:$L$947,MATCH(Graphs!$CK150,Data!$A$4:$A$947,0),MATCH(Graphs!CN$4,Data!$B$3:$L$3,0))="n.q.",NA(),INDEX(Data!$B$4:$L$947,MATCH(Graphs!$CK150,Data!$A$4:$A$947,0),MATCH(Graphs!CN$4,Data!$B$3:$L$3,0)))</f>
        <v>270</v>
      </c>
      <c r="CO150" s="24" t="str">
        <f t="array" ref="CO150">IF(INDEX(Data!$B$4:$L$947,MATCH(Graphs!$CK150,Data!$A$4:$A$947,0),MATCH(Graphs!CO$4,Data!$B$3:$L$3,0))="n.q.",NA(),INDEX(Data!$B$4:$L$947,MATCH(Graphs!$CK150,Data!$A$4:$A$947,0),MATCH(Graphs!CO$4,Data!$B$3:$L$3,0)))</f>
        <v>#N/A</v>
      </c>
      <c r="CP150" s="24" t="str">
        <f t="array" ref="CP150">IF(INDEX(Data!$B$4:$L$947,MATCH(Graphs!$CK150,Data!$A$4:$A$947,0),MATCH(Graphs!CP$4,Data!$B$3:$L$3,0))="n.q.",NA(),INDEX(Data!$B$4:$L$947,MATCH(Graphs!$CK150,Data!$A$4:$A$947,0),MATCH(Graphs!CP$4,Data!$B$3:$L$3,0)))</f>
        <v>#N/A</v>
      </c>
      <c r="CQ150" s="5"/>
      <c r="CR150" s="24">
        <f t="array" ref="CR150">IF(INDEX(Data!$P$4:$Z$947,MATCH(Graphs!$CK150,Data!$A$4:$A$947,0),MATCH(Graphs!CR$4,Data!$P$3:$Z$3,0))="n.q.",NA(),INDEX(Data!$P$4:$Z$947,MATCH(Graphs!$CK150,Data!$A$4:$A$947,0),MATCH(Graphs!CR$4,Data!$P$3:$Z$3,0)))</f>
        <v>278.5806214</v>
      </c>
      <c r="CS150" s="24">
        <f t="array" ref="CS150">IF(INDEX(Data!$P$4:$Z$947,MATCH(Graphs!$CK150,Data!$A$4:$A$947,0),MATCH(Graphs!CS$4,Data!$P$3:$Z$3,0))="n.q.",NA(),INDEX(Data!$P$4:$Z$947,MATCH(Graphs!$CK150,Data!$A$4:$A$947,0),MATCH(Graphs!CS$4,Data!$P$3:$Z$3,0)))</f>
        <v>295.51</v>
      </c>
      <c r="CT150" s="24">
        <f t="array" ref="CT150">IF(INDEX(Data!$P$4:$Z$947,MATCH(Graphs!$CK150,Data!$A$4:$A$947,0),MATCH(Graphs!CT$4,Data!$P$3:$Z$3,0))="n.q.",NA(),INDEX(Data!$P$4:$Z$947,MATCH(Graphs!$CK150,Data!$A$4:$A$947,0),MATCH(Graphs!CT$4,Data!$P$3:$Z$3,0)))</f>
        <v>244.5302445</v>
      </c>
      <c r="CU150" s="24" t="str">
        <f t="array" ref="CU150">IF(INDEX(Data!$P$4:$Z$947,MATCH(Graphs!$CK150,Data!$A$4:$A$947,0),MATCH(Graphs!CU$4,Data!$P$3:$Z$3,0))="n.q.",NA(),INDEX(Data!$P$4:$Z$947,MATCH(Graphs!$CK150,Data!$A$4:$A$947,0),MATCH(Graphs!CU$4,Data!$P$3:$Z$3,0)))</f>
        <v>#N/A</v>
      </c>
      <c r="CV150" s="24" t="str">
        <f t="array" ref="CV150">IF(INDEX(Data!$P$4:$Z$947,MATCH(Graphs!$CK150,Data!$A$4:$A$947,0),MATCH(Graphs!CV$4,Data!$P$3:$Z$3,0))="n.q.",NA(),INDEX(Data!$P$4:$Z$947,MATCH(Graphs!$CK150,Data!$A$4:$A$947,0),MATCH(Graphs!CV$4,Data!$P$3:$Z$3,0)))</f>
        <v>#N/A</v>
      </c>
    </row>
    <row r="151" ht="14.25" customHeight="1"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5"/>
      <c r="CK151" s="22">
        <f>Data!A150</f>
        <v>44944</v>
      </c>
      <c r="CL151" s="24">
        <f t="array" ref="CL151">IF(INDEX(Data!$B$4:$L$947,MATCH(Graphs!$CK151,Data!$A$4:$A$947,0),MATCH(Graphs!CL$4,Data!$B$3:$L$3,0))="n.q.",NA(),INDEX(Data!$B$4:$L$947,MATCH(Graphs!$CK151,Data!$A$4:$A$947,0),MATCH(Graphs!CL$4,Data!$B$3:$L$3,0)))</f>
        <v>325.16</v>
      </c>
      <c r="CM151" s="24">
        <f t="array" ref="CM151">IF(INDEX(Data!$B$4:$L$947,MATCH(Graphs!$CK151,Data!$A$4:$A$947,0),MATCH(Graphs!CM$4,Data!$B$3:$L$3,0))="n.q.",NA(),INDEX(Data!$B$4:$L$947,MATCH(Graphs!$CK151,Data!$A$4:$A$947,0),MATCH(Graphs!CM$4,Data!$B$3:$L$3,0)))</f>
        <v>379.01</v>
      </c>
      <c r="CN151" s="24">
        <f t="array" ref="CN151">IF(INDEX(Data!$B$4:$L$947,MATCH(Graphs!$CK151,Data!$A$4:$A$947,0),MATCH(Graphs!CN$4,Data!$B$3:$L$3,0))="n.q.",NA(),INDEX(Data!$B$4:$L$947,MATCH(Graphs!$CK151,Data!$A$4:$A$947,0),MATCH(Graphs!CN$4,Data!$B$3:$L$3,0)))</f>
        <v>269</v>
      </c>
      <c r="CO151" s="24" t="str">
        <f t="array" ref="CO151">IF(INDEX(Data!$B$4:$L$947,MATCH(Graphs!$CK151,Data!$A$4:$A$947,0),MATCH(Graphs!CO$4,Data!$B$3:$L$3,0))="n.q.",NA(),INDEX(Data!$B$4:$L$947,MATCH(Graphs!$CK151,Data!$A$4:$A$947,0),MATCH(Graphs!CO$4,Data!$B$3:$L$3,0)))</f>
        <v>#N/A</v>
      </c>
      <c r="CP151" s="24" t="str">
        <f t="array" ref="CP151">IF(INDEX(Data!$B$4:$L$947,MATCH(Graphs!$CK151,Data!$A$4:$A$947,0),MATCH(Graphs!CP$4,Data!$B$3:$L$3,0))="n.q.",NA(),INDEX(Data!$B$4:$L$947,MATCH(Graphs!$CK151,Data!$A$4:$A$947,0),MATCH(Graphs!CP$4,Data!$B$3:$L$3,0)))</f>
        <v>#N/A</v>
      </c>
      <c r="CQ151" s="5"/>
      <c r="CR151" s="24">
        <f t="array" ref="CR151">IF(INDEX(Data!$P$4:$Z$947,MATCH(Graphs!$CK151,Data!$A$4:$A$947,0),MATCH(Graphs!CR$4,Data!$P$3:$Z$3,0))="n.q.",NA(),INDEX(Data!$P$4:$Z$947,MATCH(Graphs!$CK151,Data!$A$4:$A$947,0),MATCH(Graphs!CR$4,Data!$P$3:$Z$3,0)))</f>
        <v>283.7531138</v>
      </c>
      <c r="CS151" s="24" t="str">
        <f t="array" ref="CS151">IF(INDEX(Data!$P$4:$Z$947,MATCH(Graphs!$CK151,Data!$A$4:$A$947,0),MATCH(Graphs!CS$4,Data!$P$3:$Z$3,0))="n.q.",NA(),INDEX(Data!$P$4:$Z$947,MATCH(Graphs!$CK151,Data!$A$4:$A$947,0),MATCH(Graphs!CS$4,Data!$P$3:$Z$3,0)))</f>
        <v>#N/A</v>
      </c>
      <c r="CT151" s="24">
        <f t="array" ref="CT151">IF(INDEX(Data!$P$4:$Z$947,MATCH(Graphs!$CK151,Data!$A$4:$A$947,0),MATCH(Graphs!CT$4,Data!$P$3:$Z$3,0))="n.q.",NA(),INDEX(Data!$P$4:$Z$947,MATCH(Graphs!$CK151,Data!$A$4:$A$947,0),MATCH(Graphs!CT$4,Data!$P$3:$Z$3,0)))</f>
        <v>245.4100932</v>
      </c>
      <c r="CU151" s="24" t="str">
        <f t="array" ref="CU151">IF(INDEX(Data!$P$4:$Z$947,MATCH(Graphs!$CK151,Data!$A$4:$A$947,0),MATCH(Graphs!CU$4,Data!$P$3:$Z$3,0))="n.q.",NA(),INDEX(Data!$P$4:$Z$947,MATCH(Graphs!$CK151,Data!$A$4:$A$947,0),MATCH(Graphs!CU$4,Data!$P$3:$Z$3,0)))</f>
        <v>#N/A</v>
      </c>
      <c r="CV151" s="24" t="str">
        <f t="array" ref="CV151">IF(INDEX(Data!$P$4:$Z$947,MATCH(Graphs!$CK151,Data!$A$4:$A$947,0),MATCH(Graphs!CV$4,Data!$P$3:$Z$3,0))="n.q.",NA(),INDEX(Data!$P$4:$Z$947,MATCH(Graphs!$CK151,Data!$A$4:$A$947,0),MATCH(Graphs!CV$4,Data!$P$3:$Z$3,0)))</f>
        <v>#N/A</v>
      </c>
    </row>
    <row r="152" ht="14.25" customHeight="1"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5"/>
      <c r="CK152" s="22">
        <f>Data!A151</f>
        <v>44937</v>
      </c>
      <c r="CL152" s="24">
        <f t="array" ref="CL152">IF(INDEX(Data!$B$4:$L$947,MATCH(Graphs!$CK152,Data!$A$4:$A$947,0),MATCH(Graphs!CL$4,Data!$B$3:$L$3,0))="n.q.",NA(),INDEX(Data!$B$4:$L$947,MATCH(Graphs!$CK152,Data!$A$4:$A$947,0),MATCH(Graphs!CL$4,Data!$B$3:$L$3,0)))</f>
        <v>327.94</v>
      </c>
      <c r="CM152" s="24">
        <f t="array" ref="CM152">IF(INDEX(Data!$B$4:$L$947,MATCH(Graphs!$CK152,Data!$A$4:$A$947,0),MATCH(Graphs!CM$4,Data!$B$3:$L$3,0))="n.q.",NA(),INDEX(Data!$B$4:$L$947,MATCH(Graphs!$CK152,Data!$A$4:$A$947,0),MATCH(Graphs!CM$4,Data!$B$3:$L$3,0)))</f>
        <v>371.94</v>
      </c>
      <c r="CN152" s="24">
        <f t="array" ref="CN152">IF(INDEX(Data!$B$4:$L$947,MATCH(Graphs!$CK152,Data!$A$4:$A$947,0),MATCH(Graphs!CN$4,Data!$B$3:$L$3,0))="n.q.",NA(),INDEX(Data!$B$4:$L$947,MATCH(Graphs!$CK152,Data!$A$4:$A$947,0),MATCH(Graphs!CN$4,Data!$B$3:$L$3,0)))</f>
        <v>266</v>
      </c>
      <c r="CO152" s="24" t="str">
        <f t="array" ref="CO152">IF(INDEX(Data!$B$4:$L$947,MATCH(Graphs!$CK152,Data!$A$4:$A$947,0),MATCH(Graphs!CO$4,Data!$B$3:$L$3,0))="n.q.",NA(),INDEX(Data!$B$4:$L$947,MATCH(Graphs!$CK152,Data!$A$4:$A$947,0),MATCH(Graphs!CO$4,Data!$B$3:$L$3,0)))</f>
        <v>#N/A</v>
      </c>
      <c r="CP152" s="24" t="str">
        <f t="array" ref="CP152">IF(INDEX(Data!$B$4:$L$947,MATCH(Graphs!$CK152,Data!$A$4:$A$947,0),MATCH(Graphs!CP$4,Data!$B$3:$L$3,0))="n.q.",NA(),INDEX(Data!$B$4:$L$947,MATCH(Graphs!$CK152,Data!$A$4:$A$947,0),MATCH(Graphs!CP$4,Data!$B$3:$L$3,0)))</f>
        <v>#N/A</v>
      </c>
      <c r="CQ152" s="5"/>
      <c r="CR152" s="24">
        <f t="array" ref="CR152">IF(INDEX(Data!$P$4:$Z$947,MATCH(Graphs!$CK152,Data!$A$4:$A$947,0),MATCH(Graphs!CR$4,Data!$P$3:$Z$3,0))="n.q.",NA(),INDEX(Data!$P$4:$Z$947,MATCH(Graphs!$CK152,Data!$A$4:$A$947,0),MATCH(Graphs!CR$4,Data!$P$3:$Z$3,0)))</f>
        <v>284.2653764</v>
      </c>
      <c r="CS152" s="24">
        <f t="array" ref="CS152">IF(INDEX(Data!$P$4:$Z$947,MATCH(Graphs!$CK152,Data!$A$4:$A$947,0),MATCH(Graphs!CS$4,Data!$P$3:$Z$3,0))="n.q.",NA(),INDEX(Data!$P$4:$Z$947,MATCH(Graphs!$CK152,Data!$A$4:$A$947,0),MATCH(Graphs!CS$4,Data!$P$3:$Z$3,0)))</f>
        <v>297.33</v>
      </c>
      <c r="CT152" s="24">
        <f t="array" ref="CT152">IF(INDEX(Data!$P$4:$Z$947,MATCH(Graphs!$CK152,Data!$A$4:$A$947,0),MATCH(Graphs!CT$4,Data!$P$3:$Z$3,0))="n.q.",NA(),INDEX(Data!$P$4:$Z$947,MATCH(Graphs!$CK152,Data!$A$4:$A$947,0),MATCH(Graphs!CT$4,Data!$P$3:$Z$3,0)))</f>
        <v>245.6499488</v>
      </c>
      <c r="CU152" s="24" t="str">
        <f t="array" ref="CU152">IF(INDEX(Data!$P$4:$Z$947,MATCH(Graphs!$CK152,Data!$A$4:$A$947,0),MATCH(Graphs!CU$4,Data!$P$3:$Z$3,0))="n.q.",NA(),INDEX(Data!$P$4:$Z$947,MATCH(Graphs!$CK152,Data!$A$4:$A$947,0),MATCH(Graphs!CU$4,Data!$P$3:$Z$3,0)))</f>
        <v>#N/A</v>
      </c>
      <c r="CV152" s="24" t="str">
        <f t="array" ref="CV152">IF(INDEX(Data!$P$4:$Z$947,MATCH(Graphs!$CK152,Data!$A$4:$A$947,0),MATCH(Graphs!CV$4,Data!$P$3:$Z$3,0))="n.q.",NA(),INDEX(Data!$P$4:$Z$947,MATCH(Graphs!$CK152,Data!$A$4:$A$947,0),MATCH(Graphs!CV$4,Data!$P$3:$Z$3,0)))</f>
        <v>#N/A</v>
      </c>
    </row>
    <row r="153" ht="14.25" customHeight="1"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5"/>
      <c r="CK153" s="22">
        <f>Data!A152</f>
        <v>44930</v>
      </c>
      <c r="CL153" s="24">
        <f t="array" ref="CL153">IF(INDEX(Data!$B$4:$L$947,MATCH(Graphs!$CK153,Data!$A$4:$A$947,0),MATCH(Graphs!CL$4,Data!$B$3:$L$3,0))="n.q.",NA(),INDEX(Data!$B$4:$L$947,MATCH(Graphs!$CK153,Data!$A$4:$A$947,0),MATCH(Graphs!CL$4,Data!$B$3:$L$3,0)))</f>
        <v>328.46</v>
      </c>
      <c r="CM153" s="24">
        <f t="array" ref="CM153">IF(INDEX(Data!$B$4:$L$947,MATCH(Graphs!$CK153,Data!$A$4:$A$947,0),MATCH(Graphs!CM$4,Data!$B$3:$L$3,0))="n.q.",NA(),INDEX(Data!$B$4:$L$947,MATCH(Graphs!$CK153,Data!$A$4:$A$947,0),MATCH(Graphs!CM$4,Data!$B$3:$L$3,0)))</f>
        <v>378.74</v>
      </c>
      <c r="CN153" s="24">
        <f t="array" ref="CN153">IF(INDEX(Data!$B$4:$L$947,MATCH(Graphs!$CK153,Data!$A$4:$A$947,0),MATCH(Graphs!CN$4,Data!$B$3:$L$3,0))="n.q.",NA(),INDEX(Data!$B$4:$L$947,MATCH(Graphs!$CK153,Data!$A$4:$A$947,0),MATCH(Graphs!CN$4,Data!$B$3:$L$3,0)))</f>
        <v>266</v>
      </c>
      <c r="CO153" s="24" t="str">
        <f t="array" ref="CO153">IF(INDEX(Data!$B$4:$L$947,MATCH(Graphs!$CK153,Data!$A$4:$A$947,0),MATCH(Graphs!CO$4,Data!$B$3:$L$3,0))="n.q.",NA(),INDEX(Data!$B$4:$L$947,MATCH(Graphs!$CK153,Data!$A$4:$A$947,0),MATCH(Graphs!CO$4,Data!$B$3:$L$3,0)))</f>
        <v>#N/A</v>
      </c>
      <c r="CP153" s="24" t="str">
        <f t="array" ref="CP153">IF(INDEX(Data!$B$4:$L$947,MATCH(Graphs!$CK153,Data!$A$4:$A$947,0),MATCH(Graphs!CP$4,Data!$B$3:$L$3,0))="n.q.",NA(),INDEX(Data!$B$4:$L$947,MATCH(Graphs!$CK153,Data!$A$4:$A$947,0),MATCH(Graphs!CP$4,Data!$B$3:$L$3,0)))</f>
        <v>#N/A</v>
      </c>
      <c r="CQ153" s="5"/>
      <c r="CR153" s="24">
        <f t="array" ref="CR153">IF(INDEX(Data!$P$4:$Z$947,MATCH(Graphs!$CK153,Data!$A$4:$A$947,0),MATCH(Graphs!CR$4,Data!$P$3:$Z$3,0))="n.q.",NA(),INDEX(Data!$P$4:$Z$947,MATCH(Graphs!$CK153,Data!$A$4:$A$947,0),MATCH(Graphs!CR$4,Data!$P$3:$Z$3,0)))</f>
        <v>289.2537032</v>
      </c>
      <c r="CS153" s="24">
        <f t="array" ref="CS153">IF(INDEX(Data!$P$4:$Z$947,MATCH(Graphs!$CK153,Data!$A$4:$A$947,0),MATCH(Graphs!CS$4,Data!$P$3:$Z$3,0))="n.q.",NA(),INDEX(Data!$P$4:$Z$947,MATCH(Graphs!$CK153,Data!$A$4:$A$947,0),MATCH(Graphs!CS$4,Data!$P$3:$Z$3,0)))</f>
        <v>304.08</v>
      </c>
      <c r="CT153" s="24">
        <f t="array" ref="CT153">IF(INDEX(Data!$P$4:$Z$947,MATCH(Graphs!$CK153,Data!$A$4:$A$947,0),MATCH(Graphs!CT$4,Data!$P$3:$Z$3,0))="n.q.",NA(),INDEX(Data!$P$4:$Z$947,MATCH(Graphs!$CK153,Data!$A$4:$A$947,0),MATCH(Graphs!CT$4,Data!$P$3:$Z$3,0)))</f>
        <v>249.0801019</v>
      </c>
      <c r="CU153" s="24" t="str">
        <f t="array" ref="CU153">IF(INDEX(Data!$P$4:$Z$947,MATCH(Graphs!$CK153,Data!$A$4:$A$947,0),MATCH(Graphs!CU$4,Data!$P$3:$Z$3,0))="n.q.",NA(),INDEX(Data!$P$4:$Z$947,MATCH(Graphs!$CK153,Data!$A$4:$A$947,0),MATCH(Graphs!CU$4,Data!$P$3:$Z$3,0)))</f>
        <v>#N/A</v>
      </c>
      <c r="CV153" s="24" t="str">
        <f t="array" ref="CV153">IF(INDEX(Data!$P$4:$Z$947,MATCH(Graphs!$CK153,Data!$A$4:$A$947,0),MATCH(Graphs!CV$4,Data!$P$3:$Z$3,0))="n.q.",NA(),INDEX(Data!$P$4:$Z$947,MATCH(Graphs!$CK153,Data!$A$4:$A$947,0),MATCH(Graphs!CV$4,Data!$P$3:$Z$3,0)))</f>
        <v>#N/A</v>
      </c>
    </row>
    <row r="154" ht="14.25" customHeight="1"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5"/>
      <c r="CK154" s="22">
        <f>Data!A153</f>
        <v>44923</v>
      </c>
      <c r="CL154" s="24">
        <f t="array" ref="CL154">IF(INDEX(Data!$B$4:$L$947,MATCH(Graphs!$CK154,Data!$A$4:$A$947,0),MATCH(Graphs!CL$4,Data!$B$3:$L$3,0))="n.q.",NA(),INDEX(Data!$B$4:$L$947,MATCH(Graphs!$CK154,Data!$A$4:$A$947,0),MATCH(Graphs!CL$4,Data!$B$3:$L$3,0)))</f>
        <v>342.41</v>
      </c>
      <c r="CM154" s="24">
        <f t="array" ref="CM154">IF(INDEX(Data!$B$4:$L$947,MATCH(Graphs!$CK154,Data!$A$4:$A$947,0),MATCH(Graphs!CM$4,Data!$B$3:$L$3,0))="n.q.",NA(),INDEX(Data!$B$4:$L$947,MATCH(Graphs!$CK154,Data!$A$4:$A$947,0),MATCH(Graphs!CM$4,Data!$B$3:$L$3,0)))</f>
        <v>393.98</v>
      </c>
      <c r="CN154" s="24">
        <f t="array" ref="CN154">IF(INDEX(Data!$B$4:$L$947,MATCH(Graphs!$CK154,Data!$A$4:$A$947,0),MATCH(Graphs!CN$4,Data!$B$3:$L$3,0))="n.q.",NA(),INDEX(Data!$B$4:$L$947,MATCH(Graphs!$CK154,Data!$A$4:$A$947,0),MATCH(Graphs!CN$4,Data!$B$3:$L$3,0)))</f>
        <v>265</v>
      </c>
      <c r="CO154" s="24" t="str">
        <f t="array" ref="CO154">IF(INDEX(Data!$B$4:$L$947,MATCH(Graphs!$CK154,Data!$A$4:$A$947,0),MATCH(Graphs!CO$4,Data!$B$3:$L$3,0))="n.q.",NA(),INDEX(Data!$B$4:$L$947,MATCH(Graphs!$CK154,Data!$A$4:$A$947,0),MATCH(Graphs!CO$4,Data!$B$3:$L$3,0)))</f>
        <v>#N/A</v>
      </c>
      <c r="CP154" s="24" t="str">
        <f t="array" ref="CP154">IF(INDEX(Data!$B$4:$L$947,MATCH(Graphs!$CK154,Data!$A$4:$A$947,0),MATCH(Graphs!CP$4,Data!$B$3:$L$3,0))="n.q.",NA(),INDEX(Data!$B$4:$L$947,MATCH(Graphs!$CK154,Data!$A$4:$A$947,0),MATCH(Graphs!CP$4,Data!$B$3:$L$3,0)))</f>
        <v>#N/A</v>
      </c>
      <c r="CQ154" s="5"/>
      <c r="CR154" s="24">
        <f t="array" ref="CR154">IF(INDEX(Data!$P$4:$Z$947,MATCH(Graphs!$CK154,Data!$A$4:$A$947,0),MATCH(Graphs!CR$4,Data!$P$3:$Z$3,0))="n.q.",NA(),INDEX(Data!$P$4:$Z$947,MATCH(Graphs!$CK154,Data!$A$4:$A$947,0),MATCH(Graphs!CR$4,Data!$P$3:$Z$3,0)))</f>
        <v>302.5657895</v>
      </c>
      <c r="CS154" s="24" t="str">
        <f t="array" ref="CS154">IF(INDEX(Data!$P$4:$Z$947,MATCH(Graphs!$CK154,Data!$A$4:$A$947,0),MATCH(Graphs!CS$4,Data!$P$3:$Z$3,0))="n.q.",NA(),INDEX(Data!$P$4:$Z$947,MATCH(Graphs!$CK154,Data!$A$4:$A$947,0),MATCH(Graphs!CS$4,Data!$P$3:$Z$3,0)))</f>
        <v>#N/A</v>
      </c>
      <c r="CT154" s="24">
        <f t="array" ref="CT154">IF(INDEX(Data!$P$4:$Z$947,MATCH(Graphs!$CK154,Data!$A$4:$A$947,0),MATCH(Graphs!CT$4,Data!$P$3:$Z$3,0))="n.q.",NA(),INDEX(Data!$P$4:$Z$947,MATCH(Graphs!$CK154,Data!$A$4:$A$947,0),MATCH(Graphs!CT$4,Data!$P$3:$Z$3,0)))</f>
        <v>246.2406015</v>
      </c>
      <c r="CU154" s="24" t="str">
        <f t="array" ref="CU154">IF(INDEX(Data!$P$4:$Z$947,MATCH(Graphs!$CK154,Data!$A$4:$A$947,0),MATCH(Graphs!CU$4,Data!$P$3:$Z$3,0))="n.q.",NA(),INDEX(Data!$P$4:$Z$947,MATCH(Graphs!$CK154,Data!$A$4:$A$947,0),MATCH(Graphs!CU$4,Data!$P$3:$Z$3,0)))</f>
        <v>#N/A</v>
      </c>
      <c r="CV154" s="24" t="str">
        <f t="array" ref="CV154">IF(INDEX(Data!$P$4:$Z$947,MATCH(Graphs!$CK154,Data!$A$4:$A$947,0),MATCH(Graphs!CV$4,Data!$P$3:$Z$3,0))="n.q.",NA(),INDEX(Data!$P$4:$Z$947,MATCH(Graphs!$CK154,Data!$A$4:$A$947,0),MATCH(Graphs!CV$4,Data!$P$3:$Z$3,0)))</f>
        <v>#N/A</v>
      </c>
    </row>
    <row r="155" ht="14.25" customHeight="1"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5"/>
      <c r="CK155" s="22">
        <f>Data!A154</f>
        <v>44916</v>
      </c>
      <c r="CL155" s="24">
        <f t="array" ref="CL155">IF(INDEX(Data!$B$4:$L$947,MATCH(Graphs!$CK155,Data!$A$4:$A$947,0),MATCH(Graphs!CL$4,Data!$B$3:$L$3,0))="n.q.",NA(),INDEX(Data!$B$4:$L$947,MATCH(Graphs!$CK155,Data!$A$4:$A$947,0),MATCH(Graphs!CL$4,Data!$B$3:$L$3,0)))</f>
        <v>331.06</v>
      </c>
      <c r="CM155" s="24">
        <f t="array" ref="CM155">IF(INDEX(Data!$B$4:$L$947,MATCH(Graphs!$CK155,Data!$A$4:$A$947,0),MATCH(Graphs!CM$4,Data!$B$3:$L$3,0))="n.q.",NA(),INDEX(Data!$B$4:$L$947,MATCH(Graphs!$CK155,Data!$A$4:$A$947,0),MATCH(Graphs!CM$4,Data!$B$3:$L$3,0)))</f>
        <v>387.28</v>
      </c>
      <c r="CN155" s="24">
        <f t="array" ref="CN155">IF(INDEX(Data!$B$4:$L$947,MATCH(Graphs!$CK155,Data!$A$4:$A$947,0),MATCH(Graphs!CN$4,Data!$B$3:$L$3,0))="n.q.",NA(),INDEX(Data!$B$4:$L$947,MATCH(Graphs!$CK155,Data!$A$4:$A$947,0),MATCH(Graphs!CN$4,Data!$B$3:$L$3,0)))</f>
        <v>265</v>
      </c>
      <c r="CO155" s="24" t="str">
        <f t="array" ref="CO155">IF(INDEX(Data!$B$4:$L$947,MATCH(Graphs!$CK155,Data!$A$4:$A$947,0),MATCH(Graphs!CO$4,Data!$B$3:$L$3,0))="n.q.",NA(),INDEX(Data!$B$4:$L$947,MATCH(Graphs!$CK155,Data!$A$4:$A$947,0),MATCH(Graphs!CO$4,Data!$B$3:$L$3,0)))</f>
        <v>#N/A</v>
      </c>
      <c r="CP155" s="24" t="str">
        <f t="array" ref="CP155">IF(INDEX(Data!$B$4:$L$947,MATCH(Graphs!$CK155,Data!$A$4:$A$947,0),MATCH(Graphs!CP$4,Data!$B$3:$L$3,0))="n.q.",NA(),INDEX(Data!$B$4:$L$947,MATCH(Graphs!$CK155,Data!$A$4:$A$947,0),MATCH(Graphs!CP$4,Data!$B$3:$L$3,0)))</f>
        <v>#N/A</v>
      </c>
      <c r="CQ155" s="5"/>
      <c r="CR155" s="24">
        <f t="array" ref="CR155">IF(INDEX(Data!$P$4:$Z$947,MATCH(Graphs!$CK155,Data!$A$4:$A$947,0),MATCH(Graphs!CR$4,Data!$P$3:$Z$3,0))="n.q.",NA(),INDEX(Data!$P$4:$Z$947,MATCH(Graphs!$CK155,Data!$A$4:$A$947,0),MATCH(Graphs!CR$4,Data!$P$3:$Z$3,0)))</f>
        <v>295.0921399</v>
      </c>
      <c r="CS155" s="24">
        <f t="array" ref="CS155">IF(INDEX(Data!$P$4:$Z$947,MATCH(Graphs!$CK155,Data!$A$4:$A$947,0),MATCH(Graphs!CS$4,Data!$P$3:$Z$3,0))="n.q.",NA(),INDEX(Data!$P$4:$Z$947,MATCH(Graphs!$CK155,Data!$A$4:$A$947,0),MATCH(Graphs!CS$4,Data!$P$3:$Z$3,0)))</f>
        <v>299.58</v>
      </c>
      <c r="CT155" s="24">
        <f t="array" ref="CT155">IF(INDEX(Data!$P$4:$Z$947,MATCH(Graphs!$CK155,Data!$A$4:$A$947,0),MATCH(Graphs!CT$4,Data!$P$3:$Z$3,0))="n.q.",NA(),INDEX(Data!$P$4:$Z$947,MATCH(Graphs!$CK155,Data!$A$4:$A$947,0),MATCH(Graphs!CT$4,Data!$P$3:$Z$3,0)))</f>
        <v>246.333208</v>
      </c>
      <c r="CU155" s="24" t="str">
        <f t="array" ref="CU155">IF(INDEX(Data!$P$4:$Z$947,MATCH(Graphs!$CK155,Data!$A$4:$A$947,0),MATCH(Graphs!CU$4,Data!$P$3:$Z$3,0))="n.q.",NA(),INDEX(Data!$P$4:$Z$947,MATCH(Graphs!$CK155,Data!$A$4:$A$947,0),MATCH(Graphs!CU$4,Data!$P$3:$Z$3,0)))</f>
        <v>#N/A</v>
      </c>
      <c r="CV155" s="24" t="str">
        <f t="array" ref="CV155">IF(INDEX(Data!$P$4:$Z$947,MATCH(Graphs!$CK155,Data!$A$4:$A$947,0),MATCH(Graphs!CV$4,Data!$P$3:$Z$3,0))="n.q.",NA(),INDEX(Data!$P$4:$Z$947,MATCH(Graphs!$CK155,Data!$A$4:$A$947,0),MATCH(Graphs!CV$4,Data!$P$3:$Z$3,0)))</f>
        <v>#N/A</v>
      </c>
    </row>
    <row r="156" ht="14.25" customHeight="1"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5"/>
      <c r="CK156" s="22">
        <f>Data!A155</f>
        <v>44909</v>
      </c>
      <c r="CL156" s="24">
        <f t="array" ref="CL156">IF(INDEX(Data!$B$4:$L$947,MATCH(Graphs!$CK156,Data!$A$4:$A$947,0),MATCH(Graphs!CL$4,Data!$B$3:$L$3,0))="n.q.",NA(),INDEX(Data!$B$4:$L$947,MATCH(Graphs!$CK156,Data!$A$4:$A$947,0),MATCH(Graphs!CL$4,Data!$B$3:$L$3,0)))</f>
        <v>332.82</v>
      </c>
      <c r="CM156" s="24">
        <f t="array" ref="CM156">IF(INDEX(Data!$B$4:$L$947,MATCH(Graphs!$CK156,Data!$A$4:$A$947,0),MATCH(Graphs!CM$4,Data!$B$3:$L$3,0))="n.q.",NA(),INDEX(Data!$B$4:$L$947,MATCH(Graphs!$CK156,Data!$A$4:$A$947,0),MATCH(Graphs!CM$4,Data!$B$3:$L$3,0)))</f>
        <v>382.23</v>
      </c>
      <c r="CN156" s="24">
        <f t="array" ref="CN156">IF(INDEX(Data!$B$4:$L$947,MATCH(Graphs!$CK156,Data!$A$4:$A$947,0),MATCH(Graphs!CN$4,Data!$B$3:$L$3,0))="n.q.",NA(),INDEX(Data!$B$4:$L$947,MATCH(Graphs!$CK156,Data!$A$4:$A$947,0),MATCH(Graphs!CN$4,Data!$B$3:$L$3,0)))</f>
        <v>267</v>
      </c>
      <c r="CO156" s="24" t="str">
        <f t="array" ref="CO156">IF(INDEX(Data!$B$4:$L$947,MATCH(Graphs!$CK156,Data!$A$4:$A$947,0),MATCH(Graphs!CO$4,Data!$B$3:$L$3,0))="n.q.",NA(),INDEX(Data!$B$4:$L$947,MATCH(Graphs!$CK156,Data!$A$4:$A$947,0),MATCH(Graphs!CO$4,Data!$B$3:$L$3,0)))</f>
        <v>#N/A</v>
      </c>
      <c r="CP156" s="24" t="str">
        <f t="array" ref="CP156">IF(INDEX(Data!$B$4:$L$947,MATCH(Graphs!$CK156,Data!$A$4:$A$947,0),MATCH(Graphs!CP$4,Data!$B$3:$L$3,0))="n.q.",NA(),INDEX(Data!$B$4:$L$947,MATCH(Graphs!$CK156,Data!$A$4:$A$947,0),MATCH(Graphs!CP$4,Data!$B$3:$L$3,0)))</f>
        <v>#N/A</v>
      </c>
      <c r="CQ156" s="5"/>
      <c r="CR156" s="24">
        <f t="array" ref="CR156">IF(INDEX(Data!$P$4:$Z$947,MATCH(Graphs!$CK156,Data!$A$4:$A$947,0),MATCH(Graphs!CR$4,Data!$P$3:$Z$3,0))="n.q.",NA(),INDEX(Data!$P$4:$Z$947,MATCH(Graphs!$CK156,Data!$A$4:$A$947,0),MATCH(Graphs!CR$4,Data!$P$3:$Z$3,0)))</f>
        <v>290.3934642</v>
      </c>
      <c r="CS156" s="24">
        <f t="array" ref="CS156">IF(INDEX(Data!$P$4:$Z$947,MATCH(Graphs!$CK156,Data!$A$4:$A$947,0),MATCH(Graphs!CS$4,Data!$P$3:$Z$3,0))="n.q.",NA(),INDEX(Data!$P$4:$Z$947,MATCH(Graphs!$CK156,Data!$A$4:$A$947,0),MATCH(Graphs!CS$4,Data!$P$3:$Z$3,0)))</f>
        <v>296.9</v>
      </c>
      <c r="CT156" s="24">
        <f t="array" ref="CT156">IF(INDEX(Data!$P$4:$Z$947,MATCH(Graphs!$CK156,Data!$A$4:$A$947,0),MATCH(Graphs!CT$4,Data!$P$3:$Z$3,0))="n.q.",NA(),INDEX(Data!$P$4:$Z$947,MATCH(Graphs!$CK156,Data!$A$4:$A$947,0),MATCH(Graphs!CT$4,Data!$P$3:$Z$3,0)))</f>
        <v>246.0324913</v>
      </c>
      <c r="CU156" s="24" t="str">
        <f t="array" ref="CU156">IF(INDEX(Data!$P$4:$Z$947,MATCH(Graphs!$CK156,Data!$A$4:$A$947,0),MATCH(Graphs!CU$4,Data!$P$3:$Z$3,0))="n.q.",NA(),INDEX(Data!$P$4:$Z$947,MATCH(Graphs!$CK156,Data!$A$4:$A$947,0),MATCH(Graphs!CU$4,Data!$P$3:$Z$3,0)))</f>
        <v>#N/A</v>
      </c>
      <c r="CV156" s="24" t="str">
        <f t="array" ref="CV156">IF(INDEX(Data!$P$4:$Z$947,MATCH(Graphs!$CK156,Data!$A$4:$A$947,0),MATCH(Graphs!CV$4,Data!$P$3:$Z$3,0))="n.q.",NA(),INDEX(Data!$P$4:$Z$947,MATCH(Graphs!$CK156,Data!$A$4:$A$947,0),MATCH(Graphs!CV$4,Data!$P$3:$Z$3,0)))</f>
        <v>#N/A</v>
      </c>
    </row>
    <row r="157" ht="14.25" customHeight="1"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5"/>
      <c r="CK157" s="22">
        <f>Data!A156</f>
        <v>44902</v>
      </c>
      <c r="CL157" s="24">
        <f t="array" ref="CL157">IF(INDEX(Data!$B$4:$L$947,MATCH(Graphs!$CK157,Data!$A$4:$A$947,0),MATCH(Graphs!CL$4,Data!$B$3:$L$3,0))="n.q.",NA(),INDEX(Data!$B$4:$L$947,MATCH(Graphs!$CK157,Data!$A$4:$A$947,0),MATCH(Graphs!CL$4,Data!$B$3:$L$3,0)))</f>
        <v>332.34</v>
      </c>
      <c r="CM157" s="24">
        <f t="array" ref="CM157">IF(INDEX(Data!$B$4:$L$947,MATCH(Graphs!$CK157,Data!$A$4:$A$947,0),MATCH(Graphs!CM$4,Data!$B$3:$L$3,0))="n.q.",NA(),INDEX(Data!$B$4:$L$947,MATCH(Graphs!$CK157,Data!$A$4:$A$947,0),MATCH(Graphs!CM$4,Data!$B$3:$L$3,0)))</f>
        <v>385.35</v>
      </c>
      <c r="CN157" s="24">
        <f t="array" ref="CN157">IF(INDEX(Data!$B$4:$L$947,MATCH(Graphs!$CK157,Data!$A$4:$A$947,0),MATCH(Graphs!CN$4,Data!$B$3:$L$3,0))="n.q.",NA(),INDEX(Data!$B$4:$L$947,MATCH(Graphs!$CK157,Data!$A$4:$A$947,0),MATCH(Graphs!CN$4,Data!$B$3:$L$3,0)))</f>
        <v>272</v>
      </c>
      <c r="CO157" s="24" t="str">
        <f t="array" ref="CO157">IF(INDEX(Data!$B$4:$L$947,MATCH(Graphs!$CK157,Data!$A$4:$A$947,0),MATCH(Graphs!CO$4,Data!$B$3:$L$3,0))="n.q.",NA(),INDEX(Data!$B$4:$L$947,MATCH(Graphs!$CK157,Data!$A$4:$A$947,0),MATCH(Graphs!CO$4,Data!$B$3:$L$3,0)))</f>
        <v>#N/A</v>
      </c>
      <c r="CP157" s="24" t="str">
        <f t="array" ref="CP157">IF(INDEX(Data!$B$4:$L$947,MATCH(Graphs!$CK157,Data!$A$4:$A$947,0),MATCH(Graphs!CP$4,Data!$B$3:$L$3,0))="n.q.",NA(),INDEX(Data!$B$4:$L$947,MATCH(Graphs!$CK157,Data!$A$4:$A$947,0),MATCH(Graphs!CP$4,Data!$B$3:$L$3,0)))</f>
        <v>#N/A</v>
      </c>
      <c r="CQ157" s="5"/>
      <c r="CR157" s="24">
        <f t="array" ref="CR157">IF(INDEX(Data!$P$4:$Z$947,MATCH(Graphs!$CK157,Data!$A$4:$A$947,0),MATCH(Graphs!CR$4,Data!$P$3:$Z$3,0))="n.q.",NA(),INDEX(Data!$P$4:$Z$947,MATCH(Graphs!$CK157,Data!$A$4:$A$947,0),MATCH(Graphs!CR$4,Data!$P$3:$Z$3,0)))</f>
        <v>290.2459873</v>
      </c>
      <c r="CS157" s="24">
        <f t="array" ref="CS157">IF(INDEX(Data!$P$4:$Z$947,MATCH(Graphs!$CK157,Data!$A$4:$A$947,0),MATCH(Graphs!CS$4,Data!$P$3:$Z$3,0))="n.q.",NA(),INDEX(Data!$P$4:$Z$947,MATCH(Graphs!$CK157,Data!$A$4:$A$947,0),MATCH(Graphs!CS$4,Data!$P$3:$Z$3,0)))</f>
        <v>303.15</v>
      </c>
      <c r="CT157" s="24">
        <f t="array" ref="CT157">IF(INDEX(Data!$P$4:$Z$947,MATCH(Graphs!$CK157,Data!$A$4:$A$947,0),MATCH(Graphs!CT$4,Data!$P$3:$Z$3,0))="n.q.",NA(),INDEX(Data!$P$4:$Z$947,MATCH(Graphs!$CK157,Data!$A$4:$A$947,0),MATCH(Graphs!CT$4,Data!$P$3:$Z$3,0)))</f>
        <v>243.1379998</v>
      </c>
      <c r="CU157" s="24" t="str">
        <f t="array" ref="CU157">IF(INDEX(Data!$P$4:$Z$947,MATCH(Graphs!$CK157,Data!$A$4:$A$947,0),MATCH(Graphs!CU$4,Data!$P$3:$Z$3,0))="n.q.",NA(),INDEX(Data!$P$4:$Z$947,MATCH(Graphs!$CK157,Data!$A$4:$A$947,0),MATCH(Graphs!CU$4,Data!$P$3:$Z$3,0)))</f>
        <v>#N/A</v>
      </c>
      <c r="CV157" s="24" t="str">
        <f t="array" ref="CV157">IF(INDEX(Data!$P$4:$Z$947,MATCH(Graphs!$CK157,Data!$A$4:$A$947,0),MATCH(Graphs!CV$4,Data!$P$3:$Z$3,0))="n.q.",NA(),INDEX(Data!$P$4:$Z$947,MATCH(Graphs!$CK157,Data!$A$4:$A$947,0),MATCH(Graphs!CV$4,Data!$P$3:$Z$3,0)))</f>
        <v>#N/A</v>
      </c>
    </row>
    <row r="158" ht="14.25" customHeight="1"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5"/>
      <c r="CK158" s="22">
        <f>Data!A157</f>
        <v>44895</v>
      </c>
      <c r="CL158" s="24">
        <f t="array" ref="CL158">IF(INDEX(Data!$B$4:$L$947,MATCH(Graphs!$CK158,Data!$A$4:$A$947,0),MATCH(Graphs!CL$4,Data!$B$3:$L$3,0))="n.q.",NA(),INDEX(Data!$B$4:$L$947,MATCH(Graphs!$CK158,Data!$A$4:$A$947,0),MATCH(Graphs!CL$4,Data!$B$3:$L$3,0)))</f>
        <v>335.86</v>
      </c>
      <c r="CM158" s="24">
        <f t="array" ref="CM158">IF(INDEX(Data!$B$4:$L$947,MATCH(Graphs!$CK158,Data!$A$4:$A$947,0),MATCH(Graphs!CM$4,Data!$B$3:$L$3,0))="n.q.",NA(),INDEX(Data!$B$4:$L$947,MATCH(Graphs!$CK158,Data!$A$4:$A$947,0),MATCH(Graphs!CM$4,Data!$B$3:$L$3,0)))</f>
        <v>409.05</v>
      </c>
      <c r="CN158" s="24">
        <f t="array" ref="CN158">IF(INDEX(Data!$B$4:$L$947,MATCH(Graphs!$CK158,Data!$A$4:$A$947,0),MATCH(Graphs!CN$4,Data!$B$3:$L$3,0))="n.q.",NA(),INDEX(Data!$B$4:$L$947,MATCH(Graphs!$CK158,Data!$A$4:$A$947,0),MATCH(Graphs!CN$4,Data!$B$3:$L$3,0)))</f>
        <v>268</v>
      </c>
      <c r="CO158" s="24" t="str">
        <f t="array" ref="CO158">IF(INDEX(Data!$B$4:$L$947,MATCH(Graphs!$CK158,Data!$A$4:$A$947,0),MATCH(Graphs!CO$4,Data!$B$3:$L$3,0))="n.q.",NA(),INDEX(Data!$B$4:$L$947,MATCH(Graphs!$CK158,Data!$A$4:$A$947,0),MATCH(Graphs!CO$4,Data!$B$3:$L$3,0)))</f>
        <v>#N/A</v>
      </c>
      <c r="CP158" s="24" t="str">
        <f t="array" ref="CP158">IF(INDEX(Data!$B$4:$L$947,MATCH(Graphs!$CK158,Data!$A$4:$A$947,0),MATCH(Graphs!CP$4,Data!$B$3:$L$3,0))="n.q.",NA(),INDEX(Data!$B$4:$L$947,MATCH(Graphs!$CK158,Data!$A$4:$A$947,0),MATCH(Graphs!CP$4,Data!$B$3:$L$3,0)))</f>
        <v>#N/A</v>
      </c>
      <c r="CQ158" s="5"/>
      <c r="CR158" s="24">
        <f t="array" ref="CR158">IF(INDEX(Data!$P$4:$Z$947,MATCH(Graphs!$CK158,Data!$A$4:$A$947,0),MATCH(Graphs!CR$4,Data!$P$3:$Z$3,0))="n.q.",NA(),INDEX(Data!$P$4:$Z$947,MATCH(Graphs!$CK158,Data!$A$4:$A$947,0),MATCH(Graphs!CR$4,Data!$P$3:$Z$3,0)))</f>
        <v>311.883192</v>
      </c>
      <c r="CS158" s="24" t="str">
        <f t="array" ref="CS158">IF(INDEX(Data!$P$4:$Z$947,MATCH(Graphs!$CK158,Data!$A$4:$A$947,0),MATCH(Graphs!CS$4,Data!$P$3:$Z$3,0))="n.q.",NA(),INDEX(Data!$P$4:$Z$947,MATCH(Graphs!$CK158,Data!$A$4:$A$947,0),MATCH(Graphs!CS$4,Data!$P$3:$Z$3,0)))</f>
        <v>#N/A</v>
      </c>
      <c r="CT158" s="24">
        <f t="array" ref="CT158">IF(INDEX(Data!$P$4:$Z$947,MATCH(Graphs!$CK158,Data!$A$4:$A$947,0),MATCH(Graphs!CT$4,Data!$P$3:$Z$3,0))="n.q.",NA(),INDEX(Data!$P$4:$Z$947,MATCH(Graphs!$CK158,Data!$A$4:$A$947,0),MATCH(Graphs!CT$4,Data!$P$3:$Z$3,0)))</f>
        <v>252.5057826</v>
      </c>
      <c r="CU158" s="24" t="str">
        <f t="array" ref="CU158">IF(INDEX(Data!$P$4:$Z$947,MATCH(Graphs!$CK158,Data!$A$4:$A$947,0),MATCH(Graphs!CU$4,Data!$P$3:$Z$3,0))="n.q.",NA(),INDEX(Data!$P$4:$Z$947,MATCH(Graphs!$CK158,Data!$A$4:$A$947,0),MATCH(Graphs!CU$4,Data!$P$3:$Z$3,0)))</f>
        <v>#N/A</v>
      </c>
      <c r="CV158" s="24" t="str">
        <f t="array" ref="CV158">IF(INDEX(Data!$P$4:$Z$947,MATCH(Graphs!$CK158,Data!$A$4:$A$947,0),MATCH(Graphs!CV$4,Data!$P$3:$Z$3,0))="n.q.",NA(),INDEX(Data!$P$4:$Z$947,MATCH(Graphs!$CK158,Data!$A$4:$A$947,0),MATCH(Graphs!CV$4,Data!$P$3:$Z$3,0)))</f>
        <v>#N/A</v>
      </c>
    </row>
    <row r="159" ht="14.25" customHeight="1"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5"/>
      <c r="CK159" s="22">
        <f>Data!A158</f>
        <v>44888</v>
      </c>
      <c r="CL159" s="24">
        <f t="array" ref="CL159">IF(INDEX(Data!$B$4:$L$947,MATCH(Graphs!$CK159,Data!$A$4:$A$947,0),MATCH(Graphs!CL$4,Data!$B$3:$L$3,0))="n.q.",NA(),INDEX(Data!$B$4:$L$947,MATCH(Graphs!$CK159,Data!$A$4:$A$947,0),MATCH(Graphs!CL$4,Data!$B$3:$L$3,0)))</f>
        <v>345.58</v>
      </c>
      <c r="CM159" s="24">
        <f t="array" ref="CM159">IF(INDEX(Data!$B$4:$L$947,MATCH(Graphs!$CK159,Data!$A$4:$A$947,0),MATCH(Graphs!CM$4,Data!$B$3:$L$3,0))="n.q.",NA(),INDEX(Data!$B$4:$L$947,MATCH(Graphs!$CK159,Data!$A$4:$A$947,0),MATCH(Graphs!CM$4,Data!$B$3:$L$3,0)))</f>
        <v>415.3</v>
      </c>
      <c r="CN159" s="24">
        <f t="array" ref="CN159">IF(INDEX(Data!$B$4:$L$947,MATCH(Graphs!$CK159,Data!$A$4:$A$947,0),MATCH(Graphs!CN$4,Data!$B$3:$L$3,0))="n.q.",NA(),INDEX(Data!$B$4:$L$947,MATCH(Graphs!$CK159,Data!$A$4:$A$947,0),MATCH(Graphs!CN$4,Data!$B$3:$L$3,0)))</f>
        <v>270</v>
      </c>
      <c r="CO159" s="24" t="str">
        <f t="array" ref="CO159">IF(INDEX(Data!$B$4:$L$947,MATCH(Graphs!$CK159,Data!$A$4:$A$947,0),MATCH(Graphs!CO$4,Data!$B$3:$L$3,0))="n.q.",NA(),INDEX(Data!$B$4:$L$947,MATCH(Graphs!$CK159,Data!$A$4:$A$947,0),MATCH(Graphs!CO$4,Data!$B$3:$L$3,0)))</f>
        <v>#N/A</v>
      </c>
      <c r="CP159" s="24" t="str">
        <f t="array" ref="CP159">IF(INDEX(Data!$B$4:$L$947,MATCH(Graphs!$CK159,Data!$A$4:$A$947,0),MATCH(Graphs!CP$4,Data!$B$3:$L$3,0))="n.q.",NA(),INDEX(Data!$B$4:$L$947,MATCH(Graphs!$CK159,Data!$A$4:$A$947,0),MATCH(Graphs!CP$4,Data!$B$3:$L$3,0)))</f>
        <v>#N/A</v>
      </c>
      <c r="CQ159" s="5"/>
      <c r="CR159" s="24">
        <f t="array" ref="CR159">IF(INDEX(Data!$P$4:$Z$947,MATCH(Graphs!$CK159,Data!$A$4:$A$947,0),MATCH(Graphs!CR$4,Data!$P$3:$Z$3,0))="n.q.",NA(),INDEX(Data!$P$4:$Z$947,MATCH(Graphs!$CK159,Data!$A$4:$A$947,0),MATCH(Graphs!CR$4,Data!$P$3:$Z$3,0)))</f>
        <v>315.8062954</v>
      </c>
      <c r="CS159" s="24" t="str">
        <f t="array" ref="CS159">IF(INDEX(Data!$P$4:$Z$947,MATCH(Graphs!$CK159,Data!$A$4:$A$947,0),MATCH(Graphs!CS$4,Data!$P$3:$Z$3,0))="n.q.",NA(),INDEX(Data!$P$4:$Z$947,MATCH(Graphs!$CK159,Data!$A$4:$A$947,0),MATCH(Graphs!CS$4,Data!$P$3:$Z$3,0)))</f>
        <v>#N/A</v>
      </c>
      <c r="CT159" s="24">
        <f t="array" ref="CT159">IF(INDEX(Data!$P$4:$Z$947,MATCH(Graphs!$CK159,Data!$A$4:$A$947,0),MATCH(Graphs!CT$4,Data!$P$3:$Z$3,0))="n.q.",NA(),INDEX(Data!$P$4:$Z$947,MATCH(Graphs!$CK159,Data!$A$4:$A$947,0),MATCH(Graphs!CT$4,Data!$P$3:$Z$3,0)))</f>
        <v>258.5956416</v>
      </c>
      <c r="CU159" s="24" t="str">
        <f t="array" ref="CU159">IF(INDEX(Data!$P$4:$Z$947,MATCH(Graphs!$CK159,Data!$A$4:$A$947,0),MATCH(Graphs!CU$4,Data!$P$3:$Z$3,0))="n.q.",NA(),INDEX(Data!$P$4:$Z$947,MATCH(Graphs!$CK159,Data!$A$4:$A$947,0),MATCH(Graphs!CU$4,Data!$P$3:$Z$3,0)))</f>
        <v>#N/A</v>
      </c>
      <c r="CV159" s="24" t="str">
        <f t="array" ref="CV159">IF(INDEX(Data!$P$4:$Z$947,MATCH(Graphs!$CK159,Data!$A$4:$A$947,0),MATCH(Graphs!CV$4,Data!$P$3:$Z$3,0))="n.q.",NA(),INDEX(Data!$P$4:$Z$947,MATCH(Graphs!$CK159,Data!$A$4:$A$947,0),MATCH(Graphs!CV$4,Data!$P$3:$Z$3,0)))</f>
        <v>#N/A</v>
      </c>
    </row>
    <row r="160" ht="14.25" customHeight="1"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5"/>
      <c r="CK160" s="22">
        <f>Data!A159</f>
        <v>44881</v>
      </c>
      <c r="CL160" s="24">
        <f t="array" ref="CL160">IF(INDEX(Data!$B$4:$L$947,MATCH(Graphs!$CK160,Data!$A$4:$A$947,0),MATCH(Graphs!CL$4,Data!$B$3:$L$3,0))="n.q.",NA(),INDEX(Data!$B$4:$L$947,MATCH(Graphs!$CK160,Data!$A$4:$A$947,0),MATCH(Graphs!CL$4,Data!$B$3:$L$3,0)))</f>
        <v>339.35</v>
      </c>
      <c r="CM160" s="24">
        <f t="array" ref="CM160">IF(INDEX(Data!$B$4:$L$947,MATCH(Graphs!$CK160,Data!$A$4:$A$947,0),MATCH(Graphs!CM$4,Data!$B$3:$L$3,0))="n.q.",NA(),INDEX(Data!$B$4:$L$947,MATCH(Graphs!$CK160,Data!$A$4:$A$947,0),MATCH(Graphs!CM$4,Data!$B$3:$L$3,0)))</f>
        <v>431.92</v>
      </c>
      <c r="CN160" s="24">
        <f t="array" ref="CN160">IF(INDEX(Data!$B$4:$L$947,MATCH(Graphs!$CK160,Data!$A$4:$A$947,0),MATCH(Graphs!CN$4,Data!$B$3:$L$3,0))="n.q.",NA(),INDEX(Data!$B$4:$L$947,MATCH(Graphs!$CK160,Data!$A$4:$A$947,0),MATCH(Graphs!CN$4,Data!$B$3:$L$3,0)))</f>
        <v>272</v>
      </c>
      <c r="CO160" s="24" t="str">
        <f t="array" ref="CO160">IF(INDEX(Data!$B$4:$L$947,MATCH(Graphs!$CK160,Data!$A$4:$A$947,0),MATCH(Graphs!CO$4,Data!$B$3:$L$3,0))="n.q.",NA(),INDEX(Data!$B$4:$L$947,MATCH(Graphs!$CK160,Data!$A$4:$A$947,0),MATCH(Graphs!CO$4,Data!$B$3:$L$3,0)))</f>
        <v>#N/A</v>
      </c>
      <c r="CP160" s="24" t="str">
        <f t="array" ref="CP160">IF(INDEX(Data!$B$4:$L$947,MATCH(Graphs!$CK160,Data!$A$4:$A$947,0),MATCH(Graphs!CP$4,Data!$B$3:$L$3,0))="n.q.",NA(),INDEX(Data!$B$4:$L$947,MATCH(Graphs!$CK160,Data!$A$4:$A$947,0),MATCH(Graphs!CP$4,Data!$B$3:$L$3,0)))</f>
        <v>#N/A</v>
      </c>
      <c r="CQ160" s="5"/>
      <c r="CR160" s="24">
        <f t="array" ref="CR160">IF(INDEX(Data!$P$4:$Z$947,MATCH(Graphs!$CK160,Data!$A$4:$A$947,0),MATCH(Graphs!CR$4,Data!$P$3:$Z$3,0))="n.q.",NA(),INDEX(Data!$P$4:$Z$947,MATCH(Graphs!$CK160,Data!$A$4:$A$947,0),MATCH(Graphs!CR$4,Data!$P$3:$Z$3,0)))</f>
        <v>317.7007299</v>
      </c>
      <c r="CS160" s="24" t="str">
        <f t="array" ref="CS160">IF(INDEX(Data!$P$4:$Z$947,MATCH(Graphs!$CK160,Data!$A$4:$A$947,0),MATCH(Graphs!CS$4,Data!$P$3:$Z$3,0))="n.q.",NA(),INDEX(Data!$P$4:$Z$947,MATCH(Graphs!$CK160,Data!$A$4:$A$947,0),MATCH(Graphs!CS$4,Data!$P$3:$Z$3,0)))</f>
        <v>#N/A</v>
      </c>
      <c r="CT160" s="24">
        <f t="array" ref="CT160">IF(INDEX(Data!$P$4:$Z$947,MATCH(Graphs!$CK160,Data!$A$4:$A$947,0),MATCH(Graphs!CT$4,Data!$P$3:$Z$3,0))="n.q.",NA(),INDEX(Data!$P$4:$Z$947,MATCH(Graphs!$CK160,Data!$A$4:$A$947,0),MATCH(Graphs!CT$4,Data!$P$3:$Z$3,0)))</f>
        <v>249.7118709</v>
      </c>
      <c r="CU160" s="24" t="str">
        <f t="array" ref="CU160">IF(INDEX(Data!$P$4:$Z$947,MATCH(Graphs!$CK160,Data!$A$4:$A$947,0),MATCH(Graphs!CU$4,Data!$P$3:$Z$3,0))="n.q.",NA(),INDEX(Data!$P$4:$Z$947,MATCH(Graphs!$CK160,Data!$A$4:$A$947,0),MATCH(Graphs!CU$4,Data!$P$3:$Z$3,0)))</f>
        <v>#N/A</v>
      </c>
      <c r="CV160" s="24" t="str">
        <f t="array" ref="CV160">IF(INDEX(Data!$P$4:$Z$947,MATCH(Graphs!$CK160,Data!$A$4:$A$947,0),MATCH(Graphs!CV$4,Data!$P$3:$Z$3,0))="n.q.",NA(),INDEX(Data!$P$4:$Z$947,MATCH(Graphs!$CK160,Data!$A$4:$A$947,0),MATCH(Graphs!CV$4,Data!$P$3:$Z$3,0)))</f>
        <v>#N/A</v>
      </c>
    </row>
    <row r="161" ht="14.25" customHeight="1"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5"/>
      <c r="CK161" s="22">
        <f>Data!A160</f>
        <v>44874</v>
      </c>
      <c r="CL161" s="24">
        <f t="array" ref="CL161">IF(INDEX(Data!$B$4:$L$947,MATCH(Graphs!$CK161,Data!$A$4:$A$947,0),MATCH(Graphs!CL$4,Data!$B$3:$L$3,0))="n.q.",NA(),INDEX(Data!$B$4:$L$947,MATCH(Graphs!$CK161,Data!$A$4:$A$947,0),MATCH(Graphs!CL$4,Data!$B$3:$L$3,0)))</f>
        <v>335.69</v>
      </c>
      <c r="CM161" s="24">
        <f t="array" ref="CM161">IF(INDEX(Data!$B$4:$L$947,MATCH(Graphs!$CK161,Data!$A$4:$A$947,0),MATCH(Graphs!CM$4,Data!$B$3:$L$3,0))="n.q.",NA(),INDEX(Data!$B$4:$L$947,MATCH(Graphs!$CK161,Data!$A$4:$A$947,0),MATCH(Graphs!CM$4,Data!$B$3:$L$3,0)))</f>
        <v>422.55</v>
      </c>
      <c r="CN161" s="24">
        <f t="array" ref="CN161">IF(INDEX(Data!$B$4:$L$947,MATCH(Graphs!$CK161,Data!$A$4:$A$947,0),MATCH(Graphs!CN$4,Data!$B$3:$L$3,0))="n.q.",NA(),INDEX(Data!$B$4:$L$947,MATCH(Graphs!$CK161,Data!$A$4:$A$947,0),MATCH(Graphs!CN$4,Data!$B$3:$L$3,0)))</f>
        <v>272</v>
      </c>
      <c r="CO161" s="24" t="str">
        <f t="array" ref="CO161">IF(INDEX(Data!$B$4:$L$947,MATCH(Graphs!$CK161,Data!$A$4:$A$947,0),MATCH(Graphs!CO$4,Data!$B$3:$L$3,0))="n.q.",NA(),INDEX(Data!$B$4:$L$947,MATCH(Graphs!$CK161,Data!$A$4:$A$947,0),MATCH(Graphs!CO$4,Data!$B$3:$L$3,0)))</f>
        <v>#N/A</v>
      </c>
      <c r="CP161" s="24" t="str">
        <f t="array" ref="CP161">IF(INDEX(Data!$B$4:$L$947,MATCH(Graphs!$CK161,Data!$A$4:$A$947,0),MATCH(Graphs!CP$4,Data!$B$3:$L$3,0))="n.q.",NA(),INDEX(Data!$B$4:$L$947,MATCH(Graphs!$CK161,Data!$A$4:$A$947,0),MATCH(Graphs!CP$4,Data!$B$3:$L$3,0)))</f>
        <v>#N/A</v>
      </c>
      <c r="CQ161" s="5"/>
      <c r="CR161" s="24">
        <f t="array" ref="CR161">IF(INDEX(Data!$P$4:$Z$947,MATCH(Graphs!$CK161,Data!$A$4:$A$947,0),MATCH(Graphs!CR$4,Data!$P$3:$Z$3,0))="n.q.",NA(),INDEX(Data!$P$4:$Z$947,MATCH(Graphs!$CK161,Data!$A$4:$A$947,0),MATCH(Graphs!CR$4,Data!$P$3:$Z$3,0)))</f>
        <v>340.9801773</v>
      </c>
      <c r="CS161" s="24" t="str">
        <f t="array" ref="CS161">IF(INDEX(Data!$P$4:$Z$947,MATCH(Graphs!$CK161,Data!$A$4:$A$947,0),MATCH(Graphs!CS$4,Data!$P$3:$Z$3,0))="n.q.",NA(),INDEX(Data!$P$4:$Z$947,MATCH(Graphs!$CK161,Data!$A$4:$A$947,0),MATCH(Graphs!CS$4,Data!$P$3:$Z$3,0)))</f>
        <v>#N/A</v>
      </c>
      <c r="CT161" s="24">
        <f t="array" ref="CT161">IF(INDEX(Data!$P$4:$Z$947,MATCH(Graphs!$CK161,Data!$A$4:$A$947,0),MATCH(Graphs!CT$4,Data!$P$3:$Z$3,0))="n.q.",NA(),INDEX(Data!$P$4:$Z$947,MATCH(Graphs!$CK161,Data!$A$4:$A$947,0),MATCH(Graphs!CT$4,Data!$P$3:$Z$3,0)))</f>
        <v>258.9899392</v>
      </c>
      <c r="CU161" s="24" t="str">
        <f t="array" ref="CU161">IF(INDEX(Data!$P$4:$Z$947,MATCH(Graphs!$CK161,Data!$A$4:$A$947,0),MATCH(Graphs!CU$4,Data!$P$3:$Z$3,0))="n.q.",NA(),INDEX(Data!$P$4:$Z$947,MATCH(Graphs!$CK161,Data!$A$4:$A$947,0),MATCH(Graphs!CU$4,Data!$P$3:$Z$3,0)))</f>
        <v>#N/A</v>
      </c>
      <c r="CV161" s="24" t="str">
        <f t="array" ref="CV161">IF(INDEX(Data!$P$4:$Z$947,MATCH(Graphs!$CK161,Data!$A$4:$A$947,0),MATCH(Graphs!CV$4,Data!$P$3:$Z$3,0))="n.q.",NA(),INDEX(Data!$P$4:$Z$947,MATCH(Graphs!$CK161,Data!$A$4:$A$947,0),MATCH(Graphs!CV$4,Data!$P$3:$Z$3,0)))</f>
        <v>#N/A</v>
      </c>
    </row>
    <row r="162" ht="14.25" customHeight="1"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5"/>
      <c r="CK162" s="22">
        <f>Data!A161</f>
        <v>44867</v>
      </c>
      <c r="CL162" s="24">
        <f t="array" ref="CL162">IF(INDEX(Data!$B$4:$L$947,MATCH(Graphs!$CK162,Data!$A$4:$A$947,0),MATCH(Graphs!CL$4,Data!$B$3:$L$3,0))="n.q.",NA(),INDEX(Data!$B$4:$L$947,MATCH(Graphs!$CK162,Data!$A$4:$A$947,0),MATCH(Graphs!CL$4,Data!$B$3:$L$3,0)))</f>
        <v>342.86</v>
      </c>
      <c r="CM162" s="24">
        <f t="array" ref="CM162">IF(INDEX(Data!$B$4:$L$947,MATCH(Graphs!$CK162,Data!$A$4:$A$947,0),MATCH(Graphs!CM$4,Data!$B$3:$L$3,0))="n.q.",NA(),INDEX(Data!$B$4:$L$947,MATCH(Graphs!$CK162,Data!$A$4:$A$947,0),MATCH(Graphs!CM$4,Data!$B$3:$L$3,0)))</f>
        <v>426.32</v>
      </c>
      <c r="CN162" s="24">
        <f t="array" ref="CN162">IF(INDEX(Data!$B$4:$L$947,MATCH(Graphs!$CK162,Data!$A$4:$A$947,0),MATCH(Graphs!CN$4,Data!$B$3:$L$3,0))="n.q.",NA(),INDEX(Data!$B$4:$L$947,MATCH(Graphs!$CK162,Data!$A$4:$A$947,0),MATCH(Graphs!CN$4,Data!$B$3:$L$3,0)))</f>
        <v>270</v>
      </c>
      <c r="CO162" s="24" t="str">
        <f t="array" ref="CO162">IF(INDEX(Data!$B$4:$L$947,MATCH(Graphs!$CK162,Data!$A$4:$A$947,0),MATCH(Graphs!CO$4,Data!$B$3:$L$3,0))="n.q.",NA(),INDEX(Data!$B$4:$L$947,MATCH(Graphs!$CK162,Data!$A$4:$A$947,0),MATCH(Graphs!CO$4,Data!$B$3:$L$3,0)))</f>
        <v>#N/A</v>
      </c>
      <c r="CP162" s="24" t="str">
        <f t="array" ref="CP162">IF(INDEX(Data!$B$4:$L$947,MATCH(Graphs!$CK162,Data!$A$4:$A$947,0),MATCH(Graphs!CP$4,Data!$B$3:$L$3,0))="n.q.",NA(),INDEX(Data!$B$4:$L$947,MATCH(Graphs!$CK162,Data!$A$4:$A$947,0),MATCH(Graphs!CP$4,Data!$B$3:$L$3,0)))</f>
        <v>#N/A</v>
      </c>
      <c r="CQ162" s="5"/>
      <c r="CR162" s="24">
        <f t="array" ref="CR162">IF(INDEX(Data!$P$4:$Z$947,MATCH(Graphs!$CK162,Data!$A$4:$A$947,0),MATCH(Graphs!CR$4,Data!$P$3:$Z$3,0))="n.q.",NA(),INDEX(Data!$P$4:$Z$947,MATCH(Graphs!$CK162,Data!$A$4:$A$947,0),MATCH(Graphs!CR$4,Data!$P$3:$Z$3,0)))</f>
        <v>364.5538958</v>
      </c>
      <c r="CS162" s="24" t="str">
        <f t="array" ref="CS162">IF(INDEX(Data!$P$4:$Z$947,MATCH(Graphs!$CK162,Data!$A$4:$A$947,0),MATCH(Graphs!CS$4,Data!$P$3:$Z$3,0))="n.q.",NA(),INDEX(Data!$P$4:$Z$947,MATCH(Graphs!$CK162,Data!$A$4:$A$947,0),MATCH(Graphs!CS$4,Data!$P$3:$Z$3,0)))</f>
        <v>#N/A</v>
      </c>
      <c r="CT162" s="24" t="str">
        <f t="array" ref="CT162">IF(INDEX(Data!$P$4:$Z$947,MATCH(Graphs!$CK162,Data!$A$4:$A$947,0),MATCH(Graphs!CT$4,Data!$P$3:$Z$3,0))="n.q.",NA(),INDEX(Data!$P$4:$Z$947,MATCH(Graphs!$CK162,Data!$A$4:$A$947,0),MATCH(Graphs!CT$4,Data!$P$3:$Z$3,0)))</f>
        <v>#N/A</v>
      </c>
      <c r="CU162" s="24" t="str">
        <f t="array" ref="CU162">IF(INDEX(Data!$P$4:$Z$947,MATCH(Graphs!$CK162,Data!$A$4:$A$947,0),MATCH(Graphs!CU$4,Data!$P$3:$Z$3,0))="n.q.",NA(),INDEX(Data!$P$4:$Z$947,MATCH(Graphs!$CK162,Data!$A$4:$A$947,0),MATCH(Graphs!CU$4,Data!$P$3:$Z$3,0)))</f>
        <v>#N/A</v>
      </c>
      <c r="CV162" s="24" t="str">
        <f t="array" ref="CV162">IF(INDEX(Data!$P$4:$Z$947,MATCH(Graphs!$CK162,Data!$A$4:$A$947,0),MATCH(Graphs!CV$4,Data!$P$3:$Z$3,0))="n.q.",NA(),INDEX(Data!$P$4:$Z$947,MATCH(Graphs!$CK162,Data!$A$4:$A$947,0),MATCH(Graphs!CV$4,Data!$P$3:$Z$3,0)))</f>
        <v>#N/A</v>
      </c>
    </row>
    <row r="163" ht="14.25" customHeight="1"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5"/>
      <c r="CK163" s="22">
        <f>Data!A162</f>
        <v>44860</v>
      </c>
      <c r="CL163" s="24">
        <f t="array" ref="CL163">IF(INDEX(Data!$B$4:$L$947,MATCH(Graphs!$CK163,Data!$A$4:$A$947,0),MATCH(Graphs!CL$4,Data!$B$3:$L$3,0))="n.q.",NA(),INDEX(Data!$B$4:$L$947,MATCH(Graphs!$CK163,Data!$A$4:$A$947,0),MATCH(Graphs!CL$4,Data!$B$3:$L$3,0)))</f>
        <v>341.85</v>
      </c>
      <c r="CM163" s="24">
        <f t="array" ref="CM163">IF(INDEX(Data!$B$4:$L$947,MATCH(Graphs!$CK163,Data!$A$4:$A$947,0),MATCH(Graphs!CM$4,Data!$B$3:$L$3,0))="n.q.",NA(),INDEX(Data!$B$4:$L$947,MATCH(Graphs!$CK163,Data!$A$4:$A$947,0),MATCH(Graphs!CM$4,Data!$B$3:$L$3,0)))</f>
        <v>433.85</v>
      </c>
      <c r="CN163" s="24">
        <f t="array" ref="CN163">IF(INDEX(Data!$B$4:$L$947,MATCH(Graphs!$CK163,Data!$A$4:$A$947,0),MATCH(Graphs!CN$4,Data!$B$3:$L$3,0))="n.q.",NA(),INDEX(Data!$B$4:$L$947,MATCH(Graphs!$CK163,Data!$A$4:$A$947,0),MATCH(Graphs!CN$4,Data!$B$3:$L$3,0)))</f>
        <v>270</v>
      </c>
      <c r="CO163" s="24" t="str">
        <f t="array" ref="CO163">IF(INDEX(Data!$B$4:$L$947,MATCH(Graphs!$CK163,Data!$A$4:$A$947,0),MATCH(Graphs!CO$4,Data!$B$3:$L$3,0))="n.q.",NA(),INDEX(Data!$B$4:$L$947,MATCH(Graphs!$CK163,Data!$A$4:$A$947,0),MATCH(Graphs!CO$4,Data!$B$3:$L$3,0)))</f>
        <v>#N/A</v>
      </c>
      <c r="CP163" s="24" t="str">
        <f t="array" ref="CP163">IF(INDEX(Data!$B$4:$L$947,MATCH(Graphs!$CK163,Data!$A$4:$A$947,0),MATCH(Graphs!CP$4,Data!$B$3:$L$3,0))="n.q.",NA(),INDEX(Data!$B$4:$L$947,MATCH(Graphs!$CK163,Data!$A$4:$A$947,0),MATCH(Graphs!CP$4,Data!$B$3:$L$3,0)))</f>
        <v>#N/A</v>
      </c>
      <c r="CQ163" s="5"/>
      <c r="CR163" s="24">
        <f t="array" ref="CR163">IF(INDEX(Data!$P$4:$Z$947,MATCH(Graphs!$CK163,Data!$A$4:$A$947,0),MATCH(Graphs!CR$4,Data!$P$3:$Z$3,0))="n.q.",NA(),INDEX(Data!$P$4:$Z$947,MATCH(Graphs!$CK163,Data!$A$4:$A$947,0),MATCH(Graphs!CR$4,Data!$P$3:$Z$3,0)))</f>
        <v>367.2453357</v>
      </c>
      <c r="CS163" s="24">
        <f t="array" ref="CS163">IF(INDEX(Data!$P$4:$Z$947,MATCH(Graphs!$CK163,Data!$A$4:$A$947,0),MATCH(Graphs!CS$4,Data!$P$3:$Z$3,0))="n.q.",NA(),INDEX(Data!$P$4:$Z$947,MATCH(Graphs!$CK163,Data!$A$4:$A$947,0),MATCH(Graphs!CS$4,Data!$P$3:$Z$3,0)))</f>
        <v>352.22</v>
      </c>
      <c r="CT163" s="24">
        <f t="array" ref="CT163">IF(INDEX(Data!$P$4:$Z$947,MATCH(Graphs!$CK163,Data!$A$4:$A$947,0),MATCH(Graphs!CT$4,Data!$P$3:$Z$3,0))="n.q.",NA(),INDEX(Data!$P$4:$Z$947,MATCH(Graphs!$CK163,Data!$A$4:$A$947,0),MATCH(Graphs!CT$4,Data!$P$3:$Z$3,0)))</f>
        <v>263.3941934</v>
      </c>
      <c r="CU163" s="24" t="str">
        <f t="array" ref="CU163">IF(INDEX(Data!$P$4:$Z$947,MATCH(Graphs!$CK163,Data!$A$4:$A$947,0),MATCH(Graphs!CU$4,Data!$P$3:$Z$3,0))="n.q.",NA(),INDEX(Data!$P$4:$Z$947,MATCH(Graphs!$CK163,Data!$A$4:$A$947,0),MATCH(Graphs!CU$4,Data!$P$3:$Z$3,0)))</f>
        <v>#N/A</v>
      </c>
      <c r="CV163" s="24" t="str">
        <f t="array" ref="CV163">IF(INDEX(Data!$P$4:$Z$947,MATCH(Graphs!$CK163,Data!$A$4:$A$947,0),MATCH(Graphs!CV$4,Data!$P$3:$Z$3,0))="n.q.",NA(),INDEX(Data!$P$4:$Z$947,MATCH(Graphs!$CK163,Data!$A$4:$A$947,0),MATCH(Graphs!CV$4,Data!$P$3:$Z$3,0)))</f>
        <v>#N/A</v>
      </c>
    </row>
    <row r="164" ht="14.25" customHeight="1"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5"/>
      <c r="CK164" s="22">
        <f>Data!A163</f>
        <v>44853</v>
      </c>
      <c r="CL164" s="24">
        <f t="array" ref="CL164">IF(INDEX(Data!$B$4:$L$947,MATCH(Graphs!$CK164,Data!$A$4:$A$947,0),MATCH(Graphs!CL$4,Data!$B$3:$L$3,0))="n.q.",NA(),INDEX(Data!$B$4:$L$947,MATCH(Graphs!$CK164,Data!$A$4:$A$947,0),MATCH(Graphs!CL$4,Data!$B$3:$L$3,0)))</f>
        <v>333</v>
      </c>
      <c r="CM164" s="24">
        <f t="array" ref="CM164">IF(INDEX(Data!$B$4:$L$947,MATCH(Graphs!$CK164,Data!$A$4:$A$947,0),MATCH(Graphs!CM$4,Data!$B$3:$L$3,0))="n.q.",NA(),INDEX(Data!$B$4:$L$947,MATCH(Graphs!$CK164,Data!$A$4:$A$947,0),MATCH(Graphs!CM$4,Data!$B$3:$L$3,0)))</f>
        <v>434.22</v>
      </c>
      <c r="CN164" s="24">
        <f t="array" ref="CN164">IF(INDEX(Data!$B$4:$L$947,MATCH(Graphs!$CK164,Data!$A$4:$A$947,0),MATCH(Graphs!CN$4,Data!$B$3:$L$3,0))="n.q.",NA(),INDEX(Data!$B$4:$L$947,MATCH(Graphs!$CK164,Data!$A$4:$A$947,0),MATCH(Graphs!CN$4,Data!$B$3:$L$3,0)))</f>
        <v>280</v>
      </c>
      <c r="CO164" s="24" t="str">
        <f t="array" ref="CO164">IF(INDEX(Data!$B$4:$L$947,MATCH(Graphs!$CK164,Data!$A$4:$A$947,0),MATCH(Graphs!CO$4,Data!$B$3:$L$3,0))="n.q.",NA(),INDEX(Data!$B$4:$L$947,MATCH(Graphs!$CK164,Data!$A$4:$A$947,0),MATCH(Graphs!CO$4,Data!$B$3:$L$3,0)))</f>
        <v>#N/A</v>
      </c>
      <c r="CP164" s="24" t="str">
        <f t="array" ref="CP164">IF(INDEX(Data!$B$4:$L$947,MATCH(Graphs!$CK164,Data!$A$4:$A$947,0),MATCH(Graphs!CP$4,Data!$B$3:$L$3,0))="n.q.",NA(),INDEX(Data!$B$4:$L$947,MATCH(Graphs!$CK164,Data!$A$4:$A$947,0),MATCH(Graphs!CP$4,Data!$B$3:$L$3,0)))</f>
        <v>#N/A</v>
      </c>
      <c r="CQ164" s="5"/>
      <c r="CR164" s="24">
        <f t="array" ref="CR164">IF(INDEX(Data!$P$4:$Z$947,MATCH(Graphs!$CK164,Data!$A$4:$A$947,0),MATCH(Graphs!CR$4,Data!$P$3:$Z$3,0))="n.q.",NA(),INDEX(Data!$P$4:$Z$947,MATCH(Graphs!$CK164,Data!$A$4:$A$947,0),MATCH(Graphs!CR$4,Data!$P$3:$Z$3,0)))</f>
        <v>365.6780528</v>
      </c>
      <c r="CS164" s="24">
        <f t="array" ref="CS164">IF(INDEX(Data!$P$4:$Z$947,MATCH(Graphs!$CK164,Data!$A$4:$A$947,0),MATCH(Graphs!CS$4,Data!$P$3:$Z$3,0))="n.q.",NA(),INDEX(Data!$P$4:$Z$947,MATCH(Graphs!$CK164,Data!$A$4:$A$947,0),MATCH(Graphs!CS$4,Data!$P$3:$Z$3,0)))</f>
        <v>343.79</v>
      </c>
      <c r="CT164" s="24">
        <f t="array" ref="CT164">IF(INDEX(Data!$P$4:$Z$947,MATCH(Graphs!$CK164,Data!$A$4:$A$947,0),MATCH(Graphs!CT$4,Data!$P$3:$Z$3,0))="n.q.",NA(),INDEX(Data!$P$4:$Z$947,MATCH(Graphs!$CK164,Data!$A$4:$A$947,0),MATCH(Graphs!CT$4,Data!$P$3:$Z$3,0)))</f>
        <v>273.0619759</v>
      </c>
      <c r="CU164" s="24" t="str">
        <f t="array" ref="CU164">IF(INDEX(Data!$P$4:$Z$947,MATCH(Graphs!$CK164,Data!$A$4:$A$947,0),MATCH(Graphs!CU$4,Data!$P$3:$Z$3,0))="n.q.",NA(),INDEX(Data!$P$4:$Z$947,MATCH(Graphs!$CK164,Data!$A$4:$A$947,0),MATCH(Graphs!CU$4,Data!$P$3:$Z$3,0)))</f>
        <v>#N/A</v>
      </c>
      <c r="CV164" s="24" t="str">
        <f t="array" ref="CV164">IF(INDEX(Data!$P$4:$Z$947,MATCH(Graphs!$CK164,Data!$A$4:$A$947,0),MATCH(Graphs!CV$4,Data!$P$3:$Z$3,0))="n.q.",NA(),INDEX(Data!$P$4:$Z$947,MATCH(Graphs!$CK164,Data!$A$4:$A$947,0),MATCH(Graphs!CV$4,Data!$P$3:$Z$3,0)))</f>
        <v>#N/A</v>
      </c>
    </row>
    <row r="165" ht="14.25" customHeight="1"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5"/>
      <c r="CK165" s="22">
        <f>Data!A164</f>
        <v>44846</v>
      </c>
      <c r="CL165" s="24">
        <f t="array" ref="CL165">IF(INDEX(Data!$B$4:$L$947,MATCH(Graphs!$CK165,Data!$A$4:$A$947,0),MATCH(Graphs!CL$4,Data!$B$3:$L$3,0))="n.q.",NA(),INDEX(Data!$B$4:$L$947,MATCH(Graphs!$CK165,Data!$A$4:$A$947,0),MATCH(Graphs!CL$4,Data!$B$3:$L$3,0)))</f>
        <v>347.47</v>
      </c>
      <c r="CM165" s="24">
        <f t="array" ref="CM165">IF(INDEX(Data!$B$4:$L$947,MATCH(Graphs!$CK165,Data!$A$4:$A$947,0),MATCH(Graphs!CM$4,Data!$B$3:$L$3,0))="n.q.",NA(),INDEX(Data!$B$4:$L$947,MATCH(Graphs!$CK165,Data!$A$4:$A$947,0),MATCH(Graphs!CM$4,Data!$B$3:$L$3,0)))</f>
        <v>439.09</v>
      </c>
      <c r="CN165" s="24">
        <f t="array" ref="CN165">IF(INDEX(Data!$B$4:$L$947,MATCH(Graphs!$CK165,Data!$A$4:$A$947,0),MATCH(Graphs!CN$4,Data!$B$3:$L$3,0))="n.q.",NA(),INDEX(Data!$B$4:$L$947,MATCH(Graphs!$CK165,Data!$A$4:$A$947,0),MATCH(Graphs!CN$4,Data!$B$3:$L$3,0)))</f>
        <v>285</v>
      </c>
      <c r="CO165" s="24" t="str">
        <f t="array" ref="CO165">IF(INDEX(Data!$B$4:$L$947,MATCH(Graphs!$CK165,Data!$A$4:$A$947,0),MATCH(Graphs!CO$4,Data!$B$3:$L$3,0))="n.q.",NA(),INDEX(Data!$B$4:$L$947,MATCH(Graphs!$CK165,Data!$A$4:$A$947,0),MATCH(Graphs!CO$4,Data!$B$3:$L$3,0)))</f>
        <v>#N/A</v>
      </c>
      <c r="CP165" s="24" t="str">
        <f t="array" ref="CP165">IF(INDEX(Data!$B$4:$L$947,MATCH(Graphs!$CK165,Data!$A$4:$A$947,0),MATCH(Graphs!CP$4,Data!$B$3:$L$3,0))="n.q.",NA(),INDEX(Data!$B$4:$L$947,MATCH(Graphs!$CK165,Data!$A$4:$A$947,0),MATCH(Graphs!CP$4,Data!$B$3:$L$3,0)))</f>
        <v>#N/A</v>
      </c>
      <c r="CQ165" s="5"/>
      <c r="CR165" s="24">
        <f t="array" ref="CR165">IF(INDEX(Data!$P$4:$Z$947,MATCH(Graphs!$CK165,Data!$A$4:$A$947,0),MATCH(Graphs!CR$4,Data!$P$3:$Z$3,0))="n.q.",NA(),INDEX(Data!$P$4:$Z$947,MATCH(Graphs!$CK165,Data!$A$4:$A$947,0),MATCH(Graphs!CR$4,Data!$P$3:$Z$3,0)))</f>
        <v>364.2386153</v>
      </c>
      <c r="CS165" s="24">
        <f t="array" ref="CS165">IF(INDEX(Data!$P$4:$Z$947,MATCH(Graphs!$CK165,Data!$A$4:$A$947,0),MATCH(Graphs!CS$4,Data!$P$3:$Z$3,0))="n.q.",NA(),INDEX(Data!$P$4:$Z$947,MATCH(Graphs!$CK165,Data!$A$4:$A$947,0),MATCH(Graphs!CS$4,Data!$P$3:$Z$3,0)))</f>
        <v>354.79</v>
      </c>
      <c r="CT165" s="24">
        <f t="array" ref="CT165">IF(INDEX(Data!$P$4:$Z$947,MATCH(Graphs!$CK165,Data!$A$4:$A$947,0),MATCH(Graphs!CT$4,Data!$P$3:$Z$3,0))="n.q.",NA(),INDEX(Data!$P$4:$Z$947,MATCH(Graphs!$CK165,Data!$A$4:$A$947,0),MATCH(Graphs!CT$4,Data!$P$3:$Z$3,0)))</f>
        <v>275.0875747</v>
      </c>
      <c r="CU165" s="24" t="str">
        <f t="array" ref="CU165">IF(INDEX(Data!$P$4:$Z$947,MATCH(Graphs!$CK165,Data!$A$4:$A$947,0),MATCH(Graphs!CU$4,Data!$P$3:$Z$3,0))="n.q.",NA(),INDEX(Data!$P$4:$Z$947,MATCH(Graphs!$CK165,Data!$A$4:$A$947,0),MATCH(Graphs!CU$4,Data!$P$3:$Z$3,0)))</f>
        <v>#N/A</v>
      </c>
      <c r="CV165" s="24" t="str">
        <f t="array" ref="CV165">IF(INDEX(Data!$P$4:$Z$947,MATCH(Graphs!$CK165,Data!$A$4:$A$947,0),MATCH(Graphs!CV$4,Data!$P$3:$Z$3,0))="n.q.",NA(),INDEX(Data!$P$4:$Z$947,MATCH(Graphs!$CK165,Data!$A$4:$A$947,0),MATCH(Graphs!CV$4,Data!$P$3:$Z$3,0)))</f>
        <v>#N/A</v>
      </c>
    </row>
    <row r="166" ht="14.25" customHeight="1"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5"/>
      <c r="CK166" s="22">
        <f>Data!A165</f>
        <v>44839</v>
      </c>
      <c r="CL166" s="24">
        <f t="array" ref="CL166">IF(INDEX(Data!$B$4:$L$947,MATCH(Graphs!$CK166,Data!$A$4:$A$947,0),MATCH(Graphs!CL$4,Data!$B$3:$L$3,0))="n.q.",NA(),INDEX(Data!$B$4:$L$947,MATCH(Graphs!$CK166,Data!$A$4:$A$947,0),MATCH(Graphs!CL$4,Data!$B$3:$L$3,0)))</f>
        <v>351.74</v>
      </c>
      <c r="CM166" s="24">
        <f t="array" ref="CM166">IF(INDEX(Data!$B$4:$L$947,MATCH(Graphs!$CK166,Data!$A$4:$A$947,0),MATCH(Graphs!CM$4,Data!$B$3:$L$3,0))="n.q.",NA(),INDEX(Data!$B$4:$L$947,MATCH(Graphs!$CK166,Data!$A$4:$A$947,0),MATCH(Graphs!CM$4,Data!$B$3:$L$3,0)))</f>
        <v>446.53</v>
      </c>
      <c r="CN166" s="24">
        <f t="array" ref="CN166">IF(INDEX(Data!$B$4:$L$947,MATCH(Graphs!$CK166,Data!$A$4:$A$947,0),MATCH(Graphs!CN$4,Data!$B$3:$L$3,0))="n.q.",NA(),INDEX(Data!$B$4:$L$947,MATCH(Graphs!$CK166,Data!$A$4:$A$947,0),MATCH(Graphs!CN$4,Data!$B$3:$L$3,0)))</f>
        <v>280</v>
      </c>
      <c r="CO166" s="24" t="str">
        <f t="array" ref="CO166">IF(INDEX(Data!$B$4:$L$947,MATCH(Graphs!$CK166,Data!$A$4:$A$947,0),MATCH(Graphs!CO$4,Data!$B$3:$L$3,0))="n.q.",NA(),INDEX(Data!$B$4:$L$947,MATCH(Graphs!$CK166,Data!$A$4:$A$947,0),MATCH(Graphs!CO$4,Data!$B$3:$L$3,0)))</f>
        <v>#N/A</v>
      </c>
      <c r="CP166" s="24" t="str">
        <f t="array" ref="CP166">IF(INDEX(Data!$B$4:$L$947,MATCH(Graphs!$CK166,Data!$A$4:$A$947,0),MATCH(Graphs!CP$4,Data!$B$3:$L$3,0))="n.q.",NA(),INDEX(Data!$B$4:$L$947,MATCH(Graphs!$CK166,Data!$A$4:$A$947,0),MATCH(Graphs!CP$4,Data!$B$3:$L$3,0)))</f>
        <v>#N/A</v>
      </c>
      <c r="CQ166" s="5"/>
      <c r="CR166" s="24">
        <f t="array" ref="CR166">IF(INDEX(Data!$P$4:$Z$947,MATCH(Graphs!$CK166,Data!$A$4:$A$947,0),MATCH(Graphs!CR$4,Data!$P$3:$Z$3,0))="n.q.",NA(),INDEX(Data!$P$4:$Z$947,MATCH(Graphs!$CK166,Data!$A$4:$A$947,0),MATCH(Graphs!CR$4,Data!$P$3:$Z$3,0)))</f>
        <v>337.1053959</v>
      </c>
      <c r="CS166" s="24" t="str">
        <f t="array" ref="CS166">IF(INDEX(Data!$P$4:$Z$947,MATCH(Graphs!$CK166,Data!$A$4:$A$947,0),MATCH(Graphs!CS$4,Data!$P$3:$Z$3,0))="n.q.",NA(),INDEX(Data!$P$4:$Z$947,MATCH(Graphs!$CK166,Data!$A$4:$A$947,0),MATCH(Graphs!CS$4,Data!$P$3:$Z$3,0)))</f>
        <v>#N/A</v>
      </c>
      <c r="CT166" s="24">
        <f t="array" ref="CT166">IF(INDEX(Data!$P$4:$Z$947,MATCH(Graphs!$CK166,Data!$A$4:$A$947,0),MATCH(Graphs!CT$4,Data!$P$3:$Z$3,0))="n.q.",NA(),INDEX(Data!$P$4:$Z$947,MATCH(Graphs!$CK166,Data!$A$4:$A$947,0),MATCH(Graphs!CT$4,Data!$P$3:$Z$3,0)))</f>
        <v>269.2889561</v>
      </c>
      <c r="CU166" s="24" t="str">
        <f t="array" ref="CU166">IF(INDEX(Data!$P$4:$Z$947,MATCH(Graphs!$CK166,Data!$A$4:$A$947,0),MATCH(Graphs!CU$4,Data!$P$3:$Z$3,0))="n.q.",NA(),INDEX(Data!$P$4:$Z$947,MATCH(Graphs!$CK166,Data!$A$4:$A$947,0),MATCH(Graphs!CU$4,Data!$P$3:$Z$3,0)))</f>
        <v>#N/A</v>
      </c>
      <c r="CV166" s="24" t="str">
        <f t="array" ref="CV166">IF(INDEX(Data!$P$4:$Z$947,MATCH(Graphs!$CK166,Data!$A$4:$A$947,0),MATCH(Graphs!CV$4,Data!$P$3:$Z$3,0))="n.q.",NA(),INDEX(Data!$P$4:$Z$947,MATCH(Graphs!$CK166,Data!$A$4:$A$947,0),MATCH(Graphs!CV$4,Data!$P$3:$Z$3,0)))</f>
        <v>#N/A</v>
      </c>
    </row>
    <row r="167" ht="14.25" customHeight="1"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5"/>
      <c r="CK167" s="22">
        <f>Data!A166</f>
        <v>44832</v>
      </c>
      <c r="CL167" s="24">
        <f t="array" ref="CL167">IF(INDEX(Data!$B$4:$L$947,MATCH(Graphs!$CK167,Data!$A$4:$A$947,0),MATCH(Graphs!CL$4,Data!$B$3:$L$3,0))="n.q.",NA(),INDEX(Data!$B$4:$L$947,MATCH(Graphs!$CK167,Data!$A$4:$A$947,0),MATCH(Graphs!CL$4,Data!$B$3:$L$3,0)))</f>
        <v>345.17</v>
      </c>
      <c r="CM167" s="24">
        <f t="array" ref="CM167">IF(INDEX(Data!$B$4:$L$947,MATCH(Graphs!$CK167,Data!$A$4:$A$947,0),MATCH(Graphs!CM$4,Data!$B$3:$L$3,0))="n.q.",NA(),INDEX(Data!$B$4:$L$947,MATCH(Graphs!$CK167,Data!$A$4:$A$947,0),MATCH(Graphs!CM$4,Data!$B$3:$L$3,0)))</f>
        <v>439.45</v>
      </c>
      <c r="CN167" s="24">
        <f t="array" ref="CN167">IF(INDEX(Data!$B$4:$L$947,MATCH(Graphs!$CK167,Data!$A$4:$A$947,0),MATCH(Graphs!CN$4,Data!$B$3:$L$3,0))="n.q.",NA(),INDEX(Data!$B$4:$L$947,MATCH(Graphs!$CK167,Data!$A$4:$A$947,0),MATCH(Graphs!CN$4,Data!$B$3:$L$3,0)))</f>
        <v>280</v>
      </c>
      <c r="CO167" s="24" t="str">
        <f t="array" ref="CO167">IF(INDEX(Data!$B$4:$L$947,MATCH(Graphs!$CK167,Data!$A$4:$A$947,0),MATCH(Graphs!CO$4,Data!$B$3:$L$3,0))="n.q.",NA(),INDEX(Data!$B$4:$L$947,MATCH(Graphs!$CK167,Data!$A$4:$A$947,0),MATCH(Graphs!CO$4,Data!$B$3:$L$3,0)))</f>
        <v>#N/A</v>
      </c>
      <c r="CP167" s="24" t="str">
        <f t="array" ref="CP167">IF(INDEX(Data!$B$4:$L$947,MATCH(Graphs!$CK167,Data!$A$4:$A$947,0),MATCH(Graphs!CP$4,Data!$B$3:$L$3,0))="n.q.",NA(),INDEX(Data!$B$4:$L$947,MATCH(Graphs!$CK167,Data!$A$4:$A$947,0),MATCH(Graphs!CP$4,Data!$B$3:$L$3,0)))</f>
        <v>#N/A</v>
      </c>
      <c r="CQ167" s="5"/>
      <c r="CR167" s="24">
        <f t="array" ref="CR167">IF(INDEX(Data!$P$4:$Z$947,MATCH(Graphs!$CK167,Data!$A$4:$A$947,0),MATCH(Graphs!CR$4,Data!$P$3:$Z$3,0))="n.q.",NA(),INDEX(Data!$P$4:$Z$947,MATCH(Graphs!$CK167,Data!$A$4:$A$947,0),MATCH(Graphs!CR$4,Data!$P$3:$Z$3,0)))</f>
        <v>336.8844746</v>
      </c>
      <c r="CS167" s="24" t="str">
        <f t="array" ref="CS167">IF(INDEX(Data!$P$4:$Z$947,MATCH(Graphs!$CK167,Data!$A$4:$A$947,0),MATCH(Graphs!CS$4,Data!$P$3:$Z$3,0))="n.q.",NA(),INDEX(Data!$P$4:$Z$947,MATCH(Graphs!$CK167,Data!$A$4:$A$947,0),MATCH(Graphs!CS$4,Data!$P$3:$Z$3,0)))</f>
        <v>#N/A</v>
      </c>
      <c r="CT167" s="24">
        <f t="array" ref="CT167">IF(INDEX(Data!$P$4:$Z$947,MATCH(Graphs!$CK167,Data!$A$4:$A$947,0),MATCH(Graphs!CT$4,Data!$P$3:$Z$3,0))="n.q.",NA(),INDEX(Data!$P$4:$Z$947,MATCH(Graphs!$CK167,Data!$A$4:$A$947,0),MATCH(Graphs!CT$4,Data!$P$3:$Z$3,0)))</f>
        <v>272.869838</v>
      </c>
      <c r="CU167" s="24" t="str">
        <f t="array" ref="CU167">IF(INDEX(Data!$P$4:$Z$947,MATCH(Graphs!$CK167,Data!$A$4:$A$947,0),MATCH(Graphs!CU$4,Data!$P$3:$Z$3,0))="n.q.",NA(),INDEX(Data!$P$4:$Z$947,MATCH(Graphs!$CK167,Data!$A$4:$A$947,0),MATCH(Graphs!CU$4,Data!$P$3:$Z$3,0)))</f>
        <v>#N/A</v>
      </c>
      <c r="CV167" s="24" t="str">
        <f t="array" ref="CV167">IF(INDEX(Data!$P$4:$Z$947,MATCH(Graphs!$CK167,Data!$A$4:$A$947,0),MATCH(Graphs!CV$4,Data!$P$3:$Z$3,0))="n.q.",NA(),INDEX(Data!$P$4:$Z$947,MATCH(Graphs!$CK167,Data!$A$4:$A$947,0),MATCH(Graphs!CV$4,Data!$P$3:$Z$3,0)))</f>
        <v>#N/A</v>
      </c>
    </row>
    <row r="168" ht="14.25" customHeight="1"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5"/>
      <c r="CK168" s="22">
        <f>Data!A167</f>
        <v>44825</v>
      </c>
      <c r="CL168" s="24">
        <f t="array" ref="CL168">IF(INDEX(Data!$B$4:$L$947,MATCH(Graphs!$CK168,Data!$A$4:$A$947,0),MATCH(Graphs!CL$4,Data!$B$3:$L$3,0))="n.q.",NA(),INDEX(Data!$B$4:$L$947,MATCH(Graphs!$CK168,Data!$A$4:$A$947,0),MATCH(Graphs!CL$4,Data!$B$3:$L$3,0)))</f>
        <v>348.34</v>
      </c>
      <c r="CM168" s="24">
        <f t="array" ref="CM168">IF(INDEX(Data!$B$4:$L$947,MATCH(Graphs!$CK168,Data!$A$4:$A$947,0),MATCH(Graphs!CM$4,Data!$B$3:$L$3,0))="n.q.",NA(),INDEX(Data!$B$4:$L$947,MATCH(Graphs!$CK168,Data!$A$4:$A$947,0),MATCH(Graphs!CM$4,Data!$B$3:$L$3,0)))</f>
        <v>437.98</v>
      </c>
      <c r="CN168" s="24">
        <f t="array" ref="CN168">IF(INDEX(Data!$B$4:$L$947,MATCH(Graphs!$CK168,Data!$A$4:$A$947,0),MATCH(Graphs!CN$4,Data!$B$3:$L$3,0))="n.q.",NA(),INDEX(Data!$B$4:$L$947,MATCH(Graphs!$CK168,Data!$A$4:$A$947,0),MATCH(Graphs!CN$4,Data!$B$3:$L$3,0)))</f>
        <v>271</v>
      </c>
      <c r="CO168" s="24" t="str">
        <f t="array" ref="CO168">IF(INDEX(Data!$B$4:$L$947,MATCH(Graphs!$CK168,Data!$A$4:$A$947,0),MATCH(Graphs!CO$4,Data!$B$3:$L$3,0))="n.q.",NA(),INDEX(Data!$B$4:$L$947,MATCH(Graphs!$CK168,Data!$A$4:$A$947,0),MATCH(Graphs!CO$4,Data!$B$3:$L$3,0)))</f>
        <v>#N/A</v>
      </c>
      <c r="CP168" s="24" t="str">
        <f t="array" ref="CP168">IF(INDEX(Data!$B$4:$L$947,MATCH(Graphs!$CK168,Data!$A$4:$A$947,0),MATCH(Graphs!CP$4,Data!$B$3:$L$3,0))="n.q.",NA(),INDEX(Data!$B$4:$L$947,MATCH(Graphs!$CK168,Data!$A$4:$A$947,0),MATCH(Graphs!CP$4,Data!$B$3:$L$3,0)))</f>
        <v>#N/A</v>
      </c>
      <c r="CQ168" s="5"/>
      <c r="CR168" s="24">
        <f t="array" ref="CR168">IF(INDEX(Data!$P$4:$Z$947,MATCH(Graphs!$CK168,Data!$A$4:$A$947,0),MATCH(Graphs!CR$4,Data!$P$3:$Z$3,0))="n.q.",NA(),INDEX(Data!$P$4:$Z$947,MATCH(Graphs!$CK168,Data!$A$4:$A$947,0),MATCH(Graphs!CR$4,Data!$P$3:$Z$3,0)))</f>
        <v>331.2436907</v>
      </c>
      <c r="CS168" s="24">
        <f t="array" ref="CS168">IF(INDEX(Data!$P$4:$Z$947,MATCH(Graphs!$CK168,Data!$A$4:$A$947,0),MATCH(Graphs!CS$4,Data!$P$3:$Z$3,0))="n.q.",NA(),INDEX(Data!$P$4:$Z$947,MATCH(Graphs!$CK168,Data!$A$4:$A$947,0),MATCH(Graphs!CS$4,Data!$P$3:$Z$3,0)))</f>
        <v>359.29</v>
      </c>
      <c r="CT168" s="24">
        <f t="array" ref="CT168">IF(INDEX(Data!$P$4:$Z$947,MATCH(Graphs!$CK168,Data!$A$4:$A$947,0),MATCH(Graphs!CT$4,Data!$P$3:$Z$3,0))="n.q.",NA(),INDEX(Data!$P$4:$Z$947,MATCH(Graphs!$CK168,Data!$A$4:$A$947,0),MATCH(Graphs!CT$4,Data!$P$3:$Z$3,0)))</f>
        <v>264.48617</v>
      </c>
      <c r="CU168" s="24" t="str">
        <f t="array" ref="CU168">IF(INDEX(Data!$P$4:$Z$947,MATCH(Graphs!$CK168,Data!$A$4:$A$947,0),MATCH(Graphs!CU$4,Data!$P$3:$Z$3,0))="n.q.",NA(),INDEX(Data!$P$4:$Z$947,MATCH(Graphs!$CK168,Data!$A$4:$A$947,0),MATCH(Graphs!CU$4,Data!$P$3:$Z$3,0)))</f>
        <v>#N/A</v>
      </c>
      <c r="CV168" s="24" t="str">
        <f t="array" ref="CV168">IF(INDEX(Data!$P$4:$Z$947,MATCH(Graphs!$CK168,Data!$A$4:$A$947,0),MATCH(Graphs!CV$4,Data!$P$3:$Z$3,0))="n.q.",NA(),INDEX(Data!$P$4:$Z$947,MATCH(Graphs!$CK168,Data!$A$4:$A$947,0),MATCH(Graphs!CV$4,Data!$P$3:$Z$3,0)))</f>
        <v>#N/A</v>
      </c>
    </row>
    <row r="169" ht="14.25" customHeight="1"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5"/>
      <c r="CK169" s="22">
        <f>Data!A168</f>
        <v>44818</v>
      </c>
      <c r="CL169" s="24">
        <f t="array" ref="CL169">IF(INDEX(Data!$B$4:$L$947,MATCH(Graphs!$CK169,Data!$A$4:$A$947,0),MATCH(Graphs!CL$4,Data!$B$3:$L$3,0))="n.q.",NA(),INDEX(Data!$B$4:$L$947,MATCH(Graphs!$CK169,Data!$A$4:$A$947,0),MATCH(Graphs!CL$4,Data!$B$3:$L$3,0)))</f>
        <v>345.38</v>
      </c>
      <c r="CM169" s="24">
        <f t="array" ref="CM169">IF(INDEX(Data!$B$4:$L$947,MATCH(Graphs!$CK169,Data!$A$4:$A$947,0),MATCH(Graphs!CM$4,Data!$B$3:$L$3,0))="n.q.",NA(),INDEX(Data!$B$4:$L$947,MATCH(Graphs!$CK169,Data!$A$4:$A$947,0),MATCH(Graphs!CM$4,Data!$B$3:$L$3,0)))</f>
        <v>432.47</v>
      </c>
      <c r="CN169" s="24">
        <f t="array" ref="CN169">IF(INDEX(Data!$B$4:$L$947,MATCH(Graphs!$CK169,Data!$A$4:$A$947,0),MATCH(Graphs!CN$4,Data!$B$3:$L$3,0))="n.q.",NA(),INDEX(Data!$B$4:$L$947,MATCH(Graphs!$CK169,Data!$A$4:$A$947,0),MATCH(Graphs!CN$4,Data!$B$3:$L$3,0)))</f>
        <v>271</v>
      </c>
      <c r="CO169" s="24" t="str">
        <f t="array" ref="CO169">IF(INDEX(Data!$B$4:$L$947,MATCH(Graphs!$CK169,Data!$A$4:$A$947,0),MATCH(Graphs!CO$4,Data!$B$3:$L$3,0))="n.q.",NA(),INDEX(Data!$B$4:$L$947,MATCH(Graphs!$CK169,Data!$A$4:$A$947,0),MATCH(Graphs!CO$4,Data!$B$3:$L$3,0)))</f>
        <v>#N/A</v>
      </c>
      <c r="CP169" s="24" t="str">
        <f t="array" ref="CP169">IF(INDEX(Data!$B$4:$L$947,MATCH(Graphs!$CK169,Data!$A$4:$A$947,0),MATCH(Graphs!CP$4,Data!$B$3:$L$3,0))="n.q.",NA(),INDEX(Data!$B$4:$L$947,MATCH(Graphs!$CK169,Data!$A$4:$A$947,0),MATCH(Graphs!CP$4,Data!$B$3:$L$3,0)))</f>
        <v>#N/A</v>
      </c>
      <c r="CQ169" s="5"/>
      <c r="CR169" s="24">
        <f t="array" ref="CR169">IF(INDEX(Data!$P$4:$Z$947,MATCH(Graphs!$CK169,Data!$A$4:$A$947,0),MATCH(Graphs!CR$4,Data!$P$3:$Z$3,0))="n.q.",NA(),INDEX(Data!$P$4:$Z$947,MATCH(Graphs!$CK169,Data!$A$4:$A$947,0),MATCH(Graphs!CR$4,Data!$P$3:$Z$3,0)))</f>
        <v>325.995996</v>
      </c>
      <c r="CS169" s="24">
        <f t="array" ref="CS169">IF(INDEX(Data!$P$4:$Z$947,MATCH(Graphs!$CK169,Data!$A$4:$A$947,0),MATCH(Graphs!CS$4,Data!$P$3:$Z$3,0))="n.q.",NA(),INDEX(Data!$P$4:$Z$947,MATCH(Graphs!$CK169,Data!$A$4:$A$947,0),MATCH(Graphs!CS$4,Data!$P$3:$Z$3,0)))</f>
        <v>347.79</v>
      </c>
      <c r="CT169" s="24">
        <f t="array" ref="CT169">IF(INDEX(Data!$P$4:$Z$947,MATCH(Graphs!$CK169,Data!$A$4:$A$947,0),MATCH(Graphs!CT$4,Data!$P$3:$Z$3,0))="n.q.",NA(),INDEX(Data!$P$4:$Z$947,MATCH(Graphs!$CK169,Data!$A$4:$A$947,0),MATCH(Graphs!CT$4,Data!$P$3:$Z$3,0)))</f>
        <v>264.2642643</v>
      </c>
      <c r="CU169" s="24" t="str">
        <f t="array" ref="CU169">IF(INDEX(Data!$P$4:$Z$947,MATCH(Graphs!$CK169,Data!$A$4:$A$947,0),MATCH(Graphs!CU$4,Data!$P$3:$Z$3,0))="n.q.",NA(),INDEX(Data!$P$4:$Z$947,MATCH(Graphs!$CK169,Data!$A$4:$A$947,0),MATCH(Graphs!CU$4,Data!$P$3:$Z$3,0)))</f>
        <v>#N/A</v>
      </c>
      <c r="CV169" s="24" t="str">
        <f t="array" ref="CV169">IF(INDEX(Data!$P$4:$Z$947,MATCH(Graphs!$CK169,Data!$A$4:$A$947,0),MATCH(Graphs!CV$4,Data!$P$3:$Z$3,0))="n.q.",NA(),INDEX(Data!$P$4:$Z$947,MATCH(Graphs!$CK169,Data!$A$4:$A$947,0),MATCH(Graphs!CV$4,Data!$P$3:$Z$3,0)))</f>
        <v>#N/A</v>
      </c>
    </row>
    <row r="170" ht="14.25" customHeight="1"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5"/>
      <c r="CK170" s="22">
        <f>Data!A169</f>
        <v>44811</v>
      </c>
      <c r="CL170" s="24">
        <f t="array" ref="CL170">IF(INDEX(Data!$B$4:$L$947,MATCH(Graphs!$CK170,Data!$A$4:$A$947,0),MATCH(Graphs!CL$4,Data!$B$3:$L$3,0))="n.q.",NA(),INDEX(Data!$B$4:$L$947,MATCH(Graphs!$CK170,Data!$A$4:$A$947,0),MATCH(Graphs!CL$4,Data!$B$3:$L$3,0)))</f>
        <v>335.55</v>
      </c>
      <c r="CM170" s="24">
        <f t="array" ref="CM170">IF(INDEX(Data!$B$4:$L$947,MATCH(Graphs!$CK170,Data!$A$4:$A$947,0),MATCH(Graphs!CM$4,Data!$B$3:$L$3,0))="n.q.",NA(),INDEX(Data!$B$4:$L$947,MATCH(Graphs!$CK170,Data!$A$4:$A$947,0),MATCH(Graphs!CM$4,Data!$B$3:$L$3,0)))</f>
        <v>395.55</v>
      </c>
      <c r="CN170" s="24">
        <f t="array" ref="CN170">IF(INDEX(Data!$B$4:$L$947,MATCH(Graphs!$CK170,Data!$A$4:$A$947,0),MATCH(Graphs!CN$4,Data!$B$3:$L$3,0))="n.q.",NA(),INDEX(Data!$B$4:$L$947,MATCH(Graphs!$CK170,Data!$A$4:$A$947,0),MATCH(Graphs!CN$4,Data!$B$3:$L$3,0)))</f>
        <v>266</v>
      </c>
      <c r="CO170" s="24" t="str">
        <f t="array" ref="CO170">IF(INDEX(Data!$B$4:$L$947,MATCH(Graphs!$CK170,Data!$A$4:$A$947,0),MATCH(Graphs!CO$4,Data!$B$3:$L$3,0))="n.q.",NA(),INDEX(Data!$B$4:$L$947,MATCH(Graphs!$CK170,Data!$A$4:$A$947,0),MATCH(Graphs!CO$4,Data!$B$3:$L$3,0)))</f>
        <v>#N/A</v>
      </c>
      <c r="CP170" s="24" t="str">
        <f t="array" ref="CP170">IF(INDEX(Data!$B$4:$L$947,MATCH(Graphs!$CK170,Data!$A$4:$A$947,0),MATCH(Graphs!CP$4,Data!$B$3:$L$3,0))="n.q.",NA(),INDEX(Data!$B$4:$L$947,MATCH(Graphs!$CK170,Data!$A$4:$A$947,0),MATCH(Graphs!CP$4,Data!$B$3:$L$3,0)))</f>
        <v>#N/A</v>
      </c>
      <c r="CQ170" s="5"/>
      <c r="CR170" s="24">
        <f t="array" ref="CR170">IF(INDEX(Data!$P$4:$Z$947,MATCH(Graphs!$CK170,Data!$A$4:$A$947,0),MATCH(Graphs!CR$4,Data!$P$3:$Z$3,0))="n.q.",NA(),INDEX(Data!$P$4:$Z$947,MATCH(Graphs!$CK170,Data!$A$4:$A$947,0),MATCH(Graphs!CR$4,Data!$P$3:$Z$3,0)))</f>
        <v>328.4673748</v>
      </c>
      <c r="CS170" s="24">
        <f t="array" ref="CS170">IF(INDEX(Data!$P$4:$Z$947,MATCH(Graphs!$CK170,Data!$A$4:$A$947,0),MATCH(Graphs!CS$4,Data!$P$3:$Z$3,0))="n.q.",NA(),INDEX(Data!$P$4:$Z$947,MATCH(Graphs!$CK170,Data!$A$4:$A$947,0),MATCH(Graphs!CS$4,Data!$P$3:$Z$3,0)))</f>
        <v>348.79</v>
      </c>
      <c r="CT170" s="24">
        <f t="array" ref="CT170">IF(INDEX(Data!$P$4:$Z$947,MATCH(Graphs!$CK170,Data!$A$4:$A$947,0),MATCH(Graphs!CT$4,Data!$P$3:$Z$3,0))="n.q.",NA(),INDEX(Data!$P$4:$Z$947,MATCH(Graphs!$CK170,Data!$A$4:$A$947,0),MATCH(Graphs!CT$4,Data!$P$3:$Z$3,0)))</f>
        <v>264.0364188</v>
      </c>
      <c r="CU170" s="24" t="str">
        <f t="array" ref="CU170">IF(INDEX(Data!$P$4:$Z$947,MATCH(Graphs!$CK170,Data!$A$4:$A$947,0),MATCH(Graphs!CU$4,Data!$P$3:$Z$3,0))="n.q.",NA(),INDEX(Data!$P$4:$Z$947,MATCH(Graphs!$CK170,Data!$A$4:$A$947,0),MATCH(Graphs!CU$4,Data!$P$3:$Z$3,0)))</f>
        <v>#N/A</v>
      </c>
      <c r="CV170" s="24" t="str">
        <f t="array" ref="CV170">IF(INDEX(Data!$P$4:$Z$947,MATCH(Graphs!$CK170,Data!$A$4:$A$947,0),MATCH(Graphs!CV$4,Data!$P$3:$Z$3,0))="n.q.",NA(),INDEX(Data!$P$4:$Z$947,MATCH(Graphs!$CK170,Data!$A$4:$A$947,0),MATCH(Graphs!CV$4,Data!$P$3:$Z$3,0)))</f>
        <v>#N/A</v>
      </c>
    </row>
    <row r="171" ht="14.25" customHeight="1"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5"/>
      <c r="CK171" s="22">
        <f>Data!A170</f>
        <v>44804</v>
      </c>
      <c r="CL171" s="24">
        <f t="array" ref="CL171">IF(INDEX(Data!$B$4:$L$947,MATCH(Graphs!$CK171,Data!$A$4:$A$947,0),MATCH(Graphs!CL$4,Data!$B$3:$L$3,0))="n.q.",NA(),INDEX(Data!$B$4:$L$947,MATCH(Graphs!$CK171,Data!$A$4:$A$947,0),MATCH(Graphs!CL$4,Data!$B$3:$L$3,0)))</f>
        <v>340.81</v>
      </c>
      <c r="CM171" s="24">
        <f t="array" ref="CM171">IF(INDEX(Data!$B$4:$L$947,MATCH(Graphs!$CK171,Data!$A$4:$A$947,0),MATCH(Graphs!CM$4,Data!$B$3:$L$3,0))="n.q.",NA(),INDEX(Data!$B$4:$L$947,MATCH(Graphs!$CK171,Data!$A$4:$A$947,0),MATCH(Graphs!CM$4,Data!$B$3:$L$3,0)))</f>
        <v>403.91</v>
      </c>
      <c r="CN171" s="24" t="str">
        <f t="array" ref="CN171">IF(INDEX(Data!$B$4:$L$947,MATCH(Graphs!$CK171,Data!$A$4:$A$947,0),MATCH(Graphs!CN$4,Data!$B$3:$L$3,0))="n.q.",NA(),INDEX(Data!$B$4:$L$947,MATCH(Graphs!$CK171,Data!$A$4:$A$947,0),MATCH(Graphs!CN$4,Data!$B$3:$L$3,0)))</f>
        <v>#N/A</v>
      </c>
      <c r="CO171" s="24" t="str">
        <f t="array" ref="CO171">IF(INDEX(Data!$B$4:$L$947,MATCH(Graphs!$CK171,Data!$A$4:$A$947,0),MATCH(Graphs!CO$4,Data!$B$3:$L$3,0))="n.q.",NA(),INDEX(Data!$B$4:$L$947,MATCH(Graphs!$CK171,Data!$A$4:$A$947,0),MATCH(Graphs!CO$4,Data!$B$3:$L$3,0)))</f>
        <v>#N/A</v>
      </c>
      <c r="CP171" s="24" t="str">
        <f t="array" ref="CP171">IF(INDEX(Data!$B$4:$L$947,MATCH(Graphs!$CK171,Data!$A$4:$A$947,0),MATCH(Graphs!CP$4,Data!$B$3:$L$3,0))="n.q.",NA(),INDEX(Data!$B$4:$L$947,MATCH(Graphs!$CK171,Data!$A$4:$A$947,0),MATCH(Graphs!CP$4,Data!$B$3:$L$3,0)))</f>
        <v>#N/A</v>
      </c>
      <c r="CQ171" s="5"/>
      <c r="CR171" s="24">
        <f t="array" ref="CR171">IF(INDEX(Data!$P$4:$Z$947,MATCH(Graphs!$CK171,Data!$A$4:$A$947,0),MATCH(Graphs!CR$4,Data!$P$3:$Z$3,0))="n.q.",NA(),INDEX(Data!$P$4:$Z$947,MATCH(Graphs!$CK171,Data!$A$4:$A$947,0),MATCH(Graphs!CR$4,Data!$P$3:$Z$3,0)))</f>
        <v>322.33</v>
      </c>
      <c r="CS171" s="24">
        <f t="array" ref="CS171">IF(INDEX(Data!$P$4:$Z$947,MATCH(Graphs!$CK171,Data!$A$4:$A$947,0),MATCH(Graphs!CS$4,Data!$P$3:$Z$3,0))="n.q.",NA(),INDEX(Data!$P$4:$Z$947,MATCH(Graphs!$CK171,Data!$A$4:$A$947,0),MATCH(Graphs!CS$4,Data!$P$3:$Z$3,0)))</f>
        <v>339.79</v>
      </c>
      <c r="CT171" s="24" t="str">
        <f t="array" ref="CT171">IF(INDEX(Data!$P$4:$Z$947,MATCH(Graphs!$CK171,Data!$A$4:$A$947,0),MATCH(Graphs!CT$4,Data!$P$3:$Z$3,0))="n.q.",NA(),INDEX(Data!$P$4:$Z$947,MATCH(Graphs!$CK171,Data!$A$4:$A$947,0),MATCH(Graphs!CT$4,Data!$P$3:$Z$3,0)))</f>
        <v>#N/A</v>
      </c>
      <c r="CU171" s="24" t="str">
        <f t="array" ref="CU171">IF(INDEX(Data!$P$4:$Z$947,MATCH(Graphs!$CK171,Data!$A$4:$A$947,0),MATCH(Graphs!CU$4,Data!$P$3:$Z$3,0))="n.q.",NA(),INDEX(Data!$P$4:$Z$947,MATCH(Graphs!$CK171,Data!$A$4:$A$947,0),MATCH(Graphs!CU$4,Data!$P$3:$Z$3,0)))</f>
        <v>#N/A</v>
      </c>
      <c r="CV171" s="24" t="str">
        <f t="array" ref="CV171">IF(INDEX(Data!$P$4:$Z$947,MATCH(Graphs!$CK171,Data!$A$4:$A$947,0),MATCH(Graphs!CV$4,Data!$P$3:$Z$3,0))="n.q.",NA(),INDEX(Data!$P$4:$Z$947,MATCH(Graphs!$CK171,Data!$A$4:$A$947,0),MATCH(Graphs!CV$4,Data!$P$3:$Z$3,0)))</f>
        <v>#N/A</v>
      </c>
    </row>
    <row r="172" ht="14.25" customHeight="1"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5"/>
      <c r="CK172" s="22">
        <f>Data!A171</f>
        <v>44797</v>
      </c>
      <c r="CL172" s="24">
        <f t="array" ref="CL172">IF(INDEX(Data!$B$4:$L$947,MATCH(Graphs!$CK172,Data!$A$4:$A$947,0),MATCH(Graphs!CL$4,Data!$B$3:$L$3,0))="n.q.",NA(),INDEX(Data!$B$4:$L$947,MATCH(Graphs!$CK172,Data!$A$4:$A$947,0),MATCH(Graphs!CL$4,Data!$B$3:$L$3,0)))</f>
        <v>333.6</v>
      </c>
      <c r="CM172" s="24">
        <f t="array" ref="CM172">IF(INDEX(Data!$B$4:$L$947,MATCH(Graphs!$CK172,Data!$A$4:$A$947,0),MATCH(Graphs!CM$4,Data!$B$3:$L$3,0))="n.q.",NA(),INDEX(Data!$B$4:$L$947,MATCH(Graphs!$CK172,Data!$A$4:$A$947,0),MATCH(Graphs!CM$4,Data!$B$3:$L$3,0)))</f>
        <v>396.56</v>
      </c>
      <c r="CN172" s="24" t="str">
        <f t="array" ref="CN172">IF(INDEX(Data!$B$4:$L$947,MATCH(Graphs!$CK172,Data!$A$4:$A$947,0),MATCH(Graphs!CN$4,Data!$B$3:$L$3,0))="n.q.",NA(),INDEX(Data!$B$4:$L$947,MATCH(Graphs!$CK172,Data!$A$4:$A$947,0),MATCH(Graphs!CN$4,Data!$B$3:$L$3,0)))</f>
        <v>#N/A</v>
      </c>
      <c r="CO172" s="24" t="str">
        <f t="array" ref="CO172">IF(INDEX(Data!$B$4:$L$947,MATCH(Graphs!$CK172,Data!$A$4:$A$947,0),MATCH(Graphs!CO$4,Data!$B$3:$L$3,0))="n.q.",NA(),INDEX(Data!$B$4:$L$947,MATCH(Graphs!$CK172,Data!$A$4:$A$947,0),MATCH(Graphs!CO$4,Data!$B$3:$L$3,0)))</f>
        <v>#N/A</v>
      </c>
      <c r="CP172" s="24" t="str">
        <f t="array" ref="CP172">IF(INDEX(Data!$B$4:$L$947,MATCH(Graphs!$CK172,Data!$A$4:$A$947,0),MATCH(Graphs!CP$4,Data!$B$3:$L$3,0))="n.q.",NA(),INDEX(Data!$B$4:$L$947,MATCH(Graphs!$CK172,Data!$A$4:$A$947,0),MATCH(Graphs!CP$4,Data!$B$3:$L$3,0)))</f>
        <v>#N/A</v>
      </c>
      <c r="CQ172" s="5"/>
      <c r="CR172" s="24">
        <f t="array" ref="CR172">IF(INDEX(Data!$P$4:$Z$947,MATCH(Graphs!$CK172,Data!$A$4:$A$947,0),MATCH(Graphs!CR$4,Data!$P$3:$Z$3,0))="n.q.",NA(),INDEX(Data!$P$4:$Z$947,MATCH(Graphs!$CK172,Data!$A$4:$A$947,0),MATCH(Graphs!CR$4,Data!$P$3:$Z$3,0)))</f>
        <v>318.5222468</v>
      </c>
      <c r="CS172" s="24" t="str">
        <f t="array" ref="CS172">IF(INDEX(Data!$P$4:$Z$947,MATCH(Graphs!$CK172,Data!$A$4:$A$947,0),MATCH(Graphs!CS$4,Data!$P$3:$Z$3,0))="n.q.",NA(),INDEX(Data!$P$4:$Z$947,MATCH(Graphs!$CK172,Data!$A$4:$A$947,0),MATCH(Graphs!CS$4,Data!$P$3:$Z$3,0)))</f>
        <v>#N/A</v>
      </c>
      <c r="CT172" s="24" t="str">
        <f t="array" ref="CT172">IF(INDEX(Data!$P$4:$Z$947,MATCH(Graphs!$CK172,Data!$A$4:$A$947,0),MATCH(Graphs!CT$4,Data!$P$3:$Z$3,0))="n.q.",NA(),INDEX(Data!$P$4:$Z$947,MATCH(Graphs!$CK172,Data!$A$4:$A$947,0),MATCH(Graphs!CT$4,Data!$P$3:$Z$3,0)))</f>
        <v>#N/A</v>
      </c>
      <c r="CU172" s="24" t="str">
        <f t="array" ref="CU172">IF(INDEX(Data!$P$4:$Z$947,MATCH(Graphs!$CK172,Data!$A$4:$A$947,0),MATCH(Graphs!CU$4,Data!$P$3:$Z$3,0))="n.q.",NA(),INDEX(Data!$P$4:$Z$947,MATCH(Graphs!$CK172,Data!$A$4:$A$947,0),MATCH(Graphs!CU$4,Data!$P$3:$Z$3,0)))</f>
        <v>#N/A</v>
      </c>
      <c r="CV172" s="24" t="str">
        <f t="array" ref="CV172">IF(INDEX(Data!$P$4:$Z$947,MATCH(Graphs!$CK172,Data!$A$4:$A$947,0),MATCH(Graphs!CV$4,Data!$P$3:$Z$3,0))="n.q.",NA(),INDEX(Data!$P$4:$Z$947,MATCH(Graphs!$CK172,Data!$A$4:$A$947,0),MATCH(Graphs!CV$4,Data!$P$3:$Z$3,0)))</f>
        <v>#N/A</v>
      </c>
    </row>
    <row r="173" ht="14.25" customHeight="1"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5"/>
      <c r="CK173" s="22">
        <f>Data!A172</f>
        <v>44790</v>
      </c>
      <c r="CL173" s="24">
        <f t="array" ref="CL173">IF(INDEX(Data!$B$4:$L$947,MATCH(Graphs!$CK173,Data!$A$4:$A$947,0),MATCH(Graphs!CL$4,Data!$B$3:$L$3,0))="n.q.",NA(),INDEX(Data!$B$4:$L$947,MATCH(Graphs!$CK173,Data!$A$4:$A$947,0),MATCH(Graphs!CL$4,Data!$B$3:$L$3,0)))</f>
        <v>336.01</v>
      </c>
      <c r="CM173" s="24">
        <f t="array" ref="CM173">IF(INDEX(Data!$B$4:$L$947,MATCH(Graphs!$CK173,Data!$A$4:$A$947,0),MATCH(Graphs!CM$4,Data!$B$3:$L$3,0))="n.q.",NA(),INDEX(Data!$B$4:$L$947,MATCH(Graphs!$CK173,Data!$A$4:$A$947,0),MATCH(Graphs!CM$4,Data!$B$3:$L$3,0)))</f>
        <v>376.99</v>
      </c>
      <c r="CN173" s="24" t="str">
        <f t="array" ref="CN173">IF(INDEX(Data!$B$4:$L$947,MATCH(Graphs!$CK173,Data!$A$4:$A$947,0),MATCH(Graphs!CN$4,Data!$B$3:$L$3,0))="n.q.",NA(),INDEX(Data!$B$4:$L$947,MATCH(Graphs!$CK173,Data!$A$4:$A$947,0),MATCH(Graphs!CN$4,Data!$B$3:$L$3,0)))</f>
        <v>#N/A</v>
      </c>
      <c r="CO173" s="24" t="str">
        <f t="array" ref="CO173">IF(INDEX(Data!$B$4:$L$947,MATCH(Graphs!$CK173,Data!$A$4:$A$947,0),MATCH(Graphs!CO$4,Data!$B$3:$L$3,0))="n.q.",NA(),INDEX(Data!$B$4:$L$947,MATCH(Graphs!$CK173,Data!$A$4:$A$947,0),MATCH(Graphs!CO$4,Data!$B$3:$L$3,0)))</f>
        <v>#N/A</v>
      </c>
      <c r="CP173" s="24" t="str">
        <f t="array" ref="CP173">IF(INDEX(Data!$B$4:$L$947,MATCH(Graphs!$CK173,Data!$A$4:$A$947,0),MATCH(Graphs!CP$4,Data!$B$3:$L$3,0))="n.q.",NA(),INDEX(Data!$B$4:$L$947,MATCH(Graphs!$CK173,Data!$A$4:$A$947,0),MATCH(Graphs!CP$4,Data!$B$3:$L$3,0)))</f>
        <v>#N/A</v>
      </c>
      <c r="CQ173" s="5"/>
      <c r="CR173" s="24">
        <f t="array" ref="CR173">IF(INDEX(Data!$P$4:$Z$947,MATCH(Graphs!$CK173,Data!$A$4:$A$947,0),MATCH(Graphs!CR$4,Data!$P$3:$Z$3,0))="n.q.",NA(),INDEX(Data!$P$4:$Z$947,MATCH(Graphs!$CK173,Data!$A$4:$A$947,0),MATCH(Graphs!CR$4,Data!$P$3:$Z$3,0)))</f>
        <v>292.4340811</v>
      </c>
      <c r="CS173" s="24" t="str">
        <f t="array" ref="CS173">IF(INDEX(Data!$P$4:$Z$947,MATCH(Graphs!$CK173,Data!$A$4:$A$947,0),MATCH(Graphs!CS$4,Data!$P$3:$Z$3,0))="n.q.",NA(),INDEX(Data!$P$4:$Z$947,MATCH(Graphs!$CK173,Data!$A$4:$A$947,0),MATCH(Graphs!CS$4,Data!$P$3:$Z$3,0)))</f>
        <v>#N/A</v>
      </c>
      <c r="CT173" s="24" t="str">
        <f t="array" ref="CT173">IF(INDEX(Data!$P$4:$Z$947,MATCH(Graphs!$CK173,Data!$A$4:$A$947,0),MATCH(Graphs!CT$4,Data!$P$3:$Z$3,0))="n.q.",NA(),INDEX(Data!$P$4:$Z$947,MATCH(Graphs!$CK173,Data!$A$4:$A$947,0),MATCH(Graphs!CT$4,Data!$P$3:$Z$3,0)))</f>
        <v>#N/A</v>
      </c>
      <c r="CU173" s="24" t="str">
        <f t="array" ref="CU173">IF(INDEX(Data!$P$4:$Z$947,MATCH(Graphs!$CK173,Data!$A$4:$A$947,0),MATCH(Graphs!CU$4,Data!$P$3:$Z$3,0))="n.q.",NA(),INDEX(Data!$P$4:$Z$947,MATCH(Graphs!$CK173,Data!$A$4:$A$947,0),MATCH(Graphs!CU$4,Data!$P$3:$Z$3,0)))</f>
        <v>#N/A</v>
      </c>
      <c r="CV173" s="24" t="str">
        <f t="array" ref="CV173">IF(INDEX(Data!$P$4:$Z$947,MATCH(Graphs!$CK173,Data!$A$4:$A$947,0),MATCH(Graphs!CV$4,Data!$P$3:$Z$3,0))="n.q.",NA(),INDEX(Data!$P$4:$Z$947,MATCH(Graphs!$CK173,Data!$A$4:$A$947,0),MATCH(Graphs!CV$4,Data!$P$3:$Z$3,0)))</f>
        <v>#N/A</v>
      </c>
    </row>
    <row r="174" ht="14.25" customHeight="1"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5"/>
      <c r="CK174" s="22">
        <f>Data!A173</f>
        <v>44783</v>
      </c>
      <c r="CL174" s="24">
        <f t="array" ref="CL174">IF(INDEX(Data!$B$4:$L$947,MATCH(Graphs!$CK174,Data!$A$4:$A$947,0),MATCH(Graphs!CL$4,Data!$B$3:$L$3,0))="n.q.",NA(),INDEX(Data!$B$4:$L$947,MATCH(Graphs!$CK174,Data!$A$4:$A$947,0),MATCH(Graphs!CL$4,Data!$B$3:$L$3,0)))</f>
        <v>356.16</v>
      </c>
      <c r="CM174" s="24">
        <f t="array" ref="CM174">IF(INDEX(Data!$B$4:$L$947,MATCH(Graphs!$CK174,Data!$A$4:$A$947,0),MATCH(Graphs!CM$4,Data!$B$3:$L$3,0))="n.q.",NA(),INDEX(Data!$B$4:$L$947,MATCH(Graphs!$CK174,Data!$A$4:$A$947,0),MATCH(Graphs!CM$4,Data!$B$3:$L$3,0)))</f>
        <v>381.31</v>
      </c>
      <c r="CN174" s="24" t="str">
        <f t="array" ref="CN174">IF(INDEX(Data!$B$4:$L$947,MATCH(Graphs!$CK174,Data!$A$4:$A$947,0),MATCH(Graphs!CN$4,Data!$B$3:$L$3,0))="n.q.",NA(),INDEX(Data!$B$4:$L$947,MATCH(Graphs!$CK174,Data!$A$4:$A$947,0),MATCH(Graphs!CN$4,Data!$B$3:$L$3,0)))</f>
        <v>#N/A</v>
      </c>
      <c r="CO174" s="24" t="str">
        <f t="array" ref="CO174">IF(INDEX(Data!$B$4:$L$947,MATCH(Graphs!$CK174,Data!$A$4:$A$947,0),MATCH(Graphs!CO$4,Data!$B$3:$L$3,0))="n.q.",NA(),INDEX(Data!$B$4:$L$947,MATCH(Graphs!$CK174,Data!$A$4:$A$947,0),MATCH(Graphs!CO$4,Data!$B$3:$L$3,0)))</f>
        <v>#N/A</v>
      </c>
      <c r="CP174" s="24" t="str">
        <f t="array" ref="CP174">IF(INDEX(Data!$B$4:$L$947,MATCH(Graphs!$CK174,Data!$A$4:$A$947,0),MATCH(Graphs!CP$4,Data!$B$3:$L$3,0))="n.q.",NA(),INDEX(Data!$B$4:$L$947,MATCH(Graphs!$CK174,Data!$A$4:$A$947,0),MATCH(Graphs!CP$4,Data!$B$3:$L$3,0)))</f>
        <v>#N/A</v>
      </c>
      <c r="CQ174" s="5"/>
      <c r="CR174" s="24">
        <f t="array" ref="CR174">IF(INDEX(Data!$P$4:$Z$947,MATCH(Graphs!$CK174,Data!$A$4:$A$947,0),MATCH(Graphs!CR$4,Data!$P$3:$Z$3,0))="n.q.",NA(),INDEX(Data!$P$4:$Z$947,MATCH(Graphs!$CK174,Data!$A$4:$A$947,0),MATCH(Graphs!CR$4,Data!$P$3:$Z$3,0)))</f>
        <v>294.2450254</v>
      </c>
      <c r="CS174" s="24">
        <f t="array" ref="CS174">IF(INDEX(Data!$P$4:$Z$947,MATCH(Graphs!$CK174,Data!$A$4:$A$947,0),MATCH(Graphs!CS$4,Data!$P$3:$Z$3,0))="n.q.",NA(),INDEX(Data!$P$4:$Z$947,MATCH(Graphs!$CK174,Data!$A$4:$A$947,0),MATCH(Graphs!CS$4,Data!$P$3:$Z$3,0)))</f>
        <v>354.79</v>
      </c>
      <c r="CT174" s="24" t="str">
        <f t="array" ref="CT174">IF(INDEX(Data!$P$4:$Z$947,MATCH(Graphs!$CK174,Data!$A$4:$A$947,0),MATCH(Graphs!CT$4,Data!$P$3:$Z$3,0))="n.q.",NA(),INDEX(Data!$P$4:$Z$947,MATCH(Graphs!$CK174,Data!$A$4:$A$947,0),MATCH(Graphs!CT$4,Data!$P$3:$Z$3,0)))</f>
        <v>#N/A</v>
      </c>
      <c r="CU174" s="24" t="str">
        <f t="array" ref="CU174">IF(INDEX(Data!$P$4:$Z$947,MATCH(Graphs!$CK174,Data!$A$4:$A$947,0),MATCH(Graphs!CU$4,Data!$P$3:$Z$3,0))="n.q.",NA(),INDEX(Data!$P$4:$Z$947,MATCH(Graphs!$CK174,Data!$A$4:$A$947,0),MATCH(Graphs!CU$4,Data!$P$3:$Z$3,0)))</f>
        <v>#N/A</v>
      </c>
      <c r="CV174" s="24" t="str">
        <f t="array" ref="CV174">IF(INDEX(Data!$P$4:$Z$947,MATCH(Graphs!$CK174,Data!$A$4:$A$947,0),MATCH(Graphs!CV$4,Data!$P$3:$Z$3,0))="n.q.",NA(),INDEX(Data!$P$4:$Z$947,MATCH(Graphs!$CK174,Data!$A$4:$A$947,0),MATCH(Graphs!CV$4,Data!$P$3:$Z$3,0)))</f>
        <v>#N/A</v>
      </c>
    </row>
    <row r="175" ht="14.25" customHeight="1"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5"/>
      <c r="CK175" s="22">
        <f>Data!A174</f>
        <v>44776</v>
      </c>
      <c r="CL175" s="24">
        <f t="array" ref="CL175">IF(INDEX(Data!$B$4:$L$947,MATCH(Graphs!$CK175,Data!$A$4:$A$947,0),MATCH(Graphs!CL$4,Data!$B$3:$L$3,0))="n.q.",NA(),INDEX(Data!$B$4:$L$947,MATCH(Graphs!$CK175,Data!$A$4:$A$947,0),MATCH(Graphs!CL$4,Data!$B$3:$L$3,0)))</f>
        <v>349.66</v>
      </c>
      <c r="CM175" s="24">
        <f t="array" ref="CM175">IF(INDEX(Data!$B$4:$L$947,MATCH(Graphs!$CK175,Data!$A$4:$A$947,0),MATCH(Graphs!CM$4,Data!$B$3:$L$3,0))="n.q.",NA(),INDEX(Data!$B$4:$L$947,MATCH(Graphs!$CK175,Data!$A$4:$A$947,0),MATCH(Graphs!CM$4,Data!$B$3:$L$3,0)))</f>
        <v>367.62</v>
      </c>
      <c r="CN175" s="24" t="str">
        <f t="array" ref="CN175">IF(INDEX(Data!$B$4:$L$947,MATCH(Graphs!$CK175,Data!$A$4:$A$947,0),MATCH(Graphs!CN$4,Data!$B$3:$L$3,0))="n.q.",NA(),INDEX(Data!$B$4:$L$947,MATCH(Graphs!$CK175,Data!$A$4:$A$947,0),MATCH(Graphs!CN$4,Data!$B$3:$L$3,0)))</f>
        <v>#N/A</v>
      </c>
      <c r="CO175" s="24" t="str">
        <f t="array" ref="CO175">IF(INDEX(Data!$B$4:$L$947,MATCH(Graphs!$CK175,Data!$A$4:$A$947,0),MATCH(Graphs!CO$4,Data!$B$3:$L$3,0))="n.q.",NA(),INDEX(Data!$B$4:$L$947,MATCH(Graphs!$CK175,Data!$A$4:$A$947,0),MATCH(Graphs!CO$4,Data!$B$3:$L$3,0)))</f>
        <v>#N/A</v>
      </c>
      <c r="CP175" s="24" t="str">
        <f t="array" ref="CP175">IF(INDEX(Data!$B$4:$L$947,MATCH(Graphs!$CK175,Data!$A$4:$A$947,0),MATCH(Graphs!CP$4,Data!$B$3:$L$3,0))="n.q.",NA(),INDEX(Data!$B$4:$L$947,MATCH(Graphs!$CK175,Data!$A$4:$A$947,0),MATCH(Graphs!CP$4,Data!$B$3:$L$3,0)))</f>
        <v>#N/A</v>
      </c>
      <c r="CQ175" s="5"/>
      <c r="CR175" s="24">
        <f t="array" ref="CR175">IF(INDEX(Data!$P$4:$Z$947,MATCH(Graphs!$CK175,Data!$A$4:$A$947,0),MATCH(Graphs!CR$4,Data!$P$3:$Z$3,0))="n.q.",NA(),INDEX(Data!$P$4:$Z$947,MATCH(Graphs!$CK175,Data!$A$4:$A$947,0),MATCH(Graphs!CR$4,Data!$P$3:$Z$3,0)))</f>
        <v>288.2872278</v>
      </c>
      <c r="CS175" s="24" t="str">
        <f t="array" ref="CS175">IF(INDEX(Data!$P$4:$Z$947,MATCH(Graphs!$CK175,Data!$A$4:$A$947,0),MATCH(Graphs!CS$4,Data!$P$3:$Z$3,0))="n.q.",NA(),INDEX(Data!$P$4:$Z$947,MATCH(Graphs!$CK175,Data!$A$4:$A$947,0),MATCH(Graphs!CS$4,Data!$P$3:$Z$3,0)))</f>
        <v>#N/A</v>
      </c>
      <c r="CT175" s="24" t="str">
        <f t="array" ref="CT175">IF(INDEX(Data!$P$4:$Z$947,MATCH(Graphs!$CK175,Data!$A$4:$A$947,0),MATCH(Graphs!CT$4,Data!$P$3:$Z$3,0))="n.q.",NA(),INDEX(Data!$P$4:$Z$947,MATCH(Graphs!$CK175,Data!$A$4:$A$947,0),MATCH(Graphs!CT$4,Data!$P$3:$Z$3,0)))</f>
        <v>#N/A</v>
      </c>
      <c r="CU175" s="24" t="str">
        <f t="array" ref="CU175">IF(INDEX(Data!$P$4:$Z$947,MATCH(Graphs!$CK175,Data!$A$4:$A$947,0),MATCH(Graphs!CU$4,Data!$P$3:$Z$3,0))="n.q.",NA(),INDEX(Data!$P$4:$Z$947,MATCH(Graphs!$CK175,Data!$A$4:$A$947,0),MATCH(Graphs!CU$4,Data!$P$3:$Z$3,0)))</f>
        <v>#N/A</v>
      </c>
      <c r="CV175" s="24" t="str">
        <f t="array" ref="CV175">IF(INDEX(Data!$P$4:$Z$947,MATCH(Graphs!$CK175,Data!$A$4:$A$947,0),MATCH(Graphs!CV$4,Data!$P$3:$Z$3,0))="n.q.",NA(),INDEX(Data!$P$4:$Z$947,MATCH(Graphs!$CK175,Data!$A$4:$A$947,0),MATCH(Graphs!CV$4,Data!$P$3:$Z$3,0)))</f>
        <v>#N/A</v>
      </c>
    </row>
    <row r="176" ht="14.25" customHeight="1"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5"/>
      <c r="CK176" s="22">
        <f>Data!A175</f>
        <v>44769</v>
      </c>
      <c r="CL176" s="24">
        <f t="array" ref="CL176">IF(INDEX(Data!$B$4:$L$947,MATCH(Graphs!$CK176,Data!$A$4:$A$947,0),MATCH(Graphs!CL$4,Data!$B$3:$L$3,0))="n.q.",NA(),INDEX(Data!$B$4:$L$947,MATCH(Graphs!$CK176,Data!$A$4:$A$947,0),MATCH(Graphs!CL$4,Data!$B$3:$L$3,0)))</f>
        <v>353.4</v>
      </c>
      <c r="CM176" s="24">
        <f t="array" ref="CM176">IF(INDEX(Data!$B$4:$L$947,MATCH(Graphs!$CK176,Data!$A$4:$A$947,0),MATCH(Graphs!CM$4,Data!$B$3:$L$3,0))="n.q.",NA(),INDEX(Data!$B$4:$L$947,MATCH(Graphs!$CK176,Data!$A$4:$A$947,0),MATCH(Graphs!CM$4,Data!$B$3:$L$3,0)))</f>
        <v>379.1</v>
      </c>
      <c r="CN176" s="24" t="str">
        <f t="array" ref="CN176">IF(INDEX(Data!$B$4:$L$947,MATCH(Graphs!$CK176,Data!$A$4:$A$947,0),MATCH(Graphs!CN$4,Data!$B$3:$L$3,0))="n.q.",NA(),INDEX(Data!$B$4:$L$947,MATCH(Graphs!$CK176,Data!$A$4:$A$947,0),MATCH(Graphs!CN$4,Data!$B$3:$L$3,0)))</f>
        <v>#N/A</v>
      </c>
      <c r="CO176" s="24" t="str">
        <f t="array" ref="CO176">IF(INDEX(Data!$B$4:$L$947,MATCH(Graphs!$CK176,Data!$A$4:$A$947,0),MATCH(Graphs!CO$4,Data!$B$3:$L$3,0))="n.q.",NA(),INDEX(Data!$B$4:$L$947,MATCH(Graphs!$CK176,Data!$A$4:$A$947,0),MATCH(Graphs!CO$4,Data!$B$3:$L$3,0)))</f>
        <v>#N/A</v>
      </c>
      <c r="CP176" s="24" t="str">
        <f t="array" ref="CP176">IF(INDEX(Data!$B$4:$L$947,MATCH(Graphs!$CK176,Data!$A$4:$A$947,0),MATCH(Graphs!CP$4,Data!$B$3:$L$3,0))="n.q.",NA(),INDEX(Data!$B$4:$L$947,MATCH(Graphs!$CK176,Data!$A$4:$A$947,0),MATCH(Graphs!CP$4,Data!$B$3:$L$3,0)))</f>
        <v>#N/A</v>
      </c>
      <c r="CQ176" s="5"/>
      <c r="CR176" s="24">
        <f t="array" ref="CR176">IF(INDEX(Data!$P$4:$Z$947,MATCH(Graphs!$CK176,Data!$A$4:$A$947,0),MATCH(Graphs!CR$4,Data!$P$3:$Z$3,0))="n.q.",NA(),INDEX(Data!$P$4:$Z$947,MATCH(Graphs!$CK176,Data!$A$4:$A$947,0),MATCH(Graphs!CR$4,Data!$P$3:$Z$3,0)))</f>
        <v>298.6899133</v>
      </c>
      <c r="CS176" s="24">
        <f t="array" ref="CS176">IF(INDEX(Data!$P$4:$Z$947,MATCH(Graphs!$CK176,Data!$A$4:$A$947,0),MATCH(Graphs!CS$4,Data!$P$3:$Z$3,0))="n.q.",NA(),INDEX(Data!$P$4:$Z$947,MATCH(Graphs!$CK176,Data!$A$4:$A$947,0),MATCH(Graphs!CS$4,Data!$P$3:$Z$3,0)))</f>
        <v>363.66</v>
      </c>
      <c r="CT176" s="24" t="str">
        <f t="array" ref="CT176">IF(INDEX(Data!$P$4:$Z$947,MATCH(Graphs!$CK176,Data!$A$4:$A$947,0),MATCH(Graphs!CT$4,Data!$P$3:$Z$3,0))="n.q.",NA(),INDEX(Data!$P$4:$Z$947,MATCH(Graphs!$CK176,Data!$A$4:$A$947,0),MATCH(Graphs!CT$4,Data!$P$3:$Z$3,0)))</f>
        <v>#N/A</v>
      </c>
      <c r="CU176" s="24" t="str">
        <f t="array" ref="CU176">IF(INDEX(Data!$P$4:$Z$947,MATCH(Graphs!$CK176,Data!$A$4:$A$947,0),MATCH(Graphs!CU$4,Data!$P$3:$Z$3,0))="n.q.",NA(),INDEX(Data!$P$4:$Z$947,MATCH(Graphs!$CK176,Data!$A$4:$A$947,0),MATCH(Graphs!CU$4,Data!$P$3:$Z$3,0)))</f>
        <v>#N/A</v>
      </c>
      <c r="CV176" s="24" t="str">
        <f t="array" ref="CV176">IF(INDEX(Data!$P$4:$Z$947,MATCH(Graphs!$CK176,Data!$A$4:$A$947,0),MATCH(Graphs!CV$4,Data!$P$3:$Z$3,0))="n.q.",NA(),INDEX(Data!$P$4:$Z$947,MATCH(Graphs!$CK176,Data!$A$4:$A$947,0),MATCH(Graphs!CV$4,Data!$P$3:$Z$3,0)))</f>
        <v>#N/A</v>
      </c>
    </row>
    <row r="177" ht="14.25" customHeight="1"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5"/>
      <c r="CK177" s="22">
        <f>Data!A176</f>
        <v>44762</v>
      </c>
      <c r="CL177" s="24">
        <f t="array" ref="CL177">IF(INDEX(Data!$B$4:$L$947,MATCH(Graphs!$CK177,Data!$A$4:$A$947,0),MATCH(Graphs!CL$4,Data!$B$3:$L$3,0))="n.q.",NA(),INDEX(Data!$B$4:$L$947,MATCH(Graphs!$CK177,Data!$A$4:$A$947,0),MATCH(Graphs!CL$4,Data!$B$3:$L$3,0)))</f>
        <v>360.33</v>
      </c>
      <c r="CM177" s="24">
        <f t="array" ref="CM177">IF(INDEX(Data!$B$4:$L$947,MATCH(Graphs!$CK177,Data!$A$4:$A$947,0),MATCH(Graphs!CM$4,Data!$B$3:$L$3,0))="n.q.",NA(),INDEX(Data!$B$4:$L$947,MATCH(Graphs!$CK177,Data!$A$4:$A$947,0),MATCH(Graphs!CM$4,Data!$B$3:$L$3,0)))</f>
        <v>384.16</v>
      </c>
      <c r="CN177" s="24" t="str">
        <f t="array" ref="CN177">IF(INDEX(Data!$B$4:$L$947,MATCH(Graphs!$CK177,Data!$A$4:$A$947,0),MATCH(Graphs!CN$4,Data!$B$3:$L$3,0))="n.q.",NA(),INDEX(Data!$B$4:$L$947,MATCH(Graphs!$CK177,Data!$A$4:$A$947,0),MATCH(Graphs!CN$4,Data!$B$3:$L$3,0)))</f>
        <v>#N/A</v>
      </c>
      <c r="CO177" s="24" t="str">
        <f t="array" ref="CO177">IF(INDEX(Data!$B$4:$L$947,MATCH(Graphs!$CK177,Data!$A$4:$A$947,0),MATCH(Graphs!CO$4,Data!$B$3:$L$3,0))="n.q.",NA(),INDEX(Data!$B$4:$L$947,MATCH(Graphs!$CK177,Data!$A$4:$A$947,0),MATCH(Graphs!CO$4,Data!$B$3:$L$3,0)))</f>
        <v>#N/A</v>
      </c>
      <c r="CP177" s="24" t="str">
        <f t="array" ref="CP177">IF(INDEX(Data!$B$4:$L$947,MATCH(Graphs!$CK177,Data!$A$4:$A$947,0),MATCH(Graphs!CP$4,Data!$B$3:$L$3,0))="n.q.",NA(),INDEX(Data!$B$4:$L$947,MATCH(Graphs!$CK177,Data!$A$4:$A$947,0),MATCH(Graphs!CP$4,Data!$B$3:$L$3,0)))</f>
        <v>#N/A</v>
      </c>
      <c r="CQ177" s="5"/>
      <c r="CR177" s="24">
        <f t="array" ref="CR177">IF(INDEX(Data!$P$4:$Z$947,MATCH(Graphs!$CK177,Data!$A$4:$A$947,0),MATCH(Graphs!CR$4,Data!$P$3:$Z$3,0))="n.q.",NA(),INDEX(Data!$P$4:$Z$947,MATCH(Graphs!$CK177,Data!$A$4:$A$947,0),MATCH(Graphs!CR$4,Data!$P$3:$Z$3,0)))</f>
        <v>296.1564859</v>
      </c>
      <c r="CS177" s="24" t="str">
        <f t="array" ref="CS177">IF(INDEX(Data!$P$4:$Z$947,MATCH(Graphs!$CK177,Data!$A$4:$A$947,0),MATCH(Graphs!CS$4,Data!$P$3:$Z$3,0))="n.q.",NA(),INDEX(Data!$P$4:$Z$947,MATCH(Graphs!$CK177,Data!$A$4:$A$947,0),MATCH(Graphs!CS$4,Data!$P$3:$Z$3,0)))</f>
        <v>#N/A</v>
      </c>
      <c r="CT177" s="24" t="str">
        <f t="array" ref="CT177">IF(INDEX(Data!$P$4:$Z$947,MATCH(Graphs!$CK177,Data!$A$4:$A$947,0),MATCH(Graphs!CT$4,Data!$P$3:$Z$3,0))="n.q.",NA(),INDEX(Data!$P$4:$Z$947,MATCH(Graphs!$CK177,Data!$A$4:$A$947,0),MATCH(Graphs!CT$4,Data!$P$3:$Z$3,0)))</f>
        <v>#N/A</v>
      </c>
      <c r="CU177" s="24" t="str">
        <f t="array" ref="CU177">IF(INDEX(Data!$P$4:$Z$947,MATCH(Graphs!$CK177,Data!$A$4:$A$947,0),MATCH(Graphs!CU$4,Data!$P$3:$Z$3,0))="n.q.",NA(),INDEX(Data!$P$4:$Z$947,MATCH(Graphs!$CK177,Data!$A$4:$A$947,0),MATCH(Graphs!CU$4,Data!$P$3:$Z$3,0)))</f>
        <v>#N/A</v>
      </c>
      <c r="CV177" s="24" t="str">
        <f t="array" ref="CV177">IF(INDEX(Data!$P$4:$Z$947,MATCH(Graphs!$CK177,Data!$A$4:$A$947,0),MATCH(Graphs!CV$4,Data!$P$3:$Z$3,0))="n.q.",NA(),INDEX(Data!$P$4:$Z$947,MATCH(Graphs!$CK177,Data!$A$4:$A$947,0),MATCH(Graphs!CV$4,Data!$P$3:$Z$3,0)))</f>
        <v>#N/A</v>
      </c>
    </row>
    <row r="178" ht="14.25" customHeight="1"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5"/>
      <c r="CK178" s="22">
        <f>Data!A177</f>
        <v>44755</v>
      </c>
      <c r="CL178" s="24">
        <f t="array" ref="CL178">IF(INDEX(Data!$B$4:$L$947,MATCH(Graphs!$CK178,Data!$A$4:$A$947,0),MATCH(Graphs!CL$4,Data!$B$3:$L$3,0))="n.q.",NA(),INDEX(Data!$B$4:$L$947,MATCH(Graphs!$CK178,Data!$A$4:$A$947,0),MATCH(Graphs!CL$4,Data!$B$3:$L$3,0)))</f>
        <v>356.51</v>
      </c>
      <c r="CM178" s="24">
        <f t="array" ref="CM178">IF(INDEX(Data!$B$4:$L$947,MATCH(Graphs!$CK178,Data!$A$4:$A$947,0),MATCH(Graphs!CM$4,Data!$B$3:$L$3,0))="n.q.",NA(),INDEX(Data!$B$4:$L$947,MATCH(Graphs!$CK178,Data!$A$4:$A$947,0),MATCH(Graphs!CM$4,Data!$B$3:$L$3,0)))</f>
        <v>375.61</v>
      </c>
      <c r="CN178" s="24" t="str">
        <f t="array" ref="CN178">IF(INDEX(Data!$B$4:$L$947,MATCH(Graphs!$CK178,Data!$A$4:$A$947,0),MATCH(Graphs!CN$4,Data!$B$3:$L$3,0))="n.q.",NA(),INDEX(Data!$B$4:$L$947,MATCH(Graphs!$CK178,Data!$A$4:$A$947,0),MATCH(Graphs!CN$4,Data!$B$3:$L$3,0)))</f>
        <v>#N/A</v>
      </c>
      <c r="CO178" s="24" t="str">
        <f t="array" ref="CO178">IF(INDEX(Data!$B$4:$L$947,MATCH(Graphs!$CK178,Data!$A$4:$A$947,0),MATCH(Graphs!CO$4,Data!$B$3:$L$3,0))="n.q.",NA(),INDEX(Data!$B$4:$L$947,MATCH(Graphs!$CK178,Data!$A$4:$A$947,0),MATCH(Graphs!CO$4,Data!$B$3:$L$3,0)))</f>
        <v>#N/A</v>
      </c>
      <c r="CP178" s="24" t="str">
        <f t="array" ref="CP178">IF(INDEX(Data!$B$4:$L$947,MATCH(Graphs!$CK178,Data!$A$4:$A$947,0),MATCH(Graphs!CP$4,Data!$B$3:$L$3,0))="n.q.",NA(),INDEX(Data!$B$4:$L$947,MATCH(Graphs!$CK178,Data!$A$4:$A$947,0),MATCH(Graphs!CP$4,Data!$B$3:$L$3,0)))</f>
        <v>#N/A</v>
      </c>
      <c r="CQ178" s="5"/>
      <c r="CR178" s="24">
        <f t="array" ref="CR178">IF(INDEX(Data!$P$4:$Z$947,MATCH(Graphs!$CK178,Data!$A$4:$A$947,0),MATCH(Graphs!CR$4,Data!$P$3:$Z$3,0))="n.q.",NA(),INDEX(Data!$P$4:$Z$947,MATCH(Graphs!$CK178,Data!$A$4:$A$947,0),MATCH(Graphs!CR$4,Data!$P$3:$Z$3,0)))</f>
        <v>308.9401013</v>
      </c>
      <c r="CS178" s="24" t="str">
        <f t="array" ref="CS178">IF(INDEX(Data!$P$4:$Z$947,MATCH(Graphs!$CK178,Data!$A$4:$A$947,0),MATCH(Graphs!CS$4,Data!$P$3:$Z$3,0))="n.q.",NA(),INDEX(Data!$P$4:$Z$947,MATCH(Graphs!$CK178,Data!$A$4:$A$947,0),MATCH(Graphs!CS$4,Data!$P$3:$Z$3,0)))</f>
        <v>#N/A</v>
      </c>
      <c r="CT178" s="24" t="str">
        <f t="array" ref="CT178">IF(INDEX(Data!$P$4:$Z$947,MATCH(Graphs!$CK178,Data!$A$4:$A$947,0),MATCH(Graphs!CT$4,Data!$P$3:$Z$3,0))="n.q.",NA(),INDEX(Data!$P$4:$Z$947,MATCH(Graphs!$CK178,Data!$A$4:$A$947,0),MATCH(Graphs!CT$4,Data!$P$3:$Z$3,0)))</f>
        <v>#N/A</v>
      </c>
      <c r="CU178" s="24" t="str">
        <f t="array" ref="CU178">IF(INDEX(Data!$P$4:$Z$947,MATCH(Graphs!$CK178,Data!$A$4:$A$947,0),MATCH(Graphs!CU$4,Data!$P$3:$Z$3,0))="n.q.",NA(),INDEX(Data!$P$4:$Z$947,MATCH(Graphs!$CK178,Data!$A$4:$A$947,0),MATCH(Graphs!CU$4,Data!$P$3:$Z$3,0)))</f>
        <v>#N/A</v>
      </c>
      <c r="CV178" s="24" t="str">
        <f t="array" ref="CV178">IF(INDEX(Data!$P$4:$Z$947,MATCH(Graphs!$CK178,Data!$A$4:$A$947,0),MATCH(Graphs!CV$4,Data!$P$3:$Z$3,0))="n.q.",NA(),INDEX(Data!$P$4:$Z$947,MATCH(Graphs!$CK178,Data!$A$4:$A$947,0),MATCH(Graphs!CV$4,Data!$P$3:$Z$3,0)))</f>
        <v>#N/A</v>
      </c>
    </row>
    <row r="179" ht="14.25" customHeight="1"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5"/>
      <c r="CK179" s="22">
        <f>Data!A178</f>
        <v>44748</v>
      </c>
      <c r="CL179" s="24">
        <f t="array" ref="CL179">IF(INDEX(Data!$B$4:$L$947,MATCH(Graphs!$CK179,Data!$A$4:$A$947,0),MATCH(Graphs!CL$4,Data!$B$3:$L$3,0))="n.q.",NA(),INDEX(Data!$B$4:$L$947,MATCH(Graphs!$CK179,Data!$A$4:$A$947,0),MATCH(Graphs!CL$4,Data!$B$3:$L$3,0)))</f>
        <v>344.48</v>
      </c>
      <c r="CM179" s="24">
        <f t="array" ref="CM179">IF(INDEX(Data!$B$4:$L$947,MATCH(Graphs!$CK179,Data!$A$4:$A$947,0),MATCH(Graphs!CM$4,Data!$B$3:$L$3,0))="n.q.",NA(),INDEX(Data!$B$4:$L$947,MATCH(Graphs!$CK179,Data!$A$4:$A$947,0),MATCH(Graphs!CM$4,Data!$B$3:$L$3,0)))</f>
        <v>372.67</v>
      </c>
      <c r="CN179" s="24" t="str">
        <f t="array" ref="CN179">IF(INDEX(Data!$B$4:$L$947,MATCH(Graphs!$CK179,Data!$A$4:$A$947,0),MATCH(Graphs!CN$4,Data!$B$3:$L$3,0))="n.q.",NA(),INDEX(Data!$B$4:$L$947,MATCH(Graphs!$CK179,Data!$A$4:$A$947,0),MATCH(Graphs!CN$4,Data!$B$3:$L$3,0)))</f>
        <v>#N/A</v>
      </c>
      <c r="CO179" s="24" t="str">
        <f t="array" ref="CO179">IF(INDEX(Data!$B$4:$L$947,MATCH(Graphs!$CK179,Data!$A$4:$A$947,0),MATCH(Graphs!CO$4,Data!$B$3:$L$3,0))="n.q.",NA(),INDEX(Data!$B$4:$L$947,MATCH(Graphs!$CK179,Data!$A$4:$A$947,0),MATCH(Graphs!CO$4,Data!$B$3:$L$3,0)))</f>
        <v>#N/A</v>
      </c>
      <c r="CP179" s="24" t="str">
        <f t="array" ref="CP179">IF(INDEX(Data!$B$4:$L$947,MATCH(Graphs!$CK179,Data!$A$4:$A$947,0),MATCH(Graphs!CP$4,Data!$B$3:$L$3,0))="n.q.",NA(),INDEX(Data!$B$4:$L$947,MATCH(Graphs!$CK179,Data!$A$4:$A$947,0),MATCH(Graphs!CP$4,Data!$B$3:$L$3,0)))</f>
        <v>#N/A</v>
      </c>
      <c r="CQ179" s="5"/>
      <c r="CR179" s="24">
        <f t="array" ref="CR179">IF(INDEX(Data!$P$4:$Z$947,MATCH(Graphs!$CK179,Data!$A$4:$A$947,0),MATCH(Graphs!CR$4,Data!$P$3:$Z$3,0))="n.q.",NA(),INDEX(Data!$P$4:$Z$947,MATCH(Graphs!$CK179,Data!$A$4:$A$947,0),MATCH(Graphs!CR$4,Data!$P$3:$Z$3,0)))</f>
        <v>311.3098163</v>
      </c>
      <c r="CS179" s="24" t="str">
        <f t="array" ref="CS179">IF(INDEX(Data!$P$4:$Z$947,MATCH(Graphs!$CK179,Data!$A$4:$A$947,0),MATCH(Graphs!CS$4,Data!$P$3:$Z$3,0))="n.q.",NA(),INDEX(Data!$P$4:$Z$947,MATCH(Graphs!$CK179,Data!$A$4:$A$947,0),MATCH(Graphs!CS$4,Data!$P$3:$Z$3,0)))</f>
        <v>#N/A</v>
      </c>
      <c r="CT179" s="24" t="str">
        <f t="array" ref="CT179">IF(INDEX(Data!$P$4:$Z$947,MATCH(Graphs!$CK179,Data!$A$4:$A$947,0),MATCH(Graphs!CT$4,Data!$P$3:$Z$3,0))="n.q.",NA(),INDEX(Data!$P$4:$Z$947,MATCH(Graphs!$CK179,Data!$A$4:$A$947,0),MATCH(Graphs!CT$4,Data!$P$3:$Z$3,0)))</f>
        <v>#N/A</v>
      </c>
      <c r="CU179" s="24" t="str">
        <f t="array" ref="CU179">IF(INDEX(Data!$P$4:$Z$947,MATCH(Graphs!$CK179,Data!$A$4:$A$947,0),MATCH(Graphs!CU$4,Data!$P$3:$Z$3,0))="n.q.",NA(),INDEX(Data!$P$4:$Z$947,MATCH(Graphs!$CK179,Data!$A$4:$A$947,0),MATCH(Graphs!CU$4,Data!$P$3:$Z$3,0)))</f>
        <v>#N/A</v>
      </c>
      <c r="CV179" s="24" t="str">
        <f t="array" ref="CV179">IF(INDEX(Data!$P$4:$Z$947,MATCH(Graphs!$CK179,Data!$A$4:$A$947,0),MATCH(Graphs!CV$4,Data!$P$3:$Z$3,0))="n.q.",NA(),INDEX(Data!$P$4:$Z$947,MATCH(Graphs!$CK179,Data!$A$4:$A$947,0),MATCH(Graphs!CV$4,Data!$P$3:$Z$3,0)))</f>
        <v>#N/A</v>
      </c>
    </row>
    <row r="180" ht="14.25" customHeight="1"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5"/>
      <c r="CK180" s="22">
        <f>Data!A179</f>
        <v>44741</v>
      </c>
      <c r="CL180" s="24">
        <f t="array" ref="CL180">IF(INDEX(Data!$B$4:$L$947,MATCH(Graphs!$CK180,Data!$A$4:$A$947,0),MATCH(Graphs!CL$4,Data!$B$3:$L$3,0))="n.q.",NA(),INDEX(Data!$B$4:$L$947,MATCH(Graphs!$CK180,Data!$A$4:$A$947,0),MATCH(Graphs!CL$4,Data!$B$3:$L$3,0)))</f>
        <v>387.35</v>
      </c>
      <c r="CM180" s="24">
        <f t="array" ref="CM180">IF(INDEX(Data!$B$4:$L$947,MATCH(Graphs!$CK180,Data!$A$4:$A$947,0),MATCH(Graphs!CM$4,Data!$B$3:$L$3,0))="n.q.",NA(),INDEX(Data!$B$4:$L$947,MATCH(Graphs!$CK180,Data!$A$4:$A$947,0),MATCH(Graphs!CM$4,Data!$B$3:$L$3,0)))</f>
        <v>422.64</v>
      </c>
      <c r="CN180" s="24" t="str">
        <f t="array" ref="CN180">IF(INDEX(Data!$B$4:$L$947,MATCH(Graphs!$CK180,Data!$A$4:$A$947,0),MATCH(Graphs!CN$4,Data!$B$3:$L$3,0))="n.q.",NA(),INDEX(Data!$B$4:$L$947,MATCH(Graphs!$CK180,Data!$A$4:$A$947,0),MATCH(Graphs!CN$4,Data!$B$3:$L$3,0)))</f>
        <v>#N/A</v>
      </c>
      <c r="CO180" s="24" t="str">
        <f t="array" ref="CO180">IF(INDEX(Data!$B$4:$L$947,MATCH(Graphs!$CK180,Data!$A$4:$A$947,0),MATCH(Graphs!CO$4,Data!$B$3:$L$3,0))="n.q.",NA(),INDEX(Data!$B$4:$L$947,MATCH(Graphs!$CK180,Data!$A$4:$A$947,0),MATCH(Graphs!CO$4,Data!$B$3:$L$3,0)))</f>
        <v>#N/A</v>
      </c>
      <c r="CP180" s="24" t="str">
        <f t="array" ref="CP180">IF(INDEX(Data!$B$4:$L$947,MATCH(Graphs!$CK180,Data!$A$4:$A$947,0),MATCH(Graphs!CP$4,Data!$B$3:$L$3,0))="n.q.",NA(),INDEX(Data!$B$4:$L$947,MATCH(Graphs!$CK180,Data!$A$4:$A$947,0),MATCH(Graphs!CP$4,Data!$B$3:$L$3,0)))</f>
        <v>#N/A</v>
      </c>
      <c r="CQ180" s="5"/>
      <c r="CR180" s="24">
        <f t="array" ref="CR180">IF(INDEX(Data!$P$4:$Z$947,MATCH(Graphs!$CK180,Data!$A$4:$A$947,0),MATCH(Graphs!CR$4,Data!$P$3:$Z$3,0))="n.q.",NA(),INDEX(Data!$P$4:$Z$947,MATCH(Graphs!$CK180,Data!$A$4:$A$947,0),MATCH(Graphs!CR$4,Data!$P$3:$Z$3,0)))</f>
        <v>327.6314538</v>
      </c>
      <c r="CS180" s="24" t="str">
        <f t="array" ref="CS180">IF(INDEX(Data!$P$4:$Z$947,MATCH(Graphs!$CK180,Data!$A$4:$A$947,0),MATCH(Graphs!CS$4,Data!$P$3:$Z$3,0))="n.q.",NA(),INDEX(Data!$P$4:$Z$947,MATCH(Graphs!$CK180,Data!$A$4:$A$947,0),MATCH(Graphs!CS$4,Data!$P$3:$Z$3,0)))</f>
        <v>#N/A</v>
      </c>
      <c r="CT180" s="24" t="str">
        <f t="array" ref="CT180">IF(INDEX(Data!$P$4:$Z$947,MATCH(Graphs!$CK180,Data!$A$4:$A$947,0),MATCH(Graphs!CT$4,Data!$P$3:$Z$3,0))="n.q.",NA(),INDEX(Data!$P$4:$Z$947,MATCH(Graphs!$CK180,Data!$A$4:$A$947,0),MATCH(Graphs!CT$4,Data!$P$3:$Z$3,0)))</f>
        <v>#N/A</v>
      </c>
      <c r="CU180" s="24" t="str">
        <f t="array" ref="CU180">IF(INDEX(Data!$P$4:$Z$947,MATCH(Graphs!$CK180,Data!$A$4:$A$947,0),MATCH(Graphs!CU$4,Data!$P$3:$Z$3,0))="n.q.",NA(),INDEX(Data!$P$4:$Z$947,MATCH(Graphs!$CK180,Data!$A$4:$A$947,0),MATCH(Graphs!CU$4,Data!$P$3:$Z$3,0)))</f>
        <v>#N/A</v>
      </c>
      <c r="CV180" s="24" t="str">
        <f t="array" ref="CV180">IF(INDEX(Data!$P$4:$Z$947,MATCH(Graphs!$CK180,Data!$A$4:$A$947,0),MATCH(Graphs!CV$4,Data!$P$3:$Z$3,0))="n.q.",NA(),INDEX(Data!$P$4:$Z$947,MATCH(Graphs!$CK180,Data!$A$4:$A$947,0),MATCH(Graphs!CV$4,Data!$P$3:$Z$3,0)))</f>
        <v>#N/A</v>
      </c>
    </row>
    <row r="181" ht="14.25" customHeight="1"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5"/>
      <c r="CK181" s="22">
        <f>Data!A180</f>
        <v>44734</v>
      </c>
      <c r="CL181" s="24">
        <f t="array" ref="CL181">IF(INDEX(Data!$B$4:$L$947,MATCH(Graphs!$CK181,Data!$A$4:$A$947,0),MATCH(Graphs!CL$4,Data!$B$3:$L$3,0))="n.q.",NA(),INDEX(Data!$B$4:$L$947,MATCH(Graphs!$CK181,Data!$A$4:$A$947,0),MATCH(Graphs!CL$4,Data!$B$3:$L$3,0)))</f>
        <v>403.89</v>
      </c>
      <c r="CM181" s="24">
        <f t="array" ref="CM181">IF(INDEX(Data!$B$4:$L$947,MATCH(Graphs!$CK181,Data!$A$4:$A$947,0),MATCH(Graphs!CM$4,Data!$B$3:$L$3,0))="n.q.",NA(),INDEX(Data!$B$4:$L$947,MATCH(Graphs!$CK181,Data!$A$4:$A$947,0),MATCH(Graphs!CM$4,Data!$B$3:$L$3,0)))</f>
        <v>442.49</v>
      </c>
      <c r="CN181" s="24" t="str">
        <f t="array" ref="CN181">IF(INDEX(Data!$B$4:$L$947,MATCH(Graphs!$CK181,Data!$A$4:$A$947,0),MATCH(Graphs!CN$4,Data!$B$3:$L$3,0))="n.q.",NA(),INDEX(Data!$B$4:$L$947,MATCH(Graphs!$CK181,Data!$A$4:$A$947,0),MATCH(Graphs!CN$4,Data!$B$3:$L$3,0)))</f>
        <v>#N/A</v>
      </c>
      <c r="CO181" s="24" t="str">
        <f t="array" ref="CO181">IF(INDEX(Data!$B$4:$L$947,MATCH(Graphs!$CK181,Data!$A$4:$A$947,0),MATCH(Graphs!CO$4,Data!$B$3:$L$3,0))="n.q.",NA(),INDEX(Data!$B$4:$L$947,MATCH(Graphs!$CK181,Data!$A$4:$A$947,0),MATCH(Graphs!CO$4,Data!$B$3:$L$3,0)))</f>
        <v>#N/A</v>
      </c>
      <c r="CP181" s="24" t="str">
        <f t="array" ref="CP181">IF(INDEX(Data!$B$4:$L$947,MATCH(Graphs!$CK181,Data!$A$4:$A$947,0),MATCH(Graphs!CP$4,Data!$B$3:$L$3,0))="n.q.",NA(),INDEX(Data!$B$4:$L$947,MATCH(Graphs!$CK181,Data!$A$4:$A$947,0),MATCH(Graphs!CP$4,Data!$B$3:$L$3,0)))</f>
        <v>#N/A</v>
      </c>
      <c r="CQ181" s="5"/>
      <c r="CR181" s="24">
        <f t="array" ref="CR181">IF(INDEX(Data!$P$4:$Z$947,MATCH(Graphs!$CK181,Data!$A$4:$A$947,0),MATCH(Graphs!CR$4,Data!$P$3:$Z$3,0))="n.q.",NA(),INDEX(Data!$P$4:$Z$947,MATCH(Graphs!$CK181,Data!$A$4:$A$947,0),MATCH(Graphs!CR$4,Data!$P$3:$Z$3,0)))</f>
        <v>329.6549758</v>
      </c>
      <c r="CS181" s="24" t="str">
        <f t="array" ref="CS181">IF(INDEX(Data!$P$4:$Z$947,MATCH(Graphs!$CK181,Data!$A$4:$A$947,0),MATCH(Graphs!CS$4,Data!$P$3:$Z$3,0))="n.q.",NA(),INDEX(Data!$P$4:$Z$947,MATCH(Graphs!$CK181,Data!$A$4:$A$947,0),MATCH(Graphs!CS$4,Data!$P$3:$Z$3,0)))</f>
        <v>#N/A</v>
      </c>
      <c r="CT181" s="24" t="str">
        <f t="array" ref="CT181">IF(INDEX(Data!$P$4:$Z$947,MATCH(Graphs!$CK181,Data!$A$4:$A$947,0),MATCH(Graphs!CT$4,Data!$P$3:$Z$3,0))="n.q.",NA(),INDEX(Data!$P$4:$Z$947,MATCH(Graphs!$CK181,Data!$A$4:$A$947,0),MATCH(Graphs!CT$4,Data!$P$3:$Z$3,0)))</f>
        <v>#N/A</v>
      </c>
      <c r="CU181" s="24" t="str">
        <f t="array" ref="CU181">IF(INDEX(Data!$P$4:$Z$947,MATCH(Graphs!$CK181,Data!$A$4:$A$947,0),MATCH(Graphs!CU$4,Data!$P$3:$Z$3,0))="n.q.",NA(),INDEX(Data!$P$4:$Z$947,MATCH(Graphs!$CK181,Data!$A$4:$A$947,0),MATCH(Graphs!CU$4,Data!$P$3:$Z$3,0)))</f>
        <v>#N/A</v>
      </c>
      <c r="CV181" s="24" t="str">
        <f t="array" ref="CV181">IF(INDEX(Data!$P$4:$Z$947,MATCH(Graphs!$CK181,Data!$A$4:$A$947,0),MATCH(Graphs!CV$4,Data!$P$3:$Z$3,0))="n.q.",NA(),INDEX(Data!$P$4:$Z$947,MATCH(Graphs!$CK181,Data!$A$4:$A$947,0),MATCH(Graphs!CV$4,Data!$P$3:$Z$3,0)))</f>
        <v>#N/A</v>
      </c>
    </row>
    <row r="182" ht="14.25" customHeight="1"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5"/>
      <c r="CK182" s="22">
        <f>Data!A181</f>
        <v>44727</v>
      </c>
      <c r="CL182" s="24">
        <f t="array" ref="CL182">IF(INDEX(Data!$B$4:$L$947,MATCH(Graphs!$CK182,Data!$A$4:$A$947,0),MATCH(Graphs!CL$4,Data!$B$3:$L$3,0))="n.q.",NA(),INDEX(Data!$B$4:$L$947,MATCH(Graphs!$CK182,Data!$A$4:$A$947,0),MATCH(Graphs!CL$4,Data!$B$3:$L$3,0)))</f>
        <v>413.08</v>
      </c>
      <c r="CM182" s="24">
        <f t="array" ref="CM182">IF(INDEX(Data!$B$4:$L$947,MATCH(Graphs!$CK182,Data!$A$4:$A$947,0),MATCH(Graphs!CM$4,Data!$B$3:$L$3,0))="n.q.",NA(),INDEX(Data!$B$4:$L$947,MATCH(Graphs!$CK182,Data!$A$4:$A$947,0),MATCH(Graphs!CM$4,Data!$B$3:$L$3,0)))</f>
        <v>475.19</v>
      </c>
      <c r="CN182" s="24" t="str">
        <f t="array" ref="CN182">IF(INDEX(Data!$B$4:$L$947,MATCH(Graphs!$CK182,Data!$A$4:$A$947,0),MATCH(Graphs!CN$4,Data!$B$3:$L$3,0))="n.q.",NA(),INDEX(Data!$B$4:$L$947,MATCH(Graphs!$CK182,Data!$A$4:$A$947,0),MATCH(Graphs!CN$4,Data!$B$3:$L$3,0)))</f>
        <v>#N/A</v>
      </c>
      <c r="CO182" s="24" t="str">
        <f t="array" ref="CO182">IF(INDEX(Data!$B$4:$L$947,MATCH(Graphs!$CK182,Data!$A$4:$A$947,0),MATCH(Graphs!CO$4,Data!$B$3:$L$3,0))="n.q.",NA(),INDEX(Data!$B$4:$L$947,MATCH(Graphs!$CK182,Data!$A$4:$A$947,0),MATCH(Graphs!CO$4,Data!$B$3:$L$3,0)))</f>
        <v>#N/A</v>
      </c>
      <c r="CP182" s="24" t="str">
        <f t="array" ref="CP182">IF(INDEX(Data!$B$4:$L$947,MATCH(Graphs!$CK182,Data!$A$4:$A$947,0),MATCH(Graphs!CP$4,Data!$B$3:$L$3,0))="n.q.",NA(),INDEX(Data!$B$4:$L$947,MATCH(Graphs!$CK182,Data!$A$4:$A$947,0),MATCH(Graphs!CP$4,Data!$B$3:$L$3,0)))</f>
        <v>#N/A</v>
      </c>
      <c r="CQ182" s="5"/>
      <c r="CR182" s="24">
        <f t="array" ref="CR182">IF(INDEX(Data!$P$4:$Z$947,MATCH(Graphs!$CK182,Data!$A$4:$A$947,0),MATCH(Graphs!CR$4,Data!$P$3:$Z$3,0))="n.q.",NA(),INDEX(Data!$P$4:$Z$947,MATCH(Graphs!$CK182,Data!$A$4:$A$947,0),MATCH(Graphs!CR$4,Data!$P$3:$Z$3,0)))</f>
        <v>330.6202665</v>
      </c>
      <c r="CS182" s="24">
        <f t="array" ref="CS182">IF(INDEX(Data!$P$4:$Z$947,MATCH(Graphs!$CK182,Data!$A$4:$A$947,0),MATCH(Graphs!CS$4,Data!$P$3:$Z$3,0))="n.q.",NA(),INDEX(Data!$P$4:$Z$947,MATCH(Graphs!$CK182,Data!$A$4:$A$947,0),MATCH(Graphs!CS$4,Data!$P$3:$Z$3,0)))</f>
        <v>344.23</v>
      </c>
      <c r="CT182" s="24" t="str">
        <f t="array" ref="CT182">IF(INDEX(Data!$P$4:$Z$947,MATCH(Graphs!$CK182,Data!$A$4:$A$947,0),MATCH(Graphs!CT$4,Data!$P$3:$Z$3,0))="n.q.",NA(),INDEX(Data!$P$4:$Z$947,MATCH(Graphs!$CK182,Data!$A$4:$A$947,0),MATCH(Graphs!CT$4,Data!$P$3:$Z$3,0)))</f>
        <v>#N/A</v>
      </c>
      <c r="CU182" s="24" t="str">
        <f t="array" ref="CU182">IF(INDEX(Data!$P$4:$Z$947,MATCH(Graphs!$CK182,Data!$A$4:$A$947,0),MATCH(Graphs!CU$4,Data!$P$3:$Z$3,0))="n.q.",NA(),INDEX(Data!$P$4:$Z$947,MATCH(Graphs!$CK182,Data!$A$4:$A$947,0),MATCH(Graphs!CU$4,Data!$P$3:$Z$3,0)))</f>
        <v>#N/A</v>
      </c>
      <c r="CV182" s="24" t="str">
        <f t="array" ref="CV182">IF(INDEX(Data!$P$4:$Z$947,MATCH(Graphs!$CK182,Data!$A$4:$A$947,0),MATCH(Graphs!CV$4,Data!$P$3:$Z$3,0))="n.q.",NA(),INDEX(Data!$P$4:$Z$947,MATCH(Graphs!$CK182,Data!$A$4:$A$947,0),MATCH(Graphs!CV$4,Data!$P$3:$Z$3,0)))</f>
        <v>#N/A</v>
      </c>
    </row>
    <row r="183" ht="14.25" customHeight="1"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5"/>
      <c r="CK183" s="22">
        <f>Data!A182</f>
        <v>44720</v>
      </c>
      <c r="CL183" s="24">
        <f t="array" ref="CL183">IF(INDEX(Data!$B$4:$L$947,MATCH(Graphs!$CK183,Data!$A$4:$A$947,0),MATCH(Graphs!CL$4,Data!$B$3:$L$3,0))="n.q.",NA(),INDEX(Data!$B$4:$L$947,MATCH(Graphs!$CK183,Data!$A$4:$A$947,0),MATCH(Graphs!CL$4,Data!$B$3:$L$3,0)))</f>
        <v>418.64</v>
      </c>
      <c r="CM183" s="24">
        <f t="array" ref="CM183">IF(INDEX(Data!$B$4:$L$947,MATCH(Graphs!$CK183,Data!$A$4:$A$947,0),MATCH(Graphs!CM$4,Data!$B$3:$L$3,0))="n.q.",NA(),INDEX(Data!$B$4:$L$947,MATCH(Graphs!$CK183,Data!$A$4:$A$947,0),MATCH(Graphs!CM$4,Data!$B$3:$L$3,0)))</f>
        <v>483.18</v>
      </c>
      <c r="CN183" s="24" t="str">
        <f t="array" ref="CN183">IF(INDEX(Data!$B$4:$L$947,MATCH(Graphs!$CK183,Data!$A$4:$A$947,0),MATCH(Graphs!CN$4,Data!$B$3:$L$3,0))="n.q.",NA(),INDEX(Data!$B$4:$L$947,MATCH(Graphs!$CK183,Data!$A$4:$A$947,0),MATCH(Graphs!CN$4,Data!$B$3:$L$3,0)))</f>
        <v>#N/A</v>
      </c>
      <c r="CO183" s="24" t="str">
        <f t="array" ref="CO183">IF(INDEX(Data!$B$4:$L$947,MATCH(Graphs!$CK183,Data!$A$4:$A$947,0),MATCH(Graphs!CO$4,Data!$B$3:$L$3,0))="n.q.",NA(),INDEX(Data!$B$4:$L$947,MATCH(Graphs!$CK183,Data!$A$4:$A$947,0),MATCH(Graphs!CO$4,Data!$B$3:$L$3,0)))</f>
        <v>#N/A</v>
      </c>
      <c r="CP183" s="24" t="str">
        <f t="array" ref="CP183">IF(INDEX(Data!$B$4:$L$947,MATCH(Graphs!$CK183,Data!$A$4:$A$947,0),MATCH(Graphs!CP$4,Data!$B$3:$L$3,0))="n.q.",NA(),INDEX(Data!$B$4:$L$947,MATCH(Graphs!$CK183,Data!$A$4:$A$947,0),MATCH(Graphs!CP$4,Data!$B$3:$L$3,0)))</f>
        <v>#N/A</v>
      </c>
      <c r="CQ183" s="5"/>
      <c r="CR183" s="24">
        <f t="array" ref="CR183">IF(INDEX(Data!$P$4:$Z$947,MATCH(Graphs!$CK183,Data!$A$4:$A$947,0),MATCH(Graphs!CR$4,Data!$P$3:$Z$3,0))="n.q.",NA(),INDEX(Data!$P$4:$Z$947,MATCH(Graphs!$CK183,Data!$A$4:$A$947,0),MATCH(Graphs!CR$4,Data!$P$3:$Z$3,0)))</f>
        <v>317.6552752</v>
      </c>
      <c r="CS183" s="24">
        <f t="array" ref="CS183">IF(INDEX(Data!$P$4:$Z$947,MATCH(Graphs!$CK183,Data!$A$4:$A$947,0),MATCH(Graphs!CS$4,Data!$P$3:$Z$3,0))="n.q.",NA(),INDEX(Data!$P$4:$Z$947,MATCH(Graphs!$CK183,Data!$A$4:$A$947,0),MATCH(Graphs!CS$4,Data!$P$3:$Z$3,0)))</f>
        <v>332.73</v>
      </c>
      <c r="CT183" s="24" t="str">
        <f t="array" ref="CT183">IF(INDEX(Data!$P$4:$Z$947,MATCH(Graphs!$CK183,Data!$A$4:$A$947,0),MATCH(Graphs!CT$4,Data!$P$3:$Z$3,0))="n.q.",NA(),INDEX(Data!$P$4:$Z$947,MATCH(Graphs!$CK183,Data!$A$4:$A$947,0),MATCH(Graphs!CT$4,Data!$P$3:$Z$3,0)))</f>
        <v>#N/A</v>
      </c>
      <c r="CU183" s="24" t="str">
        <f t="array" ref="CU183">IF(INDEX(Data!$P$4:$Z$947,MATCH(Graphs!$CK183,Data!$A$4:$A$947,0),MATCH(Graphs!CU$4,Data!$P$3:$Z$3,0))="n.q.",NA(),INDEX(Data!$P$4:$Z$947,MATCH(Graphs!$CK183,Data!$A$4:$A$947,0),MATCH(Graphs!CU$4,Data!$P$3:$Z$3,0)))</f>
        <v>#N/A</v>
      </c>
      <c r="CV183" s="24" t="str">
        <f t="array" ref="CV183">IF(INDEX(Data!$P$4:$Z$947,MATCH(Graphs!$CK183,Data!$A$4:$A$947,0),MATCH(Graphs!CV$4,Data!$P$3:$Z$3,0))="n.q.",NA(),INDEX(Data!$P$4:$Z$947,MATCH(Graphs!$CK183,Data!$A$4:$A$947,0),MATCH(Graphs!CV$4,Data!$P$3:$Z$3,0)))</f>
        <v>#N/A</v>
      </c>
    </row>
    <row r="184" ht="14.25" customHeight="1"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5"/>
      <c r="CK184" s="22">
        <f>Data!A183</f>
        <v>44713</v>
      </c>
      <c r="CL184" s="24">
        <f t="array" ref="CL184">IF(INDEX(Data!$B$4:$L$947,MATCH(Graphs!$CK184,Data!$A$4:$A$947,0),MATCH(Graphs!CL$4,Data!$B$3:$L$3,0))="n.q.",NA(),INDEX(Data!$B$4:$L$947,MATCH(Graphs!$CK184,Data!$A$4:$A$947,0),MATCH(Graphs!CL$4,Data!$B$3:$L$3,0)))</f>
        <v>428.94</v>
      </c>
      <c r="CM184" s="24">
        <f t="array" ref="CM184">IF(INDEX(Data!$B$4:$L$947,MATCH(Graphs!$CK184,Data!$A$4:$A$947,0),MATCH(Graphs!CM$4,Data!$B$3:$L$3,0))="n.q.",NA(),INDEX(Data!$B$4:$L$947,MATCH(Graphs!$CK184,Data!$A$4:$A$947,0),MATCH(Graphs!CM$4,Data!$B$3:$L$3,0)))</f>
        <v>475.19</v>
      </c>
      <c r="CN184" s="24" t="str">
        <f t="array" ref="CN184">IF(INDEX(Data!$B$4:$L$947,MATCH(Graphs!$CK184,Data!$A$4:$A$947,0),MATCH(Graphs!CN$4,Data!$B$3:$L$3,0))="n.q.",NA(),INDEX(Data!$B$4:$L$947,MATCH(Graphs!$CK184,Data!$A$4:$A$947,0),MATCH(Graphs!CN$4,Data!$B$3:$L$3,0)))</f>
        <v>#N/A</v>
      </c>
      <c r="CO184" s="24" t="str">
        <f t="array" ref="CO184">IF(INDEX(Data!$B$4:$L$947,MATCH(Graphs!$CK184,Data!$A$4:$A$947,0),MATCH(Graphs!CO$4,Data!$B$3:$L$3,0))="n.q.",NA(),INDEX(Data!$B$4:$L$947,MATCH(Graphs!$CK184,Data!$A$4:$A$947,0),MATCH(Graphs!CO$4,Data!$B$3:$L$3,0)))</f>
        <v>#N/A</v>
      </c>
      <c r="CP184" s="24" t="str">
        <f t="array" ref="CP184">IF(INDEX(Data!$B$4:$L$947,MATCH(Graphs!$CK184,Data!$A$4:$A$947,0),MATCH(Graphs!CP$4,Data!$B$3:$L$3,0))="n.q.",NA(),INDEX(Data!$B$4:$L$947,MATCH(Graphs!$CK184,Data!$A$4:$A$947,0),MATCH(Graphs!CP$4,Data!$B$3:$L$3,0)))</f>
        <v>#N/A</v>
      </c>
      <c r="CQ184" s="5"/>
      <c r="CR184" s="24">
        <f t="array" ref="CR184">IF(INDEX(Data!$P$4:$Z$947,MATCH(Graphs!$CK184,Data!$A$4:$A$947,0),MATCH(Graphs!CR$4,Data!$P$3:$Z$3,0))="n.q.",NA(),INDEX(Data!$P$4:$Z$947,MATCH(Graphs!$CK184,Data!$A$4:$A$947,0),MATCH(Graphs!CR$4,Data!$P$3:$Z$3,0)))</f>
        <v>305.4985063</v>
      </c>
      <c r="CS184" s="24" t="str">
        <f t="array" ref="CS184">IF(INDEX(Data!$P$4:$Z$947,MATCH(Graphs!$CK184,Data!$A$4:$A$947,0),MATCH(Graphs!CS$4,Data!$P$3:$Z$3,0))="n.q.",NA(),INDEX(Data!$P$4:$Z$947,MATCH(Graphs!$CK184,Data!$A$4:$A$947,0),MATCH(Graphs!CS$4,Data!$P$3:$Z$3,0)))</f>
        <v>#N/A</v>
      </c>
      <c r="CT184" s="24" t="str">
        <f t="array" ref="CT184">IF(INDEX(Data!$P$4:$Z$947,MATCH(Graphs!$CK184,Data!$A$4:$A$947,0),MATCH(Graphs!CT$4,Data!$P$3:$Z$3,0))="n.q.",NA(),INDEX(Data!$P$4:$Z$947,MATCH(Graphs!$CK184,Data!$A$4:$A$947,0),MATCH(Graphs!CT$4,Data!$P$3:$Z$3,0)))</f>
        <v>#N/A</v>
      </c>
      <c r="CU184" s="24" t="str">
        <f t="array" ref="CU184">IF(INDEX(Data!$P$4:$Z$947,MATCH(Graphs!$CK184,Data!$A$4:$A$947,0),MATCH(Graphs!CU$4,Data!$P$3:$Z$3,0))="n.q.",NA(),INDEX(Data!$P$4:$Z$947,MATCH(Graphs!$CK184,Data!$A$4:$A$947,0),MATCH(Graphs!CU$4,Data!$P$3:$Z$3,0)))</f>
        <v>#N/A</v>
      </c>
      <c r="CV184" s="24" t="str">
        <f t="array" ref="CV184">IF(INDEX(Data!$P$4:$Z$947,MATCH(Graphs!$CK184,Data!$A$4:$A$947,0),MATCH(Graphs!CV$4,Data!$P$3:$Z$3,0))="n.q.",NA(),INDEX(Data!$P$4:$Z$947,MATCH(Graphs!$CK184,Data!$A$4:$A$947,0),MATCH(Graphs!CV$4,Data!$P$3:$Z$3,0)))</f>
        <v>#N/A</v>
      </c>
    </row>
    <row r="185" ht="14.25" customHeight="1"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5"/>
      <c r="CK185" s="22">
        <f>Data!A184</f>
        <v>44706</v>
      </c>
      <c r="CL185" s="24">
        <f t="array" ref="CL185">IF(INDEX(Data!$B$4:$L$947,MATCH(Graphs!$CK185,Data!$A$4:$A$947,0),MATCH(Graphs!CL$4,Data!$B$3:$L$3,0))="n.q.",NA(),INDEX(Data!$B$4:$L$947,MATCH(Graphs!$CK185,Data!$A$4:$A$947,0),MATCH(Graphs!CL$4,Data!$B$3:$L$3,0)))</f>
        <v>441.24</v>
      </c>
      <c r="CM185" s="24">
        <f t="array" ref="CM185">IF(INDEX(Data!$B$4:$L$947,MATCH(Graphs!$CK185,Data!$A$4:$A$947,0),MATCH(Graphs!CM$4,Data!$B$3:$L$3,0))="n.q.",NA(),INDEX(Data!$B$4:$L$947,MATCH(Graphs!$CK185,Data!$A$4:$A$947,0),MATCH(Graphs!CM$4,Data!$B$3:$L$3,0)))</f>
        <v>524.79</v>
      </c>
      <c r="CN185" s="24" t="str">
        <f t="array" ref="CN185">IF(INDEX(Data!$B$4:$L$947,MATCH(Graphs!$CK185,Data!$A$4:$A$947,0),MATCH(Graphs!CN$4,Data!$B$3:$L$3,0))="n.q.",NA(),INDEX(Data!$B$4:$L$947,MATCH(Graphs!$CK185,Data!$A$4:$A$947,0),MATCH(Graphs!CN$4,Data!$B$3:$L$3,0)))</f>
        <v>#N/A</v>
      </c>
      <c r="CO185" s="24" t="str">
        <f t="array" ref="CO185">IF(INDEX(Data!$B$4:$L$947,MATCH(Graphs!$CK185,Data!$A$4:$A$947,0),MATCH(Graphs!CO$4,Data!$B$3:$L$3,0))="n.q.",NA(),INDEX(Data!$B$4:$L$947,MATCH(Graphs!$CK185,Data!$A$4:$A$947,0),MATCH(Graphs!CO$4,Data!$B$3:$L$3,0)))</f>
        <v>#N/A</v>
      </c>
      <c r="CP185" s="24" t="str">
        <f t="array" ref="CP185">IF(INDEX(Data!$B$4:$L$947,MATCH(Graphs!$CK185,Data!$A$4:$A$947,0),MATCH(Graphs!CP$4,Data!$B$3:$L$3,0))="n.q.",NA(),INDEX(Data!$B$4:$L$947,MATCH(Graphs!$CK185,Data!$A$4:$A$947,0),MATCH(Graphs!CP$4,Data!$B$3:$L$3,0)))</f>
        <v>#N/A</v>
      </c>
      <c r="CQ185" s="5"/>
      <c r="CR185" s="24">
        <f t="array" ref="CR185">IF(INDEX(Data!$P$4:$Z$947,MATCH(Graphs!$CK185,Data!$A$4:$A$947,0),MATCH(Graphs!CR$4,Data!$P$3:$Z$3,0))="n.q.",NA(),INDEX(Data!$P$4:$Z$947,MATCH(Graphs!$CK185,Data!$A$4:$A$947,0),MATCH(Graphs!CR$4,Data!$P$3:$Z$3,0)))</f>
        <v>322.2503754</v>
      </c>
      <c r="CS185" s="24">
        <f t="array" ref="CS185">IF(INDEX(Data!$P$4:$Z$947,MATCH(Graphs!$CK185,Data!$A$4:$A$947,0),MATCH(Graphs!CS$4,Data!$P$3:$Z$3,0))="n.q.",NA(),INDEX(Data!$P$4:$Z$947,MATCH(Graphs!$CK185,Data!$A$4:$A$947,0),MATCH(Graphs!CS$4,Data!$P$3:$Z$3,0)))</f>
        <v>363.8</v>
      </c>
      <c r="CT185" s="24" t="str">
        <f t="array" ref="CT185">IF(INDEX(Data!$P$4:$Z$947,MATCH(Graphs!$CK185,Data!$A$4:$A$947,0),MATCH(Graphs!CT$4,Data!$P$3:$Z$3,0))="n.q.",NA(),INDEX(Data!$P$4:$Z$947,MATCH(Graphs!$CK185,Data!$A$4:$A$947,0),MATCH(Graphs!CT$4,Data!$P$3:$Z$3,0)))</f>
        <v>#N/A</v>
      </c>
      <c r="CU185" s="24" t="str">
        <f t="array" ref="CU185">IF(INDEX(Data!$P$4:$Z$947,MATCH(Graphs!$CK185,Data!$A$4:$A$947,0),MATCH(Graphs!CU$4,Data!$P$3:$Z$3,0))="n.q.",NA(),INDEX(Data!$P$4:$Z$947,MATCH(Graphs!$CK185,Data!$A$4:$A$947,0),MATCH(Graphs!CU$4,Data!$P$3:$Z$3,0)))</f>
        <v>#N/A</v>
      </c>
      <c r="CV185" s="24" t="str">
        <f t="array" ref="CV185">IF(INDEX(Data!$P$4:$Z$947,MATCH(Graphs!$CK185,Data!$A$4:$A$947,0),MATCH(Graphs!CV$4,Data!$P$3:$Z$3,0))="n.q.",NA(),INDEX(Data!$P$4:$Z$947,MATCH(Graphs!$CK185,Data!$A$4:$A$947,0),MATCH(Graphs!CV$4,Data!$P$3:$Z$3,0)))</f>
        <v>#N/A</v>
      </c>
    </row>
    <row r="186" ht="14.25" customHeight="1"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5"/>
      <c r="CK186" s="22">
        <f>Data!A185</f>
        <v>44699</v>
      </c>
      <c r="CL186" s="24">
        <f t="array" ref="CL186">IF(INDEX(Data!$B$4:$L$947,MATCH(Graphs!$CK186,Data!$A$4:$A$947,0),MATCH(Graphs!CL$4,Data!$B$3:$L$3,0))="n.q.",NA(),INDEX(Data!$B$4:$L$947,MATCH(Graphs!$CK186,Data!$A$4:$A$947,0),MATCH(Graphs!CL$4,Data!$B$3:$L$3,0)))</f>
        <v>465.81</v>
      </c>
      <c r="CM186" s="24">
        <f t="array" ref="CM186">IF(INDEX(Data!$B$4:$L$947,MATCH(Graphs!$CK186,Data!$A$4:$A$947,0),MATCH(Graphs!CM$4,Data!$B$3:$L$3,0))="n.q.",NA(),INDEX(Data!$B$4:$L$947,MATCH(Graphs!$CK186,Data!$A$4:$A$947,0),MATCH(Graphs!CM$4,Data!$B$3:$L$3,0)))</f>
        <v>560.16</v>
      </c>
      <c r="CN186" s="24" t="str">
        <f t="array" ref="CN186">IF(INDEX(Data!$B$4:$L$947,MATCH(Graphs!$CK186,Data!$A$4:$A$947,0),MATCH(Graphs!CN$4,Data!$B$3:$L$3,0))="n.q.",NA(),INDEX(Data!$B$4:$L$947,MATCH(Graphs!$CK186,Data!$A$4:$A$947,0),MATCH(Graphs!CN$4,Data!$B$3:$L$3,0)))</f>
        <v>#N/A</v>
      </c>
      <c r="CO186" s="24" t="str">
        <f t="array" ref="CO186">IF(INDEX(Data!$B$4:$L$947,MATCH(Graphs!$CK186,Data!$A$4:$A$947,0),MATCH(Graphs!CO$4,Data!$B$3:$L$3,0))="n.q.",NA(),INDEX(Data!$B$4:$L$947,MATCH(Graphs!$CK186,Data!$A$4:$A$947,0),MATCH(Graphs!CO$4,Data!$B$3:$L$3,0)))</f>
        <v>#N/A</v>
      </c>
      <c r="CP186" s="24" t="str">
        <f t="array" ref="CP186">IF(INDEX(Data!$B$4:$L$947,MATCH(Graphs!$CK186,Data!$A$4:$A$947,0),MATCH(Graphs!CP$4,Data!$B$3:$L$3,0))="n.q.",NA(),INDEX(Data!$B$4:$L$947,MATCH(Graphs!$CK186,Data!$A$4:$A$947,0),MATCH(Graphs!CP$4,Data!$B$3:$L$3,0)))</f>
        <v>#N/A</v>
      </c>
      <c r="CQ186" s="5"/>
      <c r="CR186" s="24">
        <f t="array" ref="CR186">IF(INDEX(Data!$P$4:$Z$947,MATCH(Graphs!$CK186,Data!$A$4:$A$947,0),MATCH(Graphs!CR$4,Data!$P$3:$Z$3,0))="n.q.",NA(),INDEX(Data!$P$4:$Z$947,MATCH(Graphs!$CK186,Data!$A$4:$A$947,0),MATCH(Graphs!CR$4,Data!$P$3:$Z$3,0)))</f>
        <v>331.6544712</v>
      </c>
      <c r="CS186" s="24">
        <f t="array" ref="CS186">IF(INDEX(Data!$P$4:$Z$947,MATCH(Graphs!$CK186,Data!$A$4:$A$947,0),MATCH(Graphs!CS$4,Data!$P$3:$Z$3,0))="n.q.",NA(),INDEX(Data!$P$4:$Z$947,MATCH(Graphs!$CK186,Data!$A$4:$A$947,0),MATCH(Graphs!CS$4,Data!$P$3:$Z$3,0)))</f>
        <v>379.3</v>
      </c>
      <c r="CT186" s="24" t="str">
        <f t="array" ref="CT186">IF(INDEX(Data!$P$4:$Z$947,MATCH(Graphs!$CK186,Data!$A$4:$A$947,0),MATCH(Graphs!CT$4,Data!$P$3:$Z$3,0))="n.q.",NA(),INDEX(Data!$P$4:$Z$947,MATCH(Graphs!$CK186,Data!$A$4:$A$947,0),MATCH(Graphs!CT$4,Data!$P$3:$Z$3,0)))</f>
        <v>#N/A</v>
      </c>
      <c r="CU186" s="24" t="str">
        <f t="array" ref="CU186">IF(INDEX(Data!$P$4:$Z$947,MATCH(Graphs!$CK186,Data!$A$4:$A$947,0),MATCH(Graphs!CU$4,Data!$P$3:$Z$3,0))="n.q.",NA(),INDEX(Data!$P$4:$Z$947,MATCH(Graphs!$CK186,Data!$A$4:$A$947,0),MATCH(Graphs!CU$4,Data!$P$3:$Z$3,0)))</f>
        <v>#N/A</v>
      </c>
      <c r="CV186" s="24" t="str">
        <f t="array" ref="CV186">IF(INDEX(Data!$P$4:$Z$947,MATCH(Graphs!$CK186,Data!$A$4:$A$947,0),MATCH(Graphs!CV$4,Data!$P$3:$Z$3,0))="n.q.",NA(),INDEX(Data!$P$4:$Z$947,MATCH(Graphs!$CK186,Data!$A$4:$A$947,0),MATCH(Graphs!CV$4,Data!$P$3:$Z$3,0)))</f>
        <v>#N/A</v>
      </c>
    </row>
    <row r="187" ht="14.25" customHeight="1"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5"/>
      <c r="CK187" s="22">
        <f>Data!A186</f>
        <v>44692</v>
      </c>
      <c r="CL187" s="24">
        <f t="array" ref="CL187">IF(INDEX(Data!$B$4:$L$947,MATCH(Graphs!$CK187,Data!$A$4:$A$947,0),MATCH(Graphs!CL$4,Data!$B$3:$L$3,0))="n.q.",NA(),INDEX(Data!$B$4:$L$947,MATCH(Graphs!$CK187,Data!$A$4:$A$947,0),MATCH(Graphs!CL$4,Data!$B$3:$L$3,0)))</f>
        <v>429.99</v>
      </c>
      <c r="CM187" s="24">
        <f t="array" ref="CM187">IF(INDEX(Data!$B$4:$L$947,MATCH(Graphs!$CK187,Data!$A$4:$A$947,0),MATCH(Graphs!CM$4,Data!$B$3:$L$3,0))="n.q.",NA(),INDEX(Data!$B$4:$L$947,MATCH(Graphs!$CK187,Data!$A$4:$A$947,0),MATCH(Graphs!CM$4,Data!$B$3:$L$3,0)))</f>
        <v>513.03</v>
      </c>
      <c r="CN187" s="24" t="str">
        <f t="array" ref="CN187">IF(INDEX(Data!$B$4:$L$947,MATCH(Graphs!$CK187,Data!$A$4:$A$947,0),MATCH(Graphs!CN$4,Data!$B$3:$L$3,0))="n.q.",NA(),INDEX(Data!$B$4:$L$947,MATCH(Graphs!$CK187,Data!$A$4:$A$947,0),MATCH(Graphs!CN$4,Data!$B$3:$L$3,0)))</f>
        <v>#N/A</v>
      </c>
      <c r="CO187" s="24" t="str">
        <f t="array" ref="CO187">IF(INDEX(Data!$B$4:$L$947,MATCH(Graphs!$CK187,Data!$A$4:$A$947,0),MATCH(Graphs!CO$4,Data!$B$3:$L$3,0))="n.q.",NA(),INDEX(Data!$B$4:$L$947,MATCH(Graphs!$CK187,Data!$A$4:$A$947,0),MATCH(Graphs!CO$4,Data!$B$3:$L$3,0)))</f>
        <v>#N/A</v>
      </c>
      <c r="CP187" s="24" t="str">
        <f t="array" ref="CP187">IF(INDEX(Data!$B$4:$L$947,MATCH(Graphs!$CK187,Data!$A$4:$A$947,0),MATCH(Graphs!CP$4,Data!$B$3:$L$3,0))="n.q.",NA(),INDEX(Data!$B$4:$L$947,MATCH(Graphs!$CK187,Data!$A$4:$A$947,0),MATCH(Graphs!CP$4,Data!$B$3:$L$3,0)))</f>
        <v>#N/A</v>
      </c>
      <c r="CQ187" s="5"/>
      <c r="CR187" s="24">
        <f t="array" ref="CR187">IF(INDEX(Data!$P$4:$Z$947,MATCH(Graphs!$CK187,Data!$A$4:$A$947,0),MATCH(Graphs!CR$4,Data!$P$3:$Z$3,0))="n.q.",NA(),INDEX(Data!$P$4:$Z$947,MATCH(Graphs!$CK187,Data!$A$4:$A$947,0),MATCH(Graphs!CR$4,Data!$P$3:$Z$3,0)))</f>
        <v>338.4535203</v>
      </c>
      <c r="CS187" s="24" t="str">
        <f t="array" ref="CS187">IF(INDEX(Data!$P$4:$Z$947,MATCH(Graphs!$CK187,Data!$A$4:$A$947,0),MATCH(Graphs!CS$4,Data!$P$3:$Z$3,0))="n.q.",NA(),INDEX(Data!$P$4:$Z$947,MATCH(Graphs!$CK187,Data!$A$4:$A$947,0),MATCH(Graphs!CS$4,Data!$P$3:$Z$3,0)))</f>
        <v>#N/A</v>
      </c>
      <c r="CT187" s="24" t="str">
        <f t="array" ref="CT187">IF(INDEX(Data!$P$4:$Z$947,MATCH(Graphs!$CK187,Data!$A$4:$A$947,0),MATCH(Graphs!CT$4,Data!$P$3:$Z$3,0))="n.q.",NA(),INDEX(Data!$P$4:$Z$947,MATCH(Graphs!$CK187,Data!$A$4:$A$947,0),MATCH(Graphs!CT$4,Data!$P$3:$Z$3,0)))</f>
        <v>#N/A</v>
      </c>
      <c r="CU187" s="24" t="str">
        <f t="array" ref="CU187">IF(INDEX(Data!$P$4:$Z$947,MATCH(Graphs!$CK187,Data!$A$4:$A$947,0),MATCH(Graphs!CU$4,Data!$P$3:$Z$3,0))="n.q.",NA(),INDEX(Data!$P$4:$Z$947,MATCH(Graphs!$CK187,Data!$A$4:$A$947,0),MATCH(Graphs!CU$4,Data!$P$3:$Z$3,0)))</f>
        <v>#N/A</v>
      </c>
      <c r="CV187" s="24" t="str">
        <f t="array" ref="CV187">IF(INDEX(Data!$P$4:$Z$947,MATCH(Graphs!$CK187,Data!$A$4:$A$947,0),MATCH(Graphs!CV$4,Data!$P$3:$Z$3,0))="n.q.",NA(),INDEX(Data!$P$4:$Z$947,MATCH(Graphs!$CK187,Data!$A$4:$A$947,0),MATCH(Graphs!CV$4,Data!$P$3:$Z$3,0)))</f>
        <v>#N/A</v>
      </c>
    </row>
    <row r="188" ht="14.25" customHeight="1"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5"/>
      <c r="CK188" s="22">
        <f>Data!A187</f>
        <v>44685</v>
      </c>
      <c r="CL188" s="24">
        <f t="array" ref="CL188">IF(INDEX(Data!$B$4:$L$947,MATCH(Graphs!$CK188,Data!$A$4:$A$947,0),MATCH(Graphs!CL$4,Data!$B$3:$L$3,0))="n.q.",NA(),INDEX(Data!$B$4:$L$947,MATCH(Graphs!$CK188,Data!$A$4:$A$947,0),MATCH(Graphs!CL$4,Data!$B$3:$L$3,0)))</f>
        <v>416.38</v>
      </c>
      <c r="CM188" s="24">
        <f t="array" ref="CM188">IF(INDEX(Data!$B$4:$L$947,MATCH(Graphs!$CK188,Data!$A$4:$A$947,0),MATCH(Graphs!CM$4,Data!$B$3:$L$3,0))="n.q.",NA(),INDEX(Data!$B$4:$L$947,MATCH(Graphs!$CK188,Data!$A$4:$A$947,0),MATCH(Graphs!CM$4,Data!$B$3:$L$3,0)))</f>
        <v>482.26</v>
      </c>
      <c r="CN188" s="24" t="str">
        <f t="array" ref="CN188">IF(INDEX(Data!$B$4:$L$947,MATCH(Graphs!$CK188,Data!$A$4:$A$947,0),MATCH(Graphs!CN$4,Data!$B$3:$L$3,0))="n.q.",NA(),INDEX(Data!$B$4:$L$947,MATCH(Graphs!$CK188,Data!$A$4:$A$947,0),MATCH(Graphs!CN$4,Data!$B$3:$L$3,0)))</f>
        <v>#N/A</v>
      </c>
      <c r="CO188" s="24" t="str">
        <f t="array" ref="CO188">IF(INDEX(Data!$B$4:$L$947,MATCH(Graphs!$CK188,Data!$A$4:$A$947,0),MATCH(Graphs!CO$4,Data!$B$3:$L$3,0))="n.q.",NA(),INDEX(Data!$B$4:$L$947,MATCH(Graphs!$CK188,Data!$A$4:$A$947,0),MATCH(Graphs!CO$4,Data!$B$3:$L$3,0)))</f>
        <v>#N/A</v>
      </c>
      <c r="CP188" s="24" t="str">
        <f t="array" ref="CP188">IF(INDEX(Data!$B$4:$L$947,MATCH(Graphs!$CK188,Data!$A$4:$A$947,0),MATCH(Graphs!CP$4,Data!$B$3:$L$3,0))="n.q.",NA(),INDEX(Data!$B$4:$L$947,MATCH(Graphs!$CK188,Data!$A$4:$A$947,0),MATCH(Graphs!CP$4,Data!$B$3:$L$3,0)))</f>
        <v>#N/A</v>
      </c>
      <c r="CQ188" s="5"/>
      <c r="CR188" s="24">
        <f t="array" ref="CR188">IF(INDEX(Data!$P$4:$Z$947,MATCH(Graphs!$CK188,Data!$A$4:$A$947,0),MATCH(Graphs!CR$4,Data!$P$3:$Z$3,0))="n.q.",NA(),INDEX(Data!$P$4:$Z$947,MATCH(Graphs!$CK188,Data!$A$4:$A$947,0),MATCH(Graphs!CR$4,Data!$P$3:$Z$3,0)))</f>
        <v>339.6258665</v>
      </c>
      <c r="CS188" s="24">
        <f t="array" ref="CS188">IF(INDEX(Data!$P$4:$Z$947,MATCH(Graphs!$CK188,Data!$A$4:$A$947,0),MATCH(Graphs!CS$4,Data!$P$3:$Z$3,0))="n.q.",NA(),INDEX(Data!$P$4:$Z$947,MATCH(Graphs!$CK188,Data!$A$4:$A$947,0),MATCH(Graphs!CS$4,Data!$P$3:$Z$3,0)))</f>
        <v>376.3</v>
      </c>
      <c r="CT188" s="24" t="str">
        <f t="array" ref="CT188">IF(INDEX(Data!$P$4:$Z$947,MATCH(Graphs!$CK188,Data!$A$4:$A$947,0),MATCH(Graphs!CT$4,Data!$P$3:$Z$3,0))="n.q.",NA(),INDEX(Data!$P$4:$Z$947,MATCH(Graphs!$CK188,Data!$A$4:$A$947,0),MATCH(Graphs!CT$4,Data!$P$3:$Z$3,0)))</f>
        <v>#N/A</v>
      </c>
      <c r="CU188" s="24" t="str">
        <f t="array" ref="CU188">IF(INDEX(Data!$P$4:$Z$947,MATCH(Graphs!$CK188,Data!$A$4:$A$947,0),MATCH(Graphs!CU$4,Data!$P$3:$Z$3,0))="n.q.",NA(),INDEX(Data!$P$4:$Z$947,MATCH(Graphs!$CK188,Data!$A$4:$A$947,0),MATCH(Graphs!CU$4,Data!$P$3:$Z$3,0)))</f>
        <v>#N/A</v>
      </c>
      <c r="CV188" s="24" t="str">
        <f t="array" ref="CV188">IF(INDEX(Data!$P$4:$Z$947,MATCH(Graphs!$CK188,Data!$A$4:$A$947,0),MATCH(Graphs!CV$4,Data!$P$3:$Z$3,0))="n.q.",NA(),INDEX(Data!$P$4:$Z$947,MATCH(Graphs!$CK188,Data!$A$4:$A$947,0),MATCH(Graphs!CV$4,Data!$P$3:$Z$3,0)))</f>
        <v>#N/A</v>
      </c>
    </row>
    <row r="189" ht="14.25" customHeight="1"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5"/>
      <c r="CK189" s="22">
        <f>Data!A188</f>
        <v>44678</v>
      </c>
      <c r="CL189" s="24">
        <f t="array" ref="CL189">IF(INDEX(Data!$B$4:$L$947,MATCH(Graphs!$CK189,Data!$A$4:$A$947,0),MATCH(Graphs!CL$4,Data!$B$3:$L$3,0))="n.q.",NA(),INDEX(Data!$B$4:$L$947,MATCH(Graphs!$CK189,Data!$A$4:$A$947,0),MATCH(Graphs!CL$4,Data!$B$3:$L$3,0)))</f>
        <v>440.88</v>
      </c>
      <c r="CM189" s="24">
        <f t="array" ref="CM189">IF(INDEX(Data!$B$4:$L$947,MATCH(Graphs!$CK189,Data!$A$4:$A$947,0),MATCH(Graphs!CM$4,Data!$B$3:$L$3,0))="n.q.",NA(),INDEX(Data!$B$4:$L$947,MATCH(Graphs!$CK189,Data!$A$4:$A$947,0),MATCH(Graphs!CM$4,Data!$B$3:$L$3,0)))</f>
        <v>500.91</v>
      </c>
      <c r="CN189" s="24" t="str">
        <f t="array" ref="CN189">IF(INDEX(Data!$B$4:$L$947,MATCH(Graphs!$CK189,Data!$A$4:$A$947,0),MATCH(Graphs!CN$4,Data!$B$3:$L$3,0))="n.q.",NA(),INDEX(Data!$B$4:$L$947,MATCH(Graphs!$CK189,Data!$A$4:$A$947,0),MATCH(Graphs!CN$4,Data!$B$3:$L$3,0)))</f>
        <v>#N/A</v>
      </c>
      <c r="CO189" s="24" t="str">
        <f t="array" ref="CO189">IF(INDEX(Data!$B$4:$L$947,MATCH(Graphs!$CK189,Data!$A$4:$A$947,0),MATCH(Graphs!CO$4,Data!$B$3:$L$3,0))="n.q.",NA(),INDEX(Data!$B$4:$L$947,MATCH(Graphs!$CK189,Data!$A$4:$A$947,0),MATCH(Graphs!CO$4,Data!$B$3:$L$3,0)))</f>
        <v>#N/A</v>
      </c>
      <c r="CP189" s="24" t="str">
        <f t="array" ref="CP189">IF(INDEX(Data!$B$4:$L$947,MATCH(Graphs!$CK189,Data!$A$4:$A$947,0),MATCH(Graphs!CP$4,Data!$B$3:$L$3,0))="n.q.",NA(),INDEX(Data!$B$4:$L$947,MATCH(Graphs!$CK189,Data!$A$4:$A$947,0),MATCH(Graphs!CP$4,Data!$B$3:$L$3,0)))</f>
        <v>#N/A</v>
      </c>
      <c r="CQ189" s="5"/>
      <c r="CR189" s="24">
        <f t="array" ref="CR189">IF(INDEX(Data!$P$4:$Z$947,MATCH(Graphs!$CK189,Data!$A$4:$A$947,0),MATCH(Graphs!CR$4,Data!$P$3:$Z$3,0))="n.q.",NA(),INDEX(Data!$P$4:$Z$947,MATCH(Graphs!$CK189,Data!$A$4:$A$947,0),MATCH(Graphs!CR$4,Data!$P$3:$Z$3,0)))</f>
        <v>342.417084</v>
      </c>
      <c r="CS189" s="24">
        <f t="array" ref="CS189">IF(INDEX(Data!$P$4:$Z$947,MATCH(Graphs!$CK189,Data!$A$4:$A$947,0),MATCH(Graphs!CS$4,Data!$P$3:$Z$3,0))="n.q.",NA(),INDEX(Data!$P$4:$Z$947,MATCH(Graphs!$CK189,Data!$A$4:$A$947,0),MATCH(Graphs!CS$4,Data!$P$3:$Z$3,0)))</f>
        <v>366.12</v>
      </c>
      <c r="CT189" s="24" t="str">
        <f t="array" ref="CT189">IF(INDEX(Data!$P$4:$Z$947,MATCH(Graphs!$CK189,Data!$A$4:$A$947,0),MATCH(Graphs!CT$4,Data!$P$3:$Z$3,0))="n.q.",NA(),INDEX(Data!$P$4:$Z$947,MATCH(Graphs!$CK189,Data!$A$4:$A$947,0),MATCH(Graphs!CT$4,Data!$P$3:$Z$3,0)))</f>
        <v>#N/A</v>
      </c>
      <c r="CU189" s="24" t="str">
        <f t="array" ref="CU189">IF(INDEX(Data!$P$4:$Z$947,MATCH(Graphs!$CK189,Data!$A$4:$A$947,0),MATCH(Graphs!CU$4,Data!$P$3:$Z$3,0))="n.q.",NA(),INDEX(Data!$P$4:$Z$947,MATCH(Graphs!$CK189,Data!$A$4:$A$947,0),MATCH(Graphs!CU$4,Data!$P$3:$Z$3,0)))</f>
        <v>#N/A</v>
      </c>
      <c r="CV189" s="24" t="str">
        <f t="array" ref="CV189">IF(INDEX(Data!$P$4:$Z$947,MATCH(Graphs!$CK189,Data!$A$4:$A$947,0),MATCH(Graphs!CV$4,Data!$P$3:$Z$3,0))="n.q.",NA(),INDEX(Data!$P$4:$Z$947,MATCH(Graphs!$CK189,Data!$A$4:$A$947,0),MATCH(Graphs!CV$4,Data!$P$3:$Z$3,0)))</f>
        <v>#N/A</v>
      </c>
    </row>
    <row r="190" ht="14.25" customHeight="1"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5"/>
      <c r="CK190" s="22">
        <f>Data!A189</f>
        <v>44671</v>
      </c>
      <c r="CL190" s="24">
        <f t="array" ref="CL190">IF(INDEX(Data!$B$4:$L$947,MATCH(Graphs!$CK190,Data!$A$4:$A$947,0),MATCH(Graphs!CL$4,Data!$B$3:$L$3,0))="n.q.",NA(),INDEX(Data!$B$4:$L$947,MATCH(Graphs!$CK190,Data!$A$4:$A$947,0),MATCH(Graphs!CL$4,Data!$B$3:$L$3,0)))</f>
        <v>441.9</v>
      </c>
      <c r="CM190" s="24">
        <f t="array" ref="CM190">IF(INDEX(Data!$B$4:$L$947,MATCH(Graphs!$CK190,Data!$A$4:$A$947,0),MATCH(Graphs!CM$4,Data!$B$3:$L$3,0))="n.q.",NA(),INDEX(Data!$B$4:$L$947,MATCH(Graphs!$CK190,Data!$A$4:$A$947,0),MATCH(Graphs!CM$4,Data!$B$3:$L$3,0)))</f>
        <v>510.09</v>
      </c>
      <c r="CN190" s="24" t="str">
        <f t="array" ref="CN190">IF(INDEX(Data!$B$4:$L$947,MATCH(Graphs!$CK190,Data!$A$4:$A$947,0),MATCH(Graphs!CN$4,Data!$B$3:$L$3,0))="n.q.",NA(),INDEX(Data!$B$4:$L$947,MATCH(Graphs!$CK190,Data!$A$4:$A$947,0),MATCH(Graphs!CN$4,Data!$B$3:$L$3,0)))</f>
        <v>#N/A</v>
      </c>
      <c r="CO190" s="24" t="str">
        <f t="array" ref="CO190">IF(INDEX(Data!$B$4:$L$947,MATCH(Graphs!$CK190,Data!$A$4:$A$947,0),MATCH(Graphs!CO$4,Data!$B$3:$L$3,0))="n.q.",NA(),INDEX(Data!$B$4:$L$947,MATCH(Graphs!$CK190,Data!$A$4:$A$947,0),MATCH(Graphs!CO$4,Data!$B$3:$L$3,0)))</f>
        <v>#N/A</v>
      </c>
      <c r="CP190" s="24" t="str">
        <f t="array" ref="CP190">IF(INDEX(Data!$B$4:$L$947,MATCH(Graphs!$CK190,Data!$A$4:$A$947,0),MATCH(Graphs!CP$4,Data!$B$3:$L$3,0))="n.q.",NA(),INDEX(Data!$B$4:$L$947,MATCH(Graphs!$CK190,Data!$A$4:$A$947,0),MATCH(Graphs!CP$4,Data!$B$3:$L$3,0)))</f>
        <v>#N/A</v>
      </c>
      <c r="CQ190" s="5"/>
      <c r="CR190" s="24">
        <f t="array" ref="CR190">IF(INDEX(Data!$P$4:$Z$947,MATCH(Graphs!$CK190,Data!$A$4:$A$947,0),MATCH(Graphs!CR$4,Data!$P$3:$Z$3,0))="n.q.",NA(),INDEX(Data!$P$4:$Z$947,MATCH(Graphs!$CK190,Data!$A$4:$A$947,0),MATCH(Graphs!CR$4,Data!$P$3:$Z$3,0)))</f>
        <v>336.5189289</v>
      </c>
      <c r="CS190" s="24">
        <f t="array" ref="CS190">IF(INDEX(Data!$P$4:$Z$947,MATCH(Graphs!$CK190,Data!$A$4:$A$947,0),MATCH(Graphs!CS$4,Data!$P$3:$Z$3,0))="n.q.",NA(),INDEX(Data!$P$4:$Z$947,MATCH(Graphs!$CK190,Data!$A$4:$A$947,0),MATCH(Graphs!CS$4,Data!$P$3:$Z$3,0)))</f>
        <v>347.62</v>
      </c>
      <c r="CT190" s="24" t="str">
        <f t="array" ref="CT190">IF(INDEX(Data!$P$4:$Z$947,MATCH(Graphs!$CK190,Data!$A$4:$A$947,0),MATCH(Graphs!CT$4,Data!$P$3:$Z$3,0))="n.q.",NA(),INDEX(Data!$P$4:$Z$947,MATCH(Graphs!$CK190,Data!$A$4:$A$947,0),MATCH(Graphs!CT$4,Data!$P$3:$Z$3,0)))</f>
        <v>#N/A</v>
      </c>
      <c r="CU190" s="24" t="str">
        <f t="array" ref="CU190">IF(INDEX(Data!$P$4:$Z$947,MATCH(Graphs!$CK190,Data!$A$4:$A$947,0),MATCH(Graphs!CU$4,Data!$P$3:$Z$3,0))="n.q.",NA(),INDEX(Data!$P$4:$Z$947,MATCH(Graphs!$CK190,Data!$A$4:$A$947,0),MATCH(Graphs!CU$4,Data!$P$3:$Z$3,0)))</f>
        <v>#N/A</v>
      </c>
      <c r="CV190" s="24" t="str">
        <f t="array" ref="CV190">IF(INDEX(Data!$P$4:$Z$947,MATCH(Graphs!$CK190,Data!$A$4:$A$947,0),MATCH(Graphs!CV$4,Data!$P$3:$Z$3,0))="n.q.",NA(),INDEX(Data!$P$4:$Z$947,MATCH(Graphs!$CK190,Data!$A$4:$A$947,0),MATCH(Graphs!CV$4,Data!$P$3:$Z$3,0)))</f>
        <v>#N/A</v>
      </c>
    </row>
    <row r="191" ht="14.25" customHeight="1"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5"/>
      <c r="CK191" s="22">
        <f>Data!A190</f>
        <v>44664</v>
      </c>
      <c r="CL191" s="24">
        <f t="array" ref="CL191">IF(INDEX(Data!$B$4:$L$947,MATCH(Graphs!$CK191,Data!$A$4:$A$947,0),MATCH(Graphs!CL$4,Data!$B$3:$L$3,0))="n.q.",NA(),INDEX(Data!$B$4:$L$947,MATCH(Graphs!$CK191,Data!$A$4:$A$947,0),MATCH(Graphs!CL$4,Data!$B$3:$L$3,0)))</f>
        <v>443.71</v>
      </c>
      <c r="CM191" s="24">
        <f t="array" ref="CM191">IF(INDEX(Data!$B$4:$L$947,MATCH(Graphs!$CK191,Data!$A$4:$A$947,0),MATCH(Graphs!CM$4,Data!$B$3:$L$3,0))="n.q.",NA(),INDEX(Data!$B$4:$L$947,MATCH(Graphs!$CK191,Data!$A$4:$A$947,0),MATCH(Graphs!CM$4,Data!$B$3:$L$3,0)))</f>
        <v>514.04</v>
      </c>
      <c r="CN191" s="24" t="str">
        <f t="array" ref="CN191">IF(INDEX(Data!$B$4:$L$947,MATCH(Graphs!$CK191,Data!$A$4:$A$947,0),MATCH(Graphs!CN$4,Data!$B$3:$L$3,0))="n.q.",NA(),INDEX(Data!$B$4:$L$947,MATCH(Graphs!$CK191,Data!$A$4:$A$947,0),MATCH(Graphs!CN$4,Data!$B$3:$L$3,0)))</f>
        <v>#N/A</v>
      </c>
      <c r="CO191" s="24" t="str">
        <f t="array" ref="CO191">IF(INDEX(Data!$B$4:$L$947,MATCH(Graphs!$CK191,Data!$A$4:$A$947,0),MATCH(Graphs!CO$4,Data!$B$3:$L$3,0))="n.q.",NA(),INDEX(Data!$B$4:$L$947,MATCH(Graphs!$CK191,Data!$A$4:$A$947,0),MATCH(Graphs!CO$4,Data!$B$3:$L$3,0)))</f>
        <v>#N/A</v>
      </c>
      <c r="CP191" s="24" t="str">
        <f t="array" ref="CP191">IF(INDEX(Data!$B$4:$L$947,MATCH(Graphs!$CK191,Data!$A$4:$A$947,0),MATCH(Graphs!CP$4,Data!$B$3:$L$3,0))="n.q.",NA(),INDEX(Data!$B$4:$L$947,MATCH(Graphs!$CK191,Data!$A$4:$A$947,0),MATCH(Graphs!CP$4,Data!$B$3:$L$3,0)))</f>
        <v>#N/A</v>
      </c>
      <c r="CQ191" s="5"/>
      <c r="CR191" s="24">
        <f t="array" ref="CR191">IF(INDEX(Data!$P$4:$Z$947,MATCH(Graphs!$CK191,Data!$A$4:$A$947,0),MATCH(Graphs!CR$4,Data!$P$3:$Z$3,0))="n.q.",NA(),INDEX(Data!$P$4:$Z$947,MATCH(Graphs!$CK191,Data!$A$4:$A$947,0),MATCH(Graphs!CR$4,Data!$P$3:$Z$3,0)))</f>
        <v>328.551635</v>
      </c>
      <c r="CS191" s="24">
        <f t="array" ref="CS191">IF(INDEX(Data!$P$4:$Z$947,MATCH(Graphs!$CK191,Data!$A$4:$A$947,0),MATCH(Graphs!CS$4,Data!$P$3:$Z$3,0))="n.q.",NA(),INDEX(Data!$P$4:$Z$947,MATCH(Graphs!$CK191,Data!$A$4:$A$947,0),MATCH(Graphs!CS$4,Data!$P$3:$Z$3,0)))</f>
        <v>348.37</v>
      </c>
      <c r="CT191" s="24" t="str">
        <f t="array" ref="CT191">IF(INDEX(Data!$P$4:$Z$947,MATCH(Graphs!$CK191,Data!$A$4:$A$947,0),MATCH(Graphs!CT$4,Data!$P$3:$Z$3,0))="n.q.",NA(),INDEX(Data!$P$4:$Z$947,MATCH(Graphs!$CK191,Data!$A$4:$A$947,0),MATCH(Graphs!CT$4,Data!$P$3:$Z$3,0)))</f>
        <v>#N/A</v>
      </c>
      <c r="CU191" s="24" t="str">
        <f t="array" ref="CU191">IF(INDEX(Data!$P$4:$Z$947,MATCH(Graphs!$CK191,Data!$A$4:$A$947,0),MATCH(Graphs!CU$4,Data!$P$3:$Z$3,0))="n.q.",NA(),INDEX(Data!$P$4:$Z$947,MATCH(Graphs!$CK191,Data!$A$4:$A$947,0),MATCH(Graphs!CU$4,Data!$P$3:$Z$3,0)))</f>
        <v>#N/A</v>
      </c>
      <c r="CV191" s="24" t="str">
        <f t="array" ref="CV191">IF(INDEX(Data!$P$4:$Z$947,MATCH(Graphs!$CK191,Data!$A$4:$A$947,0),MATCH(Graphs!CV$4,Data!$P$3:$Z$3,0))="n.q.",NA(),INDEX(Data!$P$4:$Z$947,MATCH(Graphs!$CK191,Data!$A$4:$A$947,0),MATCH(Graphs!CV$4,Data!$P$3:$Z$3,0)))</f>
        <v>#N/A</v>
      </c>
    </row>
    <row r="192" ht="14.25" customHeight="1"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5"/>
      <c r="CK192" s="22">
        <f>Data!A191</f>
        <v>44657</v>
      </c>
      <c r="CL192" s="24">
        <f t="array" ref="CL192">IF(INDEX(Data!$B$4:$L$947,MATCH(Graphs!$CK192,Data!$A$4:$A$947,0),MATCH(Graphs!CL$4,Data!$B$3:$L$3,0))="n.q.",NA(),INDEX(Data!$B$4:$L$947,MATCH(Graphs!$CK192,Data!$A$4:$A$947,0),MATCH(Graphs!CL$4,Data!$B$3:$L$3,0)))</f>
        <v>414.67</v>
      </c>
      <c r="CM192" s="24">
        <f t="array" ref="CM192">IF(INDEX(Data!$B$4:$L$947,MATCH(Graphs!$CK192,Data!$A$4:$A$947,0),MATCH(Graphs!CM$4,Data!$B$3:$L$3,0))="n.q.",NA(),INDEX(Data!$B$4:$L$947,MATCH(Graphs!$CK192,Data!$A$4:$A$947,0),MATCH(Graphs!CM$4,Data!$B$3:$L$3,0)))</f>
        <v>481.34</v>
      </c>
      <c r="CN192" s="24" t="str">
        <f t="array" ref="CN192">IF(INDEX(Data!$B$4:$L$947,MATCH(Graphs!$CK192,Data!$A$4:$A$947,0),MATCH(Graphs!CN$4,Data!$B$3:$L$3,0))="n.q.",NA(),INDEX(Data!$B$4:$L$947,MATCH(Graphs!$CK192,Data!$A$4:$A$947,0),MATCH(Graphs!CN$4,Data!$B$3:$L$3,0)))</f>
        <v>#N/A</v>
      </c>
      <c r="CO192" s="24" t="str">
        <f t="array" ref="CO192">IF(INDEX(Data!$B$4:$L$947,MATCH(Graphs!$CK192,Data!$A$4:$A$947,0),MATCH(Graphs!CO$4,Data!$B$3:$L$3,0))="n.q.",NA(),INDEX(Data!$B$4:$L$947,MATCH(Graphs!$CK192,Data!$A$4:$A$947,0),MATCH(Graphs!CO$4,Data!$B$3:$L$3,0)))</f>
        <v>#N/A</v>
      </c>
      <c r="CP192" s="24" t="str">
        <f t="array" ref="CP192">IF(INDEX(Data!$B$4:$L$947,MATCH(Graphs!$CK192,Data!$A$4:$A$947,0),MATCH(Graphs!CP$4,Data!$B$3:$L$3,0))="n.q.",NA(),INDEX(Data!$B$4:$L$947,MATCH(Graphs!$CK192,Data!$A$4:$A$947,0),MATCH(Graphs!CP$4,Data!$B$3:$L$3,0)))</f>
        <v>#N/A</v>
      </c>
      <c r="CQ192" s="5"/>
      <c r="CR192" s="24">
        <f t="array" ref="CR192">IF(INDEX(Data!$P$4:$Z$947,MATCH(Graphs!$CK192,Data!$A$4:$A$947,0),MATCH(Graphs!CR$4,Data!$P$3:$Z$3,0))="n.q.",NA(),INDEX(Data!$P$4:$Z$947,MATCH(Graphs!$CK192,Data!$A$4:$A$947,0),MATCH(Graphs!CR$4,Data!$P$3:$Z$3,0)))</f>
        <v>326.7142726</v>
      </c>
      <c r="CS192" s="24" t="str">
        <f t="array" ref="CS192">IF(INDEX(Data!$P$4:$Z$947,MATCH(Graphs!$CK192,Data!$A$4:$A$947,0),MATCH(Graphs!CS$4,Data!$P$3:$Z$3,0))="n.q.",NA(),INDEX(Data!$P$4:$Z$947,MATCH(Graphs!$CK192,Data!$A$4:$A$947,0),MATCH(Graphs!CS$4,Data!$P$3:$Z$3,0)))</f>
        <v>#N/A</v>
      </c>
      <c r="CT192" s="24" t="str">
        <f t="array" ref="CT192">IF(INDEX(Data!$P$4:$Z$947,MATCH(Graphs!$CK192,Data!$A$4:$A$947,0),MATCH(Graphs!CT$4,Data!$P$3:$Z$3,0))="n.q.",NA(),INDEX(Data!$P$4:$Z$947,MATCH(Graphs!$CK192,Data!$A$4:$A$947,0),MATCH(Graphs!CT$4,Data!$P$3:$Z$3,0)))</f>
        <v>#N/A</v>
      </c>
      <c r="CU192" s="24" t="str">
        <f t="array" ref="CU192">IF(INDEX(Data!$P$4:$Z$947,MATCH(Graphs!$CK192,Data!$A$4:$A$947,0),MATCH(Graphs!CU$4,Data!$P$3:$Z$3,0))="n.q.",NA(),INDEX(Data!$P$4:$Z$947,MATCH(Graphs!$CK192,Data!$A$4:$A$947,0),MATCH(Graphs!CU$4,Data!$P$3:$Z$3,0)))</f>
        <v>#N/A</v>
      </c>
      <c r="CV192" s="24" t="str">
        <f t="array" ref="CV192">IF(INDEX(Data!$P$4:$Z$947,MATCH(Graphs!$CK192,Data!$A$4:$A$947,0),MATCH(Graphs!CV$4,Data!$P$3:$Z$3,0))="n.q.",NA(),INDEX(Data!$P$4:$Z$947,MATCH(Graphs!$CK192,Data!$A$4:$A$947,0),MATCH(Graphs!CV$4,Data!$P$3:$Z$3,0)))</f>
        <v>#N/A</v>
      </c>
    </row>
    <row r="193" ht="14.25" customHeight="1"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5"/>
      <c r="CK193" s="22">
        <f>Data!A192</f>
        <v>44650</v>
      </c>
      <c r="CL193" s="24">
        <f t="array" ref="CL193">IF(INDEX(Data!$B$4:$L$947,MATCH(Graphs!$CK193,Data!$A$4:$A$947,0),MATCH(Graphs!CL$4,Data!$B$3:$L$3,0))="n.q.",NA(),INDEX(Data!$B$4:$L$947,MATCH(Graphs!$CK193,Data!$A$4:$A$947,0),MATCH(Graphs!CL$4,Data!$B$3:$L$3,0)))</f>
        <v>421.03</v>
      </c>
      <c r="CM193" s="24">
        <f t="array" ref="CM193">IF(INDEX(Data!$B$4:$L$947,MATCH(Graphs!$CK193,Data!$A$4:$A$947,0),MATCH(Graphs!CM$4,Data!$B$3:$L$3,0))="n.q.",NA(),INDEX(Data!$B$4:$L$947,MATCH(Graphs!$CK193,Data!$A$4:$A$947,0),MATCH(Graphs!CM$4,Data!$B$3:$L$3,0)))</f>
        <v>464.62</v>
      </c>
      <c r="CN193" s="24" t="str">
        <f t="array" ref="CN193">IF(INDEX(Data!$B$4:$L$947,MATCH(Graphs!$CK193,Data!$A$4:$A$947,0),MATCH(Graphs!CN$4,Data!$B$3:$L$3,0))="n.q.",NA(),INDEX(Data!$B$4:$L$947,MATCH(Graphs!$CK193,Data!$A$4:$A$947,0),MATCH(Graphs!CN$4,Data!$B$3:$L$3,0)))</f>
        <v>#N/A</v>
      </c>
      <c r="CO193" s="24" t="str">
        <f t="array" ref="CO193">IF(INDEX(Data!$B$4:$L$947,MATCH(Graphs!$CK193,Data!$A$4:$A$947,0),MATCH(Graphs!CO$4,Data!$B$3:$L$3,0))="n.q.",NA(),INDEX(Data!$B$4:$L$947,MATCH(Graphs!$CK193,Data!$A$4:$A$947,0),MATCH(Graphs!CO$4,Data!$B$3:$L$3,0)))</f>
        <v>#N/A</v>
      </c>
      <c r="CP193" s="24" t="str">
        <f t="array" ref="CP193">IF(INDEX(Data!$B$4:$L$947,MATCH(Graphs!$CK193,Data!$A$4:$A$947,0),MATCH(Graphs!CP$4,Data!$B$3:$L$3,0))="n.q.",NA(),INDEX(Data!$B$4:$L$947,MATCH(Graphs!$CK193,Data!$A$4:$A$947,0),MATCH(Graphs!CP$4,Data!$B$3:$L$3,0)))</f>
        <v>#N/A</v>
      </c>
      <c r="CQ193" s="5"/>
      <c r="CR193" s="24">
        <f t="array" ref="CR193">IF(INDEX(Data!$P$4:$Z$947,MATCH(Graphs!$CK193,Data!$A$4:$A$947,0),MATCH(Graphs!CR$4,Data!$P$3:$Z$3,0))="n.q.",NA(),INDEX(Data!$P$4:$Z$947,MATCH(Graphs!$CK193,Data!$A$4:$A$947,0),MATCH(Graphs!CR$4,Data!$P$3:$Z$3,0)))</f>
        <v>312.4393313</v>
      </c>
      <c r="CS193" s="24" t="str">
        <f t="array" ref="CS193">IF(INDEX(Data!$P$4:$Z$947,MATCH(Graphs!$CK193,Data!$A$4:$A$947,0),MATCH(Graphs!CS$4,Data!$P$3:$Z$3,0))="n.q.",NA(),INDEX(Data!$P$4:$Z$947,MATCH(Graphs!$CK193,Data!$A$4:$A$947,0),MATCH(Graphs!CS$4,Data!$P$3:$Z$3,0)))</f>
        <v>#N/A</v>
      </c>
      <c r="CT193" s="24" t="str">
        <f t="array" ref="CT193">IF(INDEX(Data!$P$4:$Z$947,MATCH(Graphs!$CK193,Data!$A$4:$A$947,0),MATCH(Graphs!CT$4,Data!$P$3:$Z$3,0))="n.q.",NA(),INDEX(Data!$P$4:$Z$947,MATCH(Graphs!$CK193,Data!$A$4:$A$947,0),MATCH(Graphs!CT$4,Data!$P$3:$Z$3,0)))</f>
        <v>#N/A</v>
      </c>
      <c r="CU193" s="24" t="str">
        <f t="array" ref="CU193">IF(INDEX(Data!$P$4:$Z$947,MATCH(Graphs!$CK193,Data!$A$4:$A$947,0),MATCH(Graphs!CU$4,Data!$P$3:$Z$3,0))="n.q.",NA(),INDEX(Data!$P$4:$Z$947,MATCH(Graphs!$CK193,Data!$A$4:$A$947,0),MATCH(Graphs!CU$4,Data!$P$3:$Z$3,0)))</f>
        <v>#N/A</v>
      </c>
      <c r="CV193" s="24" t="str">
        <f t="array" ref="CV193">IF(INDEX(Data!$P$4:$Z$947,MATCH(Graphs!$CK193,Data!$A$4:$A$947,0),MATCH(Graphs!CV$4,Data!$P$3:$Z$3,0))="n.q.",NA(),INDEX(Data!$P$4:$Z$947,MATCH(Graphs!$CK193,Data!$A$4:$A$947,0),MATCH(Graphs!CV$4,Data!$P$3:$Z$3,0)))</f>
        <v>#N/A</v>
      </c>
    </row>
    <row r="194" ht="14.25" customHeight="1"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5"/>
      <c r="CK194" s="22">
        <f>Data!A193</f>
        <v>44643</v>
      </c>
      <c r="CL194" s="24">
        <f t="array" ref="CL194">IF(INDEX(Data!$B$4:$L$947,MATCH(Graphs!$CK194,Data!$A$4:$A$947,0),MATCH(Graphs!CL$4,Data!$B$3:$L$3,0))="n.q.",NA(),INDEX(Data!$B$4:$L$947,MATCH(Graphs!$CK194,Data!$A$4:$A$947,0),MATCH(Graphs!CL$4,Data!$B$3:$L$3,0)))</f>
        <v>449.06</v>
      </c>
      <c r="CM194" s="24">
        <f t="array" ref="CM194">IF(INDEX(Data!$B$4:$L$947,MATCH(Graphs!$CK194,Data!$A$4:$A$947,0),MATCH(Graphs!CM$4,Data!$B$3:$L$3,0))="n.q.",NA(),INDEX(Data!$B$4:$L$947,MATCH(Graphs!$CK194,Data!$A$4:$A$947,0),MATCH(Graphs!CM$4,Data!$B$3:$L$3,0)))</f>
        <v>491.08</v>
      </c>
      <c r="CN194" s="24" t="str">
        <f t="array" ref="CN194">IF(INDEX(Data!$B$4:$L$947,MATCH(Graphs!$CK194,Data!$A$4:$A$947,0),MATCH(Graphs!CN$4,Data!$B$3:$L$3,0))="n.q.",NA(),INDEX(Data!$B$4:$L$947,MATCH(Graphs!$CK194,Data!$A$4:$A$947,0),MATCH(Graphs!CN$4,Data!$B$3:$L$3,0)))</f>
        <v>#N/A</v>
      </c>
      <c r="CO194" s="24" t="str">
        <f t="array" ref="CO194">IF(INDEX(Data!$B$4:$L$947,MATCH(Graphs!$CK194,Data!$A$4:$A$947,0),MATCH(Graphs!CO$4,Data!$B$3:$L$3,0))="n.q.",NA(),INDEX(Data!$B$4:$L$947,MATCH(Graphs!$CK194,Data!$A$4:$A$947,0),MATCH(Graphs!CO$4,Data!$B$3:$L$3,0)))</f>
        <v>#N/A</v>
      </c>
      <c r="CP194" s="24" t="str">
        <f t="array" ref="CP194">IF(INDEX(Data!$B$4:$L$947,MATCH(Graphs!$CK194,Data!$A$4:$A$947,0),MATCH(Graphs!CP$4,Data!$B$3:$L$3,0))="n.q.",NA(),INDEX(Data!$B$4:$L$947,MATCH(Graphs!$CK194,Data!$A$4:$A$947,0),MATCH(Graphs!CP$4,Data!$B$3:$L$3,0)))</f>
        <v>#N/A</v>
      </c>
      <c r="CQ194" s="5"/>
      <c r="CR194" s="24">
        <f t="array" ref="CR194">IF(INDEX(Data!$P$4:$Z$947,MATCH(Graphs!$CK194,Data!$A$4:$A$947,0),MATCH(Graphs!CR$4,Data!$P$3:$Z$3,0))="n.q.",NA(),INDEX(Data!$P$4:$Z$947,MATCH(Graphs!$CK194,Data!$A$4:$A$947,0),MATCH(Graphs!CR$4,Data!$P$3:$Z$3,0)))</f>
        <v>332.4897588</v>
      </c>
      <c r="CS194" s="24">
        <f t="array" ref="CS194">IF(INDEX(Data!$P$4:$Z$947,MATCH(Graphs!$CK194,Data!$A$4:$A$947,0),MATCH(Graphs!CS$4,Data!$P$3:$Z$3,0))="n.q.",NA(),INDEX(Data!$P$4:$Z$947,MATCH(Graphs!$CK194,Data!$A$4:$A$947,0),MATCH(Graphs!CS$4,Data!$P$3:$Z$3,0)))</f>
        <v>377.44</v>
      </c>
      <c r="CT194" s="24" t="str">
        <f t="array" ref="CT194">IF(INDEX(Data!$P$4:$Z$947,MATCH(Graphs!$CK194,Data!$A$4:$A$947,0),MATCH(Graphs!CT$4,Data!$P$3:$Z$3,0))="n.q.",NA(),INDEX(Data!$P$4:$Z$947,MATCH(Graphs!$CK194,Data!$A$4:$A$947,0),MATCH(Graphs!CT$4,Data!$P$3:$Z$3,0)))</f>
        <v>#N/A</v>
      </c>
      <c r="CU194" s="24" t="str">
        <f t="array" ref="CU194">IF(INDEX(Data!$P$4:$Z$947,MATCH(Graphs!$CK194,Data!$A$4:$A$947,0),MATCH(Graphs!CU$4,Data!$P$3:$Z$3,0))="n.q.",NA(),INDEX(Data!$P$4:$Z$947,MATCH(Graphs!$CK194,Data!$A$4:$A$947,0),MATCH(Graphs!CU$4,Data!$P$3:$Z$3,0)))</f>
        <v>#N/A</v>
      </c>
      <c r="CV194" s="24" t="str">
        <f t="array" ref="CV194">IF(INDEX(Data!$P$4:$Z$947,MATCH(Graphs!$CK194,Data!$A$4:$A$947,0),MATCH(Graphs!CV$4,Data!$P$3:$Z$3,0))="n.q.",NA(),INDEX(Data!$P$4:$Z$947,MATCH(Graphs!$CK194,Data!$A$4:$A$947,0),MATCH(Graphs!CV$4,Data!$P$3:$Z$3,0)))</f>
        <v>#N/A</v>
      </c>
    </row>
    <row r="195" ht="14.25" customHeight="1"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5"/>
      <c r="CK195" s="22">
        <f>Data!A194</f>
        <v>44636</v>
      </c>
      <c r="CL195" s="24">
        <f t="array" ref="CL195">IF(INDEX(Data!$B$4:$L$947,MATCH(Graphs!$CK195,Data!$A$4:$A$947,0),MATCH(Graphs!CL$4,Data!$B$3:$L$3,0))="n.q.",NA(),INDEX(Data!$B$4:$L$947,MATCH(Graphs!$CK195,Data!$A$4:$A$947,0),MATCH(Graphs!CL$4,Data!$B$3:$L$3,0)))</f>
        <v>427.01</v>
      </c>
      <c r="CM195" s="24">
        <f t="array" ref="CM195">IF(INDEX(Data!$B$4:$L$947,MATCH(Graphs!$CK195,Data!$A$4:$A$947,0),MATCH(Graphs!CM$4,Data!$B$3:$L$3,0))="n.q.",NA(),INDEX(Data!$B$4:$L$947,MATCH(Graphs!$CK195,Data!$A$4:$A$947,0),MATCH(Graphs!CM$4,Data!$B$3:$L$3,0)))</f>
        <v>473.08</v>
      </c>
      <c r="CN195" s="24" t="str">
        <f t="array" ref="CN195">IF(INDEX(Data!$B$4:$L$947,MATCH(Graphs!$CK195,Data!$A$4:$A$947,0),MATCH(Graphs!CN$4,Data!$B$3:$L$3,0))="n.q.",NA(),INDEX(Data!$B$4:$L$947,MATCH(Graphs!$CK195,Data!$A$4:$A$947,0),MATCH(Graphs!CN$4,Data!$B$3:$L$3,0)))</f>
        <v>#N/A</v>
      </c>
      <c r="CO195" s="24" t="str">
        <f t="array" ref="CO195">IF(INDEX(Data!$B$4:$L$947,MATCH(Graphs!$CK195,Data!$A$4:$A$947,0),MATCH(Graphs!CO$4,Data!$B$3:$L$3,0))="n.q.",NA(),INDEX(Data!$B$4:$L$947,MATCH(Graphs!$CK195,Data!$A$4:$A$947,0),MATCH(Graphs!CO$4,Data!$B$3:$L$3,0)))</f>
        <v>#N/A</v>
      </c>
      <c r="CP195" s="24" t="str">
        <f t="array" ref="CP195">IF(INDEX(Data!$B$4:$L$947,MATCH(Graphs!$CK195,Data!$A$4:$A$947,0),MATCH(Graphs!CP$4,Data!$B$3:$L$3,0))="n.q.",NA(),INDEX(Data!$B$4:$L$947,MATCH(Graphs!$CK195,Data!$A$4:$A$947,0),MATCH(Graphs!CP$4,Data!$B$3:$L$3,0)))</f>
        <v>#N/A</v>
      </c>
      <c r="CQ195" s="5"/>
      <c r="CR195" s="24">
        <f t="array" ref="CR195">IF(INDEX(Data!$P$4:$Z$947,MATCH(Graphs!$CK195,Data!$A$4:$A$947,0),MATCH(Graphs!CR$4,Data!$P$3:$Z$3,0))="n.q.",NA(),INDEX(Data!$P$4:$Z$947,MATCH(Graphs!$CK195,Data!$A$4:$A$947,0),MATCH(Graphs!CR$4,Data!$P$3:$Z$3,0)))</f>
        <v>329.4433327</v>
      </c>
      <c r="CS195" s="24">
        <f t="array" ref="CS195">IF(INDEX(Data!$P$4:$Z$947,MATCH(Graphs!$CK195,Data!$A$4:$A$947,0),MATCH(Graphs!CS$4,Data!$P$3:$Z$3,0))="n.q.",NA(),INDEX(Data!$P$4:$Z$947,MATCH(Graphs!$CK195,Data!$A$4:$A$947,0),MATCH(Graphs!CS$4,Data!$P$3:$Z$3,0)))</f>
        <v>379.94</v>
      </c>
      <c r="CT195" s="24" t="str">
        <f t="array" ref="CT195">IF(INDEX(Data!$P$4:$Z$947,MATCH(Graphs!$CK195,Data!$A$4:$A$947,0),MATCH(Graphs!CT$4,Data!$P$3:$Z$3,0))="n.q.",NA(),INDEX(Data!$P$4:$Z$947,MATCH(Graphs!$CK195,Data!$A$4:$A$947,0),MATCH(Graphs!CT$4,Data!$P$3:$Z$3,0)))</f>
        <v>#N/A</v>
      </c>
      <c r="CU195" s="24" t="str">
        <f t="array" ref="CU195">IF(INDEX(Data!$P$4:$Z$947,MATCH(Graphs!$CK195,Data!$A$4:$A$947,0),MATCH(Graphs!CU$4,Data!$P$3:$Z$3,0))="n.q.",NA(),INDEX(Data!$P$4:$Z$947,MATCH(Graphs!$CK195,Data!$A$4:$A$947,0),MATCH(Graphs!CU$4,Data!$P$3:$Z$3,0)))</f>
        <v>#N/A</v>
      </c>
      <c r="CV195" s="24" t="str">
        <f t="array" ref="CV195">IF(INDEX(Data!$P$4:$Z$947,MATCH(Graphs!$CK195,Data!$A$4:$A$947,0),MATCH(Graphs!CV$4,Data!$P$3:$Z$3,0))="n.q.",NA(),INDEX(Data!$P$4:$Z$947,MATCH(Graphs!$CK195,Data!$A$4:$A$947,0),MATCH(Graphs!CV$4,Data!$P$3:$Z$3,0)))</f>
        <v>#N/A</v>
      </c>
    </row>
    <row r="196" ht="14.25" customHeight="1"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5"/>
      <c r="CK196" s="22">
        <f>Data!A195</f>
        <v>44629</v>
      </c>
      <c r="CL196" s="24">
        <f t="array" ref="CL196">IF(INDEX(Data!$B$4:$L$947,MATCH(Graphs!$CK196,Data!$A$4:$A$947,0),MATCH(Graphs!CL$4,Data!$B$3:$L$3,0))="n.q.",NA(),INDEX(Data!$B$4:$L$947,MATCH(Graphs!$CK196,Data!$A$4:$A$947,0),MATCH(Graphs!CL$4,Data!$B$3:$L$3,0)))</f>
        <v>449.63</v>
      </c>
      <c r="CM196" s="24">
        <f t="array" ref="CM196">IF(INDEX(Data!$B$4:$L$947,MATCH(Graphs!$CK196,Data!$A$4:$A$947,0),MATCH(Graphs!CM$4,Data!$B$3:$L$3,0))="n.q.",NA(),INDEX(Data!$B$4:$L$947,MATCH(Graphs!$CK196,Data!$A$4:$A$947,0),MATCH(Graphs!CM$4,Data!$B$3:$L$3,0)))</f>
        <v>488.51</v>
      </c>
      <c r="CN196" s="24" t="str">
        <f t="array" ref="CN196">IF(INDEX(Data!$B$4:$L$947,MATCH(Graphs!$CK196,Data!$A$4:$A$947,0),MATCH(Graphs!CN$4,Data!$B$3:$L$3,0))="n.q.",NA(),INDEX(Data!$B$4:$L$947,MATCH(Graphs!$CK196,Data!$A$4:$A$947,0),MATCH(Graphs!CN$4,Data!$B$3:$L$3,0)))</f>
        <v>#N/A</v>
      </c>
      <c r="CO196" s="24" t="str">
        <f t="array" ref="CO196">IF(INDEX(Data!$B$4:$L$947,MATCH(Graphs!$CK196,Data!$A$4:$A$947,0),MATCH(Graphs!CO$4,Data!$B$3:$L$3,0))="n.q.",NA(),INDEX(Data!$B$4:$L$947,MATCH(Graphs!$CK196,Data!$A$4:$A$947,0),MATCH(Graphs!CO$4,Data!$B$3:$L$3,0)))</f>
        <v>#N/A</v>
      </c>
      <c r="CP196" s="24" t="str">
        <f t="array" ref="CP196">IF(INDEX(Data!$B$4:$L$947,MATCH(Graphs!$CK196,Data!$A$4:$A$947,0),MATCH(Graphs!CP$4,Data!$B$3:$L$3,0))="n.q.",NA(),INDEX(Data!$B$4:$L$947,MATCH(Graphs!$CK196,Data!$A$4:$A$947,0),MATCH(Graphs!CP$4,Data!$B$3:$L$3,0)))</f>
        <v>#N/A</v>
      </c>
      <c r="CQ196" s="5"/>
      <c r="CR196" s="24">
        <f t="array" ref="CR196">IF(INDEX(Data!$P$4:$Z$947,MATCH(Graphs!$CK196,Data!$A$4:$A$947,0),MATCH(Graphs!CR$4,Data!$P$3:$Z$3,0))="n.q.",NA(),INDEX(Data!$P$4:$Z$947,MATCH(Graphs!$CK196,Data!$A$4:$A$947,0),MATCH(Graphs!CR$4,Data!$P$3:$Z$3,0)))</f>
        <v>326.9626126</v>
      </c>
      <c r="CS196" s="24" t="str">
        <f t="array" ref="CS196">IF(INDEX(Data!$P$4:$Z$947,MATCH(Graphs!$CK196,Data!$A$4:$A$947,0),MATCH(Graphs!CS$4,Data!$P$3:$Z$3,0))="n.q.",NA(),INDEX(Data!$P$4:$Z$947,MATCH(Graphs!$CK196,Data!$A$4:$A$947,0),MATCH(Graphs!CS$4,Data!$P$3:$Z$3,0)))</f>
        <v>#N/A</v>
      </c>
      <c r="CT196" s="24" t="str">
        <f t="array" ref="CT196">IF(INDEX(Data!$P$4:$Z$947,MATCH(Graphs!$CK196,Data!$A$4:$A$947,0),MATCH(Graphs!CT$4,Data!$P$3:$Z$3,0))="n.q.",NA(),INDEX(Data!$P$4:$Z$947,MATCH(Graphs!$CK196,Data!$A$4:$A$947,0),MATCH(Graphs!CT$4,Data!$P$3:$Z$3,0)))</f>
        <v>#N/A</v>
      </c>
      <c r="CU196" s="24" t="str">
        <f t="array" ref="CU196">IF(INDEX(Data!$P$4:$Z$947,MATCH(Graphs!$CK196,Data!$A$4:$A$947,0),MATCH(Graphs!CU$4,Data!$P$3:$Z$3,0))="n.q.",NA(),INDEX(Data!$P$4:$Z$947,MATCH(Graphs!$CK196,Data!$A$4:$A$947,0),MATCH(Graphs!CU$4,Data!$P$3:$Z$3,0)))</f>
        <v>#N/A</v>
      </c>
      <c r="CV196" s="24" t="str">
        <f t="array" ref="CV196">IF(INDEX(Data!$P$4:$Z$947,MATCH(Graphs!$CK196,Data!$A$4:$A$947,0),MATCH(Graphs!CV$4,Data!$P$3:$Z$3,0))="n.q.",NA(),INDEX(Data!$P$4:$Z$947,MATCH(Graphs!$CK196,Data!$A$4:$A$947,0),MATCH(Graphs!CV$4,Data!$P$3:$Z$3,0)))</f>
        <v>#N/A</v>
      </c>
    </row>
    <row r="197" ht="14.25" customHeight="1"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5"/>
      <c r="CK197" s="22">
        <f>Data!A196</f>
        <v>44622</v>
      </c>
      <c r="CL197" s="24">
        <f t="array" ref="CL197">IF(INDEX(Data!$B$4:$L$947,MATCH(Graphs!$CK197,Data!$A$4:$A$947,0),MATCH(Graphs!CL$4,Data!$B$3:$L$3,0))="n.q.",NA(),INDEX(Data!$B$4:$L$947,MATCH(Graphs!$CK197,Data!$A$4:$A$947,0),MATCH(Graphs!CL$4,Data!$B$3:$L$3,0)))</f>
        <v>405.46</v>
      </c>
      <c r="CM197" s="24">
        <f t="array" ref="CM197">IF(INDEX(Data!$B$4:$L$947,MATCH(Graphs!$CK197,Data!$A$4:$A$947,0),MATCH(Graphs!CM$4,Data!$B$3:$L$3,0))="n.q.",NA(),INDEX(Data!$B$4:$L$947,MATCH(Graphs!$CK197,Data!$A$4:$A$947,0),MATCH(Graphs!CM$4,Data!$B$3:$L$3,0)))</f>
        <v>477.12</v>
      </c>
      <c r="CN197" s="24">
        <f t="array" ref="CN197">IF(INDEX(Data!$B$4:$L$947,MATCH(Graphs!$CK197,Data!$A$4:$A$947,0),MATCH(Graphs!CN$4,Data!$B$3:$L$3,0))="n.q.",NA(),INDEX(Data!$B$4:$L$947,MATCH(Graphs!$CK197,Data!$A$4:$A$947,0),MATCH(Graphs!CN$4,Data!$B$3:$L$3,0)))</f>
        <v>362</v>
      </c>
      <c r="CO197" s="24" t="str">
        <f t="array" ref="CO197">IF(INDEX(Data!$B$4:$L$947,MATCH(Graphs!$CK197,Data!$A$4:$A$947,0),MATCH(Graphs!CO$4,Data!$B$3:$L$3,0))="n.q.",NA(),INDEX(Data!$B$4:$L$947,MATCH(Graphs!$CK197,Data!$A$4:$A$947,0),MATCH(Graphs!CO$4,Data!$B$3:$L$3,0)))</f>
        <v>#N/A</v>
      </c>
      <c r="CP197" s="24" t="str">
        <f t="array" ref="CP197">IF(INDEX(Data!$B$4:$L$947,MATCH(Graphs!$CK197,Data!$A$4:$A$947,0),MATCH(Graphs!CP$4,Data!$B$3:$L$3,0))="n.q.",NA(),INDEX(Data!$B$4:$L$947,MATCH(Graphs!$CK197,Data!$A$4:$A$947,0),MATCH(Graphs!CP$4,Data!$B$3:$L$3,0)))</f>
        <v>#N/A</v>
      </c>
      <c r="CQ197" s="5"/>
      <c r="CR197" s="24">
        <f t="array" ref="CR197">IF(INDEX(Data!$P$4:$Z$947,MATCH(Graphs!$CK197,Data!$A$4:$A$947,0),MATCH(Graphs!CR$4,Data!$P$3:$Z$3,0))="n.q.",NA(),INDEX(Data!$P$4:$Z$947,MATCH(Graphs!$CK197,Data!$A$4:$A$947,0),MATCH(Graphs!CR$4,Data!$P$3:$Z$3,0)))</f>
        <v>308.0406987</v>
      </c>
      <c r="CS197" s="24">
        <f t="array" ref="CS197">IF(INDEX(Data!$P$4:$Z$947,MATCH(Graphs!$CK197,Data!$A$4:$A$947,0),MATCH(Graphs!CS$4,Data!$P$3:$Z$3,0))="n.q.",NA(),INDEX(Data!$P$4:$Z$947,MATCH(Graphs!$CK197,Data!$A$4:$A$947,0),MATCH(Graphs!CS$4,Data!$P$3:$Z$3,0)))</f>
        <v>342.44</v>
      </c>
      <c r="CT197" s="24">
        <f t="array" ref="CT197">IF(INDEX(Data!$P$4:$Z$947,MATCH(Graphs!$CK197,Data!$A$4:$A$947,0),MATCH(Graphs!CT$4,Data!$P$3:$Z$3,0))="n.q.",NA(),INDEX(Data!$P$4:$Z$947,MATCH(Graphs!$CK197,Data!$A$4:$A$947,0),MATCH(Graphs!CT$4,Data!$P$3:$Z$3,0)))</f>
        <v>297.1366829</v>
      </c>
      <c r="CU197" s="24" t="str">
        <f t="array" ref="CU197">IF(INDEX(Data!$P$4:$Z$947,MATCH(Graphs!$CK197,Data!$A$4:$A$947,0),MATCH(Graphs!CU$4,Data!$P$3:$Z$3,0))="n.q.",NA(),INDEX(Data!$P$4:$Z$947,MATCH(Graphs!$CK197,Data!$A$4:$A$947,0),MATCH(Graphs!CU$4,Data!$P$3:$Z$3,0)))</f>
        <v>#N/A</v>
      </c>
      <c r="CV197" s="24" t="str">
        <f t="array" ref="CV197">IF(INDEX(Data!$P$4:$Z$947,MATCH(Graphs!$CK197,Data!$A$4:$A$947,0),MATCH(Graphs!CV$4,Data!$P$3:$Z$3,0))="n.q.",NA(),INDEX(Data!$P$4:$Z$947,MATCH(Graphs!$CK197,Data!$A$4:$A$947,0),MATCH(Graphs!CV$4,Data!$P$3:$Z$3,0)))</f>
        <v>#N/A</v>
      </c>
    </row>
    <row r="198" ht="14.25" customHeight="1"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5"/>
      <c r="CK198" s="22">
        <f>Data!A197</f>
        <v>44615</v>
      </c>
      <c r="CL198" s="24">
        <f t="array" ref="CL198">IF(INDEX(Data!$B$4:$L$947,MATCH(Graphs!$CK198,Data!$A$4:$A$947,0),MATCH(Graphs!CL$4,Data!$B$3:$L$3,0))="n.q.",NA(),INDEX(Data!$B$4:$L$947,MATCH(Graphs!$CK198,Data!$A$4:$A$947,0),MATCH(Graphs!CL$4,Data!$B$3:$L$3,0)))</f>
        <v>332.93</v>
      </c>
      <c r="CM198" s="24">
        <f t="array" ref="CM198">IF(INDEX(Data!$B$4:$L$947,MATCH(Graphs!$CK198,Data!$A$4:$A$947,0),MATCH(Graphs!CM$4,Data!$B$3:$L$3,0))="n.q.",NA(),INDEX(Data!$B$4:$L$947,MATCH(Graphs!$CK198,Data!$A$4:$A$947,0),MATCH(Graphs!CM$4,Data!$B$3:$L$3,0)))</f>
        <v>418.33</v>
      </c>
      <c r="CN198" s="24">
        <f t="array" ref="CN198">IF(INDEX(Data!$B$4:$L$947,MATCH(Graphs!$CK198,Data!$A$4:$A$947,0),MATCH(Graphs!CN$4,Data!$B$3:$L$3,0))="n.q.",NA(),INDEX(Data!$B$4:$L$947,MATCH(Graphs!$CK198,Data!$A$4:$A$947,0),MATCH(Graphs!CN$4,Data!$B$3:$L$3,0)))</f>
        <v>295</v>
      </c>
      <c r="CO198" s="24" t="str">
        <f t="array" ref="CO198">IF(INDEX(Data!$B$4:$L$947,MATCH(Graphs!$CK198,Data!$A$4:$A$947,0),MATCH(Graphs!CO$4,Data!$B$3:$L$3,0))="n.q.",NA(),INDEX(Data!$B$4:$L$947,MATCH(Graphs!$CK198,Data!$A$4:$A$947,0),MATCH(Graphs!CO$4,Data!$B$3:$L$3,0)))</f>
        <v>#N/A</v>
      </c>
      <c r="CP198" s="24" t="str">
        <f t="array" ref="CP198">IF(INDEX(Data!$B$4:$L$947,MATCH(Graphs!$CK198,Data!$A$4:$A$947,0),MATCH(Graphs!CP$4,Data!$B$3:$L$3,0))="n.q.",NA(),INDEX(Data!$B$4:$L$947,MATCH(Graphs!$CK198,Data!$A$4:$A$947,0),MATCH(Graphs!CP$4,Data!$B$3:$L$3,0)))</f>
        <v>#N/A</v>
      </c>
      <c r="CQ198" s="5"/>
      <c r="CR198" s="24">
        <f t="array" ref="CR198">IF(INDEX(Data!$P$4:$Z$947,MATCH(Graphs!$CK198,Data!$A$4:$A$947,0),MATCH(Graphs!CR$4,Data!$P$3:$Z$3,0))="n.q.",NA(),INDEX(Data!$P$4:$Z$947,MATCH(Graphs!$CK198,Data!$A$4:$A$947,0),MATCH(Graphs!CR$4,Data!$P$3:$Z$3,0)))</f>
        <v>275.114598</v>
      </c>
      <c r="CS198" s="24">
        <f t="array" ref="CS198">IF(INDEX(Data!$P$4:$Z$947,MATCH(Graphs!$CK198,Data!$A$4:$A$947,0),MATCH(Graphs!CS$4,Data!$P$3:$Z$3,0))="n.q.",NA(),INDEX(Data!$P$4:$Z$947,MATCH(Graphs!$CK198,Data!$A$4:$A$947,0),MATCH(Graphs!CS$4,Data!$P$3:$Z$3,0)))</f>
        <v>275.01</v>
      </c>
      <c r="CT198" s="24">
        <f t="array" ref="CT198">IF(INDEX(Data!$P$4:$Z$947,MATCH(Graphs!$CK198,Data!$A$4:$A$947,0),MATCH(Graphs!CT$4,Data!$P$3:$Z$3,0))="n.q.",NA(),INDEX(Data!$P$4:$Z$947,MATCH(Graphs!$CK198,Data!$A$4:$A$947,0),MATCH(Graphs!CT$4,Data!$P$3:$Z$3,0)))</f>
        <v>259.167842</v>
      </c>
      <c r="CU198" s="24" t="str">
        <f t="array" ref="CU198">IF(INDEX(Data!$P$4:$Z$947,MATCH(Graphs!$CK198,Data!$A$4:$A$947,0),MATCH(Graphs!CU$4,Data!$P$3:$Z$3,0))="n.q.",NA(),INDEX(Data!$P$4:$Z$947,MATCH(Graphs!$CK198,Data!$A$4:$A$947,0),MATCH(Graphs!CU$4,Data!$P$3:$Z$3,0)))</f>
        <v>#N/A</v>
      </c>
      <c r="CV198" s="24" t="str">
        <f t="array" ref="CV198">IF(INDEX(Data!$P$4:$Z$947,MATCH(Graphs!$CK198,Data!$A$4:$A$947,0),MATCH(Graphs!CV$4,Data!$P$3:$Z$3,0))="n.q.",NA(),INDEX(Data!$P$4:$Z$947,MATCH(Graphs!$CK198,Data!$A$4:$A$947,0),MATCH(Graphs!CV$4,Data!$P$3:$Z$3,0)))</f>
        <v>#N/A</v>
      </c>
    </row>
    <row r="199" ht="14.25" customHeight="1"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5"/>
      <c r="CK199" s="22">
        <f>Data!A198</f>
        <v>44608</v>
      </c>
      <c r="CL199" s="24">
        <f t="array" ref="CL199">IF(INDEX(Data!$B$4:$L$947,MATCH(Graphs!$CK199,Data!$A$4:$A$947,0),MATCH(Graphs!CL$4,Data!$B$3:$L$3,0))="n.q.",NA(),INDEX(Data!$B$4:$L$947,MATCH(Graphs!$CK199,Data!$A$4:$A$947,0),MATCH(Graphs!CL$4,Data!$B$3:$L$3,0)))</f>
        <v>308.76</v>
      </c>
      <c r="CM199" s="24">
        <f t="array" ref="CM199">IF(INDEX(Data!$B$4:$L$947,MATCH(Graphs!$CK199,Data!$A$4:$A$947,0),MATCH(Graphs!CM$4,Data!$B$3:$L$3,0))="n.q.",NA(),INDEX(Data!$B$4:$L$947,MATCH(Graphs!$CK199,Data!$A$4:$A$947,0),MATCH(Graphs!CM$4,Data!$B$3:$L$3,0)))</f>
        <v>377.73</v>
      </c>
      <c r="CN199" s="24">
        <f t="array" ref="CN199">IF(INDEX(Data!$B$4:$L$947,MATCH(Graphs!$CK199,Data!$A$4:$A$947,0),MATCH(Graphs!CN$4,Data!$B$3:$L$3,0))="n.q.",NA(),INDEX(Data!$B$4:$L$947,MATCH(Graphs!$CK199,Data!$A$4:$A$947,0),MATCH(Graphs!CN$4,Data!$B$3:$L$3,0)))</f>
        <v>299</v>
      </c>
      <c r="CO199" s="24" t="str">
        <f t="array" ref="CO199">IF(INDEX(Data!$B$4:$L$947,MATCH(Graphs!$CK199,Data!$A$4:$A$947,0),MATCH(Graphs!CO$4,Data!$B$3:$L$3,0))="n.q.",NA(),INDEX(Data!$B$4:$L$947,MATCH(Graphs!$CK199,Data!$A$4:$A$947,0),MATCH(Graphs!CO$4,Data!$B$3:$L$3,0)))</f>
        <v>#N/A</v>
      </c>
      <c r="CP199" s="24" t="str">
        <f t="array" ref="CP199">IF(INDEX(Data!$B$4:$L$947,MATCH(Graphs!$CK199,Data!$A$4:$A$947,0),MATCH(Graphs!CP$4,Data!$B$3:$L$3,0))="n.q.",NA(),INDEX(Data!$B$4:$L$947,MATCH(Graphs!$CK199,Data!$A$4:$A$947,0),MATCH(Graphs!CP$4,Data!$B$3:$L$3,0)))</f>
        <v>#N/A</v>
      </c>
      <c r="CQ199" s="5"/>
      <c r="CR199" s="24">
        <f t="array" ref="CR199">IF(INDEX(Data!$P$4:$Z$947,MATCH(Graphs!$CK199,Data!$A$4:$A$947,0),MATCH(Graphs!CR$4,Data!$P$3:$Z$3,0))="n.q.",NA(),INDEX(Data!$P$4:$Z$947,MATCH(Graphs!$CK199,Data!$A$4:$A$947,0),MATCH(Graphs!CR$4,Data!$P$3:$Z$3,0)))</f>
        <v>262.0647204</v>
      </c>
      <c r="CS199" s="24">
        <f t="array" ref="CS199">IF(INDEX(Data!$P$4:$Z$947,MATCH(Graphs!$CK199,Data!$A$4:$A$947,0),MATCH(Graphs!CS$4,Data!$P$3:$Z$3,0))="n.q.",NA(),INDEX(Data!$P$4:$Z$947,MATCH(Graphs!$CK199,Data!$A$4:$A$947,0),MATCH(Graphs!CS$4,Data!$P$3:$Z$3,0)))</f>
        <v>258.01</v>
      </c>
      <c r="CT199" s="24">
        <f t="array" ref="CT199">IF(INDEX(Data!$P$4:$Z$947,MATCH(Graphs!$CK199,Data!$A$4:$A$947,0),MATCH(Graphs!CT$4,Data!$P$3:$Z$3,0))="n.q.",NA(),INDEX(Data!$P$4:$Z$947,MATCH(Graphs!$CK199,Data!$A$4:$A$947,0),MATCH(Graphs!CT$4,Data!$P$3:$Z$3,0)))</f>
        <v>253.6932817</v>
      </c>
      <c r="CU199" s="24" t="str">
        <f t="array" ref="CU199">IF(INDEX(Data!$P$4:$Z$947,MATCH(Graphs!$CK199,Data!$A$4:$A$947,0),MATCH(Graphs!CU$4,Data!$P$3:$Z$3,0))="n.q.",NA(),INDEX(Data!$P$4:$Z$947,MATCH(Graphs!$CK199,Data!$A$4:$A$947,0),MATCH(Graphs!CU$4,Data!$P$3:$Z$3,0)))</f>
        <v>#N/A</v>
      </c>
      <c r="CV199" s="24" t="str">
        <f t="array" ref="CV199">IF(INDEX(Data!$P$4:$Z$947,MATCH(Graphs!$CK199,Data!$A$4:$A$947,0),MATCH(Graphs!CV$4,Data!$P$3:$Z$3,0))="n.q.",NA(),INDEX(Data!$P$4:$Z$947,MATCH(Graphs!$CK199,Data!$A$4:$A$947,0),MATCH(Graphs!CV$4,Data!$P$3:$Z$3,0)))</f>
        <v>#N/A</v>
      </c>
    </row>
    <row r="200" ht="14.25" customHeight="1"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5"/>
      <c r="CK200" s="22">
        <f>Data!A199</f>
        <v>44601</v>
      </c>
      <c r="CL200" s="24">
        <f t="array" ref="CL200">IF(INDEX(Data!$B$4:$L$947,MATCH(Graphs!$CK200,Data!$A$4:$A$947,0),MATCH(Graphs!CL$4,Data!$B$3:$L$3,0))="n.q.",NA(),INDEX(Data!$B$4:$L$947,MATCH(Graphs!$CK200,Data!$A$4:$A$947,0),MATCH(Graphs!CL$4,Data!$B$3:$L$3,0)))</f>
        <v>308.46</v>
      </c>
      <c r="CM200" s="24">
        <f t="array" ref="CM200">IF(INDEX(Data!$B$4:$L$947,MATCH(Graphs!$CK200,Data!$A$4:$A$947,0),MATCH(Graphs!CM$4,Data!$B$3:$L$3,0))="n.q.",NA(),INDEX(Data!$B$4:$L$947,MATCH(Graphs!$CK200,Data!$A$4:$A$947,0),MATCH(Graphs!CM$4,Data!$B$3:$L$3,0)))</f>
        <v>382.13</v>
      </c>
      <c r="CN200" s="24">
        <f t="array" ref="CN200">IF(INDEX(Data!$B$4:$L$947,MATCH(Graphs!$CK200,Data!$A$4:$A$947,0),MATCH(Graphs!CN$4,Data!$B$3:$L$3,0))="n.q.",NA(),INDEX(Data!$B$4:$L$947,MATCH(Graphs!$CK200,Data!$A$4:$A$947,0),MATCH(Graphs!CN$4,Data!$B$3:$L$3,0)))</f>
        <v>300</v>
      </c>
      <c r="CO200" s="24" t="str">
        <f t="array" ref="CO200">IF(INDEX(Data!$B$4:$L$947,MATCH(Graphs!$CK200,Data!$A$4:$A$947,0),MATCH(Graphs!CO$4,Data!$B$3:$L$3,0))="n.q.",NA(),INDEX(Data!$B$4:$L$947,MATCH(Graphs!$CK200,Data!$A$4:$A$947,0),MATCH(Graphs!CO$4,Data!$B$3:$L$3,0)))</f>
        <v>#N/A</v>
      </c>
      <c r="CP200" s="24" t="str">
        <f t="array" ref="CP200">IF(INDEX(Data!$B$4:$L$947,MATCH(Graphs!$CK200,Data!$A$4:$A$947,0),MATCH(Graphs!CP$4,Data!$B$3:$L$3,0))="n.q.",NA(),INDEX(Data!$B$4:$L$947,MATCH(Graphs!$CK200,Data!$A$4:$A$947,0),MATCH(Graphs!CP$4,Data!$B$3:$L$3,0)))</f>
        <v>#N/A</v>
      </c>
      <c r="CQ200" s="5"/>
      <c r="CR200" s="24">
        <f t="array" ref="CR200">IF(INDEX(Data!$P$4:$Z$947,MATCH(Graphs!$CK200,Data!$A$4:$A$947,0),MATCH(Graphs!CR$4,Data!$P$3:$Z$3,0))="n.q.",NA(),INDEX(Data!$P$4:$Z$947,MATCH(Graphs!$CK200,Data!$A$4:$A$947,0),MATCH(Graphs!CR$4,Data!$P$3:$Z$3,0)))</f>
        <v>262.2562309</v>
      </c>
      <c r="CS200" s="24">
        <f t="array" ref="CS200">IF(INDEX(Data!$P$4:$Z$947,MATCH(Graphs!$CK200,Data!$A$4:$A$947,0),MATCH(Graphs!CS$4,Data!$P$3:$Z$3,0))="n.q.",NA(),INDEX(Data!$P$4:$Z$947,MATCH(Graphs!$CK200,Data!$A$4:$A$947,0),MATCH(Graphs!CS$4,Data!$P$3:$Z$3,0)))</f>
        <v>261.01</v>
      </c>
      <c r="CT200" s="24">
        <f t="array" ref="CT200">IF(INDEX(Data!$P$4:$Z$947,MATCH(Graphs!$CK200,Data!$A$4:$A$947,0),MATCH(Graphs!CT$4,Data!$P$3:$Z$3,0))="n.q.",NA(),INDEX(Data!$P$4:$Z$947,MATCH(Graphs!$CK200,Data!$A$4:$A$947,0),MATCH(Graphs!CT$4,Data!$P$3:$Z$3,0)))</f>
        <v>250.1093135</v>
      </c>
      <c r="CU200" s="24" t="str">
        <f t="array" ref="CU200">IF(INDEX(Data!$P$4:$Z$947,MATCH(Graphs!$CK200,Data!$A$4:$A$947,0),MATCH(Graphs!CU$4,Data!$P$3:$Z$3,0))="n.q.",NA(),INDEX(Data!$P$4:$Z$947,MATCH(Graphs!$CK200,Data!$A$4:$A$947,0),MATCH(Graphs!CU$4,Data!$P$3:$Z$3,0)))</f>
        <v>#N/A</v>
      </c>
      <c r="CV200" s="24" t="str">
        <f t="array" ref="CV200">IF(INDEX(Data!$P$4:$Z$947,MATCH(Graphs!$CK200,Data!$A$4:$A$947,0),MATCH(Graphs!CV$4,Data!$P$3:$Z$3,0))="n.q.",NA(),INDEX(Data!$P$4:$Z$947,MATCH(Graphs!$CK200,Data!$A$4:$A$947,0),MATCH(Graphs!CV$4,Data!$P$3:$Z$3,0)))</f>
        <v>#N/A</v>
      </c>
    </row>
    <row r="201" ht="14.25" customHeight="1"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5"/>
      <c r="CK201" s="22">
        <f>Data!A200</f>
        <v>44594</v>
      </c>
      <c r="CL201" s="24">
        <f t="array" ref="CL201">IF(INDEX(Data!$B$4:$L$947,MATCH(Graphs!$CK201,Data!$A$4:$A$947,0),MATCH(Graphs!CL$4,Data!$B$3:$L$3,0))="n.q.",NA(),INDEX(Data!$B$4:$L$947,MATCH(Graphs!$CK201,Data!$A$4:$A$947,0),MATCH(Graphs!CL$4,Data!$B$3:$L$3,0)))</f>
        <v>309.88</v>
      </c>
      <c r="CM201" s="24">
        <f t="array" ref="CM201">IF(INDEX(Data!$B$4:$L$947,MATCH(Graphs!$CK201,Data!$A$4:$A$947,0),MATCH(Graphs!CM$4,Data!$B$3:$L$3,0))="n.q.",NA(),INDEX(Data!$B$4:$L$947,MATCH(Graphs!$CK201,Data!$A$4:$A$947,0),MATCH(Graphs!CM$4,Data!$B$3:$L$3,0)))</f>
        <v>372.76</v>
      </c>
      <c r="CN201" s="24">
        <f t="array" ref="CN201">IF(INDEX(Data!$B$4:$L$947,MATCH(Graphs!$CK201,Data!$A$4:$A$947,0),MATCH(Graphs!CN$4,Data!$B$3:$L$3,0))="n.q.",NA(),INDEX(Data!$B$4:$L$947,MATCH(Graphs!$CK201,Data!$A$4:$A$947,0),MATCH(Graphs!CN$4,Data!$B$3:$L$3,0)))</f>
        <v>307</v>
      </c>
      <c r="CO201" s="24" t="str">
        <f t="array" ref="CO201">IF(INDEX(Data!$B$4:$L$947,MATCH(Graphs!$CK201,Data!$A$4:$A$947,0),MATCH(Graphs!CO$4,Data!$B$3:$L$3,0))="n.q.",NA(),INDEX(Data!$B$4:$L$947,MATCH(Graphs!$CK201,Data!$A$4:$A$947,0),MATCH(Graphs!CO$4,Data!$B$3:$L$3,0)))</f>
        <v>#N/A</v>
      </c>
      <c r="CP201" s="24" t="str">
        <f t="array" ref="CP201">IF(INDEX(Data!$B$4:$L$947,MATCH(Graphs!$CK201,Data!$A$4:$A$947,0),MATCH(Graphs!CP$4,Data!$B$3:$L$3,0))="n.q.",NA(),INDEX(Data!$B$4:$L$947,MATCH(Graphs!$CK201,Data!$A$4:$A$947,0),MATCH(Graphs!CP$4,Data!$B$3:$L$3,0)))</f>
        <v>#N/A</v>
      </c>
      <c r="CQ201" s="5"/>
      <c r="CR201" s="24">
        <f t="array" ref="CR201">IF(INDEX(Data!$P$4:$Z$947,MATCH(Graphs!$CK201,Data!$A$4:$A$947,0),MATCH(Graphs!CR$4,Data!$P$3:$Z$3,0))="n.q.",NA(),INDEX(Data!$P$4:$Z$947,MATCH(Graphs!$CK201,Data!$A$4:$A$947,0),MATCH(Graphs!CR$4,Data!$P$3:$Z$3,0)))</f>
        <v>258.1559657</v>
      </c>
      <c r="CS201" s="24">
        <f t="array" ref="CS201">IF(INDEX(Data!$P$4:$Z$947,MATCH(Graphs!$CK201,Data!$A$4:$A$947,0),MATCH(Graphs!CS$4,Data!$P$3:$Z$3,0))="n.q.",NA(),INDEX(Data!$P$4:$Z$947,MATCH(Graphs!$CK201,Data!$A$4:$A$947,0),MATCH(Graphs!CS$4,Data!$P$3:$Z$3,0)))</f>
        <v>262.51</v>
      </c>
      <c r="CT201" s="24">
        <f t="array" ref="CT201">IF(INDEX(Data!$P$4:$Z$947,MATCH(Graphs!$CK201,Data!$A$4:$A$947,0),MATCH(Graphs!CT$4,Data!$P$3:$Z$3,0))="n.q.",NA(),INDEX(Data!$P$4:$Z$947,MATCH(Graphs!$CK201,Data!$A$4:$A$947,0),MATCH(Graphs!CT$4,Data!$P$3:$Z$3,0)))</f>
        <v>253.4663958</v>
      </c>
      <c r="CU201" s="24" t="str">
        <f t="array" ref="CU201">IF(INDEX(Data!$P$4:$Z$947,MATCH(Graphs!$CK201,Data!$A$4:$A$947,0),MATCH(Graphs!CU$4,Data!$P$3:$Z$3,0))="n.q.",NA(),INDEX(Data!$P$4:$Z$947,MATCH(Graphs!$CK201,Data!$A$4:$A$947,0),MATCH(Graphs!CU$4,Data!$P$3:$Z$3,0)))</f>
        <v>#N/A</v>
      </c>
      <c r="CV201" s="24" t="str">
        <f t="array" ref="CV201">IF(INDEX(Data!$P$4:$Z$947,MATCH(Graphs!$CK201,Data!$A$4:$A$947,0),MATCH(Graphs!CV$4,Data!$P$3:$Z$3,0))="n.q.",NA(),INDEX(Data!$P$4:$Z$947,MATCH(Graphs!$CK201,Data!$A$4:$A$947,0),MATCH(Graphs!CV$4,Data!$P$3:$Z$3,0)))</f>
        <v>#N/A</v>
      </c>
    </row>
    <row r="202" ht="14.25" customHeight="1"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5"/>
      <c r="CK202" s="22">
        <f>Data!A201</f>
        <v>44587</v>
      </c>
      <c r="CL202" s="24">
        <f t="array" ref="CL202">IF(INDEX(Data!$B$4:$L$947,MATCH(Graphs!$CK202,Data!$A$4:$A$947,0),MATCH(Graphs!CL$4,Data!$B$3:$L$3,0))="n.q.",NA(),INDEX(Data!$B$4:$L$947,MATCH(Graphs!$CK202,Data!$A$4:$A$947,0),MATCH(Graphs!CL$4,Data!$B$3:$L$3,0)))</f>
        <v>326.32</v>
      </c>
      <c r="CM202" s="24">
        <f t="array" ref="CM202">IF(INDEX(Data!$B$4:$L$947,MATCH(Graphs!$CK202,Data!$A$4:$A$947,0),MATCH(Graphs!CM$4,Data!$B$3:$L$3,0))="n.q.",NA(),INDEX(Data!$B$4:$L$947,MATCH(Graphs!$CK202,Data!$A$4:$A$947,0),MATCH(Graphs!CM$4,Data!$B$3:$L$3,0)))</f>
        <v>395.27</v>
      </c>
      <c r="CN202" s="24">
        <f t="array" ref="CN202">IF(INDEX(Data!$B$4:$L$947,MATCH(Graphs!$CK202,Data!$A$4:$A$947,0),MATCH(Graphs!CN$4,Data!$B$3:$L$3,0))="n.q.",NA(),INDEX(Data!$B$4:$L$947,MATCH(Graphs!$CK202,Data!$A$4:$A$947,0),MATCH(Graphs!CN$4,Data!$B$3:$L$3,0)))</f>
        <v>312</v>
      </c>
      <c r="CO202" s="24" t="str">
        <f t="array" ref="CO202">IF(INDEX(Data!$B$4:$L$947,MATCH(Graphs!$CK202,Data!$A$4:$A$947,0),MATCH(Graphs!CO$4,Data!$B$3:$L$3,0))="n.q.",NA(),INDEX(Data!$B$4:$L$947,MATCH(Graphs!$CK202,Data!$A$4:$A$947,0),MATCH(Graphs!CO$4,Data!$B$3:$L$3,0)))</f>
        <v>#N/A</v>
      </c>
      <c r="CP202" s="24" t="str">
        <f t="array" ref="CP202">IF(INDEX(Data!$B$4:$L$947,MATCH(Graphs!$CK202,Data!$A$4:$A$947,0),MATCH(Graphs!CP$4,Data!$B$3:$L$3,0))="n.q.",NA(),INDEX(Data!$B$4:$L$947,MATCH(Graphs!$CK202,Data!$A$4:$A$947,0),MATCH(Graphs!CP$4,Data!$B$3:$L$3,0)))</f>
        <v>#N/A</v>
      </c>
      <c r="CQ202" s="5"/>
      <c r="CR202" s="24">
        <f t="array" ref="CR202">IF(INDEX(Data!$P$4:$Z$947,MATCH(Graphs!$CK202,Data!$A$4:$A$947,0),MATCH(Graphs!CR$4,Data!$P$3:$Z$3,0))="n.q.",NA(),INDEX(Data!$P$4:$Z$947,MATCH(Graphs!$CK202,Data!$A$4:$A$947,0),MATCH(Graphs!CR$4,Data!$P$3:$Z$3,0)))</f>
        <v>262.5254944</v>
      </c>
      <c r="CS202" s="24" t="str">
        <f t="array" ref="CS202">IF(INDEX(Data!$P$4:$Z$947,MATCH(Graphs!$CK202,Data!$A$4:$A$947,0),MATCH(Graphs!CS$4,Data!$P$3:$Z$3,0))="n.q.",NA(),INDEX(Data!$P$4:$Z$947,MATCH(Graphs!$CK202,Data!$A$4:$A$947,0),MATCH(Graphs!CS$4,Data!$P$3:$Z$3,0)))</f>
        <v>#N/A</v>
      </c>
      <c r="CT202" s="24">
        <f t="array" ref="CT202">IF(INDEX(Data!$P$4:$Z$947,MATCH(Graphs!$CK202,Data!$A$4:$A$947,0),MATCH(Graphs!CT$4,Data!$P$3:$Z$3,0))="n.q.",NA(),INDEX(Data!$P$4:$Z$947,MATCH(Graphs!$CK202,Data!$A$4:$A$947,0),MATCH(Graphs!CT$4,Data!$P$3:$Z$3,0)))</f>
        <v>252.726789</v>
      </c>
      <c r="CU202" s="24" t="str">
        <f t="array" ref="CU202">IF(INDEX(Data!$P$4:$Z$947,MATCH(Graphs!$CK202,Data!$A$4:$A$947,0),MATCH(Graphs!CU$4,Data!$P$3:$Z$3,0))="n.q.",NA(),INDEX(Data!$P$4:$Z$947,MATCH(Graphs!$CK202,Data!$A$4:$A$947,0),MATCH(Graphs!CU$4,Data!$P$3:$Z$3,0)))</f>
        <v>#N/A</v>
      </c>
      <c r="CV202" s="24" t="str">
        <f t="array" ref="CV202">IF(INDEX(Data!$P$4:$Z$947,MATCH(Graphs!$CK202,Data!$A$4:$A$947,0),MATCH(Graphs!CV$4,Data!$P$3:$Z$3,0))="n.q.",NA(),INDEX(Data!$P$4:$Z$947,MATCH(Graphs!$CK202,Data!$A$4:$A$947,0),MATCH(Graphs!CV$4,Data!$P$3:$Z$3,0)))</f>
        <v>#N/A</v>
      </c>
    </row>
    <row r="203" ht="14.25" customHeight="1"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5"/>
      <c r="CK203" s="22">
        <f>Data!A202</f>
        <v>44580</v>
      </c>
      <c r="CL203" s="24">
        <f t="array" ref="CL203">IF(INDEX(Data!$B$4:$L$947,MATCH(Graphs!$CK203,Data!$A$4:$A$947,0),MATCH(Graphs!CL$4,Data!$B$3:$L$3,0))="n.q.",NA(),INDEX(Data!$B$4:$L$947,MATCH(Graphs!$CK203,Data!$A$4:$A$947,0),MATCH(Graphs!CL$4,Data!$B$3:$L$3,0)))</f>
        <v>320.38</v>
      </c>
      <c r="CM203" s="24">
        <f t="array" ref="CM203">IF(INDEX(Data!$B$4:$L$947,MATCH(Graphs!$CK203,Data!$A$4:$A$947,0),MATCH(Graphs!CM$4,Data!$B$3:$L$3,0))="n.q.",NA(),INDEX(Data!$B$4:$L$947,MATCH(Graphs!$CK203,Data!$A$4:$A$947,0),MATCH(Graphs!CM$4,Data!$B$3:$L$3,0)))</f>
        <v>376.62</v>
      </c>
      <c r="CN203" s="24">
        <f t="array" ref="CN203">IF(INDEX(Data!$B$4:$L$947,MATCH(Graphs!$CK203,Data!$A$4:$A$947,0),MATCH(Graphs!CN$4,Data!$B$3:$L$3,0))="n.q.",NA(),INDEX(Data!$B$4:$L$947,MATCH(Graphs!$CK203,Data!$A$4:$A$947,0),MATCH(Graphs!CN$4,Data!$B$3:$L$3,0)))</f>
        <v>316</v>
      </c>
      <c r="CO203" s="24" t="str">
        <f t="array" ref="CO203">IF(INDEX(Data!$B$4:$L$947,MATCH(Graphs!$CK203,Data!$A$4:$A$947,0),MATCH(Graphs!CO$4,Data!$B$3:$L$3,0))="n.q.",NA(),INDEX(Data!$B$4:$L$947,MATCH(Graphs!$CK203,Data!$A$4:$A$947,0),MATCH(Graphs!CO$4,Data!$B$3:$L$3,0)))</f>
        <v>#N/A</v>
      </c>
      <c r="CP203" s="24" t="str">
        <f t="array" ref="CP203">IF(INDEX(Data!$B$4:$L$947,MATCH(Graphs!$CK203,Data!$A$4:$A$947,0),MATCH(Graphs!CP$4,Data!$B$3:$L$3,0))="n.q.",NA(),INDEX(Data!$B$4:$L$947,MATCH(Graphs!$CK203,Data!$A$4:$A$947,0),MATCH(Graphs!CP$4,Data!$B$3:$L$3,0)))</f>
        <v>#N/A</v>
      </c>
      <c r="CQ203" s="5"/>
      <c r="CR203" s="24">
        <f t="array" ref="CR203">IF(INDEX(Data!$P$4:$Z$947,MATCH(Graphs!$CK203,Data!$A$4:$A$947,0),MATCH(Graphs!CR$4,Data!$P$3:$Z$3,0))="n.q.",NA(),INDEX(Data!$P$4:$Z$947,MATCH(Graphs!$CK203,Data!$A$4:$A$947,0),MATCH(Graphs!CR$4,Data!$P$3:$Z$3,0)))</f>
        <v>251.7584839</v>
      </c>
      <c r="CS203" s="24">
        <f t="array" ref="CS203">IF(INDEX(Data!$P$4:$Z$947,MATCH(Graphs!$CK203,Data!$A$4:$A$947,0),MATCH(Graphs!CS$4,Data!$P$3:$Z$3,0))="n.q.",NA(),INDEX(Data!$P$4:$Z$947,MATCH(Graphs!$CK203,Data!$A$4:$A$947,0),MATCH(Graphs!CS$4,Data!$P$3:$Z$3,0)))</f>
        <v>254.58</v>
      </c>
      <c r="CT203" s="24">
        <f t="array" ref="CT203">IF(INDEX(Data!$P$4:$Z$947,MATCH(Graphs!$CK203,Data!$A$4:$A$947,0),MATCH(Graphs!CT$4,Data!$P$3:$Z$3,0))="n.q.",NA(),INDEX(Data!$P$4:$Z$947,MATCH(Graphs!$CK203,Data!$A$4:$A$947,0),MATCH(Graphs!CT$4,Data!$P$3:$Z$3,0)))</f>
        <v>246.8047598</v>
      </c>
      <c r="CU203" s="24" t="str">
        <f t="array" ref="CU203">IF(INDEX(Data!$P$4:$Z$947,MATCH(Graphs!$CK203,Data!$A$4:$A$947,0),MATCH(Graphs!CU$4,Data!$P$3:$Z$3,0))="n.q.",NA(),INDEX(Data!$P$4:$Z$947,MATCH(Graphs!$CK203,Data!$A$4:$A$947,0),MATCH(Graphs!CU$4,Data!$P$3:$Z$3,0)))</f>
        <v>#N/A</v>
      </c>
      <c r="CV203" s="24" t="str">
        <f t="array" ref="CV203">IF(INDEX(Data!$P$4:$Z$947,MATCH(Graphs!$CK203,Data!$A$4:$A$947,0),MATCH(Graphs!CV$4,Data!$P$3:$Z$3,0))="n.q.",NA(),INDEX(Data!$P$4:$Z$947,MATCH(Graphs!$CK203,Data!$A$4:$A$947,0),MATCH(Graphs!CV$4,Data!$P$3:$Z$3,0)))</f>
        <v>#N/A</v>
      </c>
    </row>
    <row r="204" ht="14.25" customHeight="1"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5"/>
      <c r="CK204" s="22">
        <f>Data!A203</f>
        <v>44573</v>
      </c>
      <c r="CL204" s="24">
        <f t="array" ref="CL204">IF(INDEX(Data!$B$4:$L$947,MATCH(Graphs!$CK204,Data!$A$4:$A$947,0),MATCH(Graphs!CL$4,Data!$B$3:$L$3,0))="n.q.",NA(),INDEX(Data!$B$4:$L$947,MATCH(Graphs!$CK204,Data!$A$4:$A$947,0),MATCH(Graphs!CL$4,Data!$B$3:$L$3,0)))</f>
        <v>320.51</v>
      </c>
      <c r="CM204" s="24">
        <f t="array" ref="CM204">IF(INDEX(Data!$B$4:$L$947,MATCH(Graphs!$CK204,Data!$A$4:$A$947,0),MATCH(Graphs!CM$4,Data!$B$3:$L$3,0))="n.q.",NA(),INDEX(Data!$B$4:$L$947,MATCH(Graphs!$CK204,Data!$A$4:$A$947,0),MATCH(Graphs!CM$4,Data!$B$3:$L$3,0)))</f>
        <v>368.54</v>
      </c>
      <c r="CN204" s="24">
        <f t="array" ref="CN204">IF(INDEX(Data!$B$4:$L$947,MATCH(Graphs!$CK204,Data!$A$4:$A$947,0),MATCH(Graphs!CN$4,Data!$B$3:$L$3,0))="n.q.",NA(),INDEX(Data!$B$4:$L$947,MATCH(Graphs!$CK204,Data!$A$4:$A$947,0),MATCH(Graphs!CN$4,Data!$B$3:$L$3,0)))</f>
        <v>315</v>
      </c>
      <c r="CO204" s="24" t="str">
        <f t="array" ref="CO204">IF(INDEX(Data!$B$4:$L$947,MATCH(Graphs!$CK204,Data!$A$4:$A$947,0),MATCH(Graphs!CO$4,Data!$B$3:$L$3,0))="n.q.",NA(),INDEX(Data!$B$4:$L$947,MATCH(Graphs!$CK204,Data!$A$4:$A$947,0),MATCH(Graphs!CO$4,Data!$B$3:$L$3,0)))</f>
        <v>#N/A</v>
      </c>
      <c r="CP204" s="24" t="str">
        <f t="array" ref="CP204">IF(INDEX(Data!$B$4:$L$947,MATCH(Graphs!$CK204,Data!$A$4:$A$947,0),MATCH(Graphs!CP$4,Data!$B$3:$L$3,0))="n.q.",NA(),INDEX(Data!$B$4:$L$947,MATCH(Graphs!$CK204,Data!$A$4:$A$947,0),MATCH(Graphs!CP$4,Data!$B$3:$L$3,0)))</f>
        <v>#N/A</v>
      </c>
      <c r="CQ204" s="5"/>
      <c r="CR204" s="24">
        <f t="array" ref="CR204">IF(INDEX(Data!$P$4:$Z$947,MATCH(Graphs!$CK204,Data!$A$4:$A$947,0),MATCH(Graphs!CR$4,Data!$P$3:$Z$3,0))="n.q.",NA(),INDEX(Data!$P$4:$Z$947,MATCH(Graphs!$CK204,Data!$A$4:$A$947,0),MATCH(Graphs!CR$4,Data!$P$3:$Z$3,0)))</f>
        <v>247.2207564</v>
      </c>
      <c r="CS204" s="24">
        <f t="array" ref="CS204">IF(INDEX(Data!$P$4:$Z$947,MATCH(Graphs!$CK204,Data!$A$4:$A$947,0),MATCH(Graphs!CS$4,Data!$P$3:$Z$3,0))="n.q.",NA(),INDEX(Data!$P$4:$Z$947,MATCH(Graphs!$CK204,Data!$A$4:$A$947,0),MATCH(Graphs!CS$4,Data!$P$3:$Z$3,0)))</f>
        <v>255.58</v>
      </c>
      <c r="CT204" s="24">
        <f t="array" ref="CT204">IF(INDEX(Data!$P$4:$Z$947,MATCH(Graphs!$CK204,Data!$A$4:$A$947,0),MATCH(Graphs!CT$4,Data!$P$3:$Z$3,0))="n.q.",NA(),INDEX(Data!$P$4:$Z$947,MATCH(Graphs!$CK204,Data!$A$4:$A$947,0),MATCH(Graphs!CT$4,Data!$P$3:$Z$3,0)))</f>
        <v>243.6235708</v>
      </c>
      <c r="CU204" s="24" t="str">
        <f t="array" ref="CU204">IF(INDEX(Data!$P$4:$Z$947,MATCH(Graphs!$CK204,Data!$A$4:$A$947,0),MATCH(Graphs!CU$4,Data!$P$3:$Z$3,0))="n.q.",NA(),INDEX(Data!$P$4:$Z$947,MATCH(Graphs!$CK204,Data!$A$4:$A$947,0),MATCH(Graphs!CU$4,Data!$P$3:$Z$3,0)))</f>
        <v>#N/A</v>
      </c>
      <c r="CV204" s="24" t="str">
        <f t="array" ref="CV204">IF(INDEX(Data!$P$4:$Z$947,MATCH(Graphs!$CK204,Data!$A$4:$A$947,0),MATCH(Graphs!CV$4,Data!$P$3:$Z$3,0))="n.q.",NA(),INDEX(Data!$P$4:$Z$947,MATCH(Graphs!$CK204,Data!$A$4:$A$947,0),MATCH(Graphs!CV$4,Data!$P$3:$Z$3,0)))</f>
        <v>#N/A</v>
      </c>
    </row>
    <row r="205" ht="14.25" customHeight="1"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5"/>
      <c r="CK205" s="22">
        <f>Data!A204</f>
        <v>44566</v>
      </c>
      <c r="CL205" s="24">
        <f t="array" ref="CL205">IF(INDEX(Data!$B$4:$L$947,MATCH(Graphs!$CK205,Data!$A$4:$A$947,0),MATCH(Graphs!CL$4,Data!$B$3:$L$3,0))="n.q.",NA(),INDEX(Data!$B$4:$L$947,MATCH(Graphs!$CK205,Data!$A$4:$A$947,0),MATCH(Graphs!CL$4,Data!$B$3:$L$3,0)))</f>
        <v>320.01</v>
      </c>
      <c r="CM205" s="24">
        <f t="array" ref="CM205">IF(INDEX(Data!$B$4:$L$947,MATCH(Graphs!$CK205,Data!$A$4:$A$947,0),MATCH(Graphs!CM$4,Data!$B$3:$L$3,0))="n.q.",NA(),INDEX(Data!$B$4:$L$947,MATCH(Graphs!$CK205,Data!$A$4:$A$947,0),MATCH(Graphs!CM$4,Data!$B$3:$L$3,0)))</f>
        <v>366.33</v>
      </c>
      <c r="CN205" s="24">
        <f t="array" ref="CN205">IF(INDEX(Data!$B$4:$L$947,MATCH(Graphs!$CK205,Data!$A$4:$A$947,0),MATCH(Graphs!CN$4,Data!$B$3:$L$3,0))="n.q.",NA(),INDEX(Data!$B$4:$L$947,MATCH(Graphs!$CK205,Data!$A$4:$A$947,0),MATCH(Graphs!CN$4,Data!$B$3:$L$3,0)))</f>
        <v>318</v>
      </c>
      <c r="CO205" s="24" t="str">
        <f t="array" ref="CO205">IF(INDEX(Data!$B$4:$L$947,MATCH(Graphs!$CK205,Data!$A$4:$A$947,0),MATCH(Graphs!CO$4,Data!$B$3:$L$3,0))="n.q.",NA(),INDEX(Data!$B$4:$L$947,MATCH(Graphs!$CK205,Data!$A$4:$A$947,0),MATCH(Graphs!CO$4,Data!$B$3:$L$3,0)))</f>
        <v>#N/A</v>
      </c>
      <c r="CP205" s="24" t="str">
        <f t="array" ref="CP205">IF(INDEX(Data!$B$4:$L$947,MATCH(Graphs!$CK205,Data!$A$4:$A$947,0),MATCH(Graphs!CP$4,Data!$B$3:$L$3,0))="n.q.",NA(),INDEX(Data!$B$4:$L$947,MATCH(Graphs!$CK205,Data!$A$4:$A$947,0),MATCH(Graphs!CP$4,Data!$B$3:$L$3,0)))</f>
        <v>#N/A</v>
      </c>
      <c r="CQ205" s="5"/>
      <c r="CR205" s="24">
        <f t="array" ref="CR205">IF(INDEX(Data!$P$4:$Z$947,MATCH(Graphs!$CK205,Data!$A$4:$A$947,0),MATCH(Graphs!CR$4,Data!$P$3:$Z$3,0))="n.q.",NA(),INDEX(Data!$P$4:$Z$947,MATCH(Graphs!$CK205,Data!$A$4:$A$947,0),MATCH(Graphs!CR$4,Data!$P$3:$Z$3,0)))</f>
        <v>247.0271225</v>
      </c>
      <c r="CS205" s="24" t="str">
        <f t="array" ref="CS205">IF(INDEX(Data!$P$4:$Z$947,MATCH(Graphs!$CK205,Data!$A$4:$A$947,0),MATCH(Graphs!CS$4,Data!$P$3:$Z$3,0))="n.q.",NA(),INDEX(Data!$P$4:$Z$947,MATCH(Graphs!$CK205,Data!$A$4:$A$947,0),MATCH(Graphs!CS$4,Data!$P$3:$Z$3,0)))</f>
        <v>#N/A</v>
      </c>
      <c r="CT205" s="24">
        <f t="array" ref="CT205">IF(INDEX(Data!$P$4:$Z$947,MATCH(Graphs!$CK205,Data!$A$4:$A$947,0),MATCH(Graphs!CT$4,Data!$P$3:$Z$3,0))="n.q.",NA(),INDEX(Data!$P$4:$Z$947,MATCH(Graphs!$CK205,Data!$A$4:$A$947,0),MATCH(Graphs!CT$4,Data!$P$3:$Z$3,0)))</f>
        <v>244.27953</v>
      </c>
      <c r="CU205" s="24" t="str">
        <f t="array" ref="CU205">IF(INDEX(Data!$P$4:$Z$947,MATCH(Graphs!$CK205,Data!$A$4:$A$947,0),MATCH(Graphs!CU$4,Data!$P$3:$Z$3,0))="n.q.",NA(),INDEX(Data!$P$4:$Z$947,MATCH(Graphs!$CK205,Data!$A$4:$A$947,0),MATCH(Graphs!CU$4,Data!$P$3:$Z$3,0)))</f>
        <v>#N/A</v>
      </c>
      <c r="CV205" s="24" t="str">
        <f t="array" ref="CV205">IF(INDEX(Data!$P$4:$Z$947,MATCH(Graphs!$CK205,Data!$A$4:$A$947,0),MATCH(Graphs!CV$4,Data!$P$3:$Z$3,0))="n.q.",NA(),INDEX(Data!$P$4:$Z$947,MATCH(Graphs!$CK205,Data!$A$4:$A$947,0),MATCH(Graphs!CV$4,Data!$P$3:$Z$3,0)))</f>
        <v>#N/A</v>
      </c>
    </row>
    <row r="206" ht="14.25" customHeight="1"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5"/>
      <c r="CK206" s="22">
        <f>Data!A205</f>
        <v>44559</v>
      </c>
      <c r="CL206" s="24">
        <f t="array" ref="CL206">IF(INDEX(Data!$B$4:$L$947,MATCH(Graphs!$CK206,Data!$A$4:$A$947,0),MATCH(Graphs!CL$4,Data!$B$3:$L$3,0))="n.q.",NA(),INDEX(Data!$B$4:$L$947,MATCH(Graphs!$CK206,Data!$A$4:$A$947,0),MATCH(Graphs!CL$4,Data!$B$3:$L$3,0)))</f>
        <v>323.6</v>
      </c>
      <c r="CM206" s="24">
        <f t="array" ref="CM206">IF(INDEX(Data!$B$4:$L$947,MATCH(Graphs!$CK206,Data!$A$4:$A$947,0),MATCH(Graphs!CM$4,Data!$B$3:$L$3,0))="n.q.",NA(),INDEX(Data!$B$4:$L$947,MATCH(Graphs!$CK206,Data!$A$4:$A$947,0),MATCH(Graphs!CM$4,Data!$B$3:$L$3,0)))</f>
        <v>380.11</v>
      </c>
      <c r="CN206" s="24">
        <f t="array" ref="CN206">IF(INDEX(Data!$B$4:$L$947,MATCH(Graphs!$CK206,Data!$A$4:$A$947,0),MATCH(Graphs!CN$4,Data!$B$3:$L$3,0))="n.q.",NA(),INDEX(Data!$B$4:$L$947,MATCH(Graphs!$CK206,Data!$A$4:$A$947,0),MATCH(Graphs!CN$4,Data!$B$3:$L$3,0)))</f>
        <v>318</v>
      </c>
      <c r="CO206" s="24" t="str">
        <f t="array" ref="CO206">IF(INDEX(Data!$B$4:$L$947,MATCH(Graphs!$CK206,Data!$A$4:$A$947,0),MATCH(Graphs!CO$4,Data!$B$3:$L$3,0))="n.q.",NA(),INDEX(Data!$B$4:$L$947,MATCH(Graphs!$CK206,Data!$A$4:$A$947,0),MATCH(Graphs!CO$4,Data!$B$3:$L$3,0)))</f>
        <v>#N/A</v>
      </c>
      <c r="CP206" s="24" t="str">
        <f t="array" ref="CP206">IF(INDEX(Data!$B$4:$L$947,MATCH(Graphs!$CK206,Data!$A$4:$A$947,0),MATCH(Graphs!CP$4,Data!$B$3:$L$3,0))="n.q.",NA(),INDEX(Data!$B$4:$L$947,MATCH(Graphs!$CK206,Data!$A$4:$A$947,0),MATCH(Graphs!CP$4,Data!$B$3:$L$3,0)))</f>
        <v>#N/A</v>
      </c>
      <c r="CQ206" s="5"/>
      <c r="CR206" s="24">
        <f t="array" ref="CR206">IF(INDEX(Data!$P$4:$Z$947,MATCH(Graphs!$CK206,Data!$A$4:$A$947,0),MATCH(Graphs!CR$4,Data!$P$3:$Z$3,0))="n.q.",NA(),INDEX(Data!$P$4:$Z$947,MATCH(Graphs!$CK206,Data!$A$4:$A$947,0),MATCH(Graphs!CR$4,Data!$P$3:$Z$3,0)))</f>
        <v>249.2081748</v>
      </c>
      <c r="CS206" s="24" t="str">
        <f t="array" ref="CS206">IF(INDEX(Data!$P$4:$Z$947,MATCH(Graphs!$CK206,Data!$A$4:$A$947,0),MATCH(Graphs!CS$4,Data!$P$3:$Z$3,0))="n.q.",NA(),INDEX(Data!$P$4:$Z$947,MATCH(Graphs!$CK206,Data!$A$4:$A$947,0),MATCH(Graphs!CS$4,Data!$P$3:$Z$3,0)))</f>
        <v>#N/A</v>
      </c>
      <c r="CT206" s="24">
        <f t="array" ref="CT206">IF(INDEX(Data!$P$4:$Z$947,MATCH(Graphs!$CK206,Data!$A$4:$A$947,0),MATCH(Graphs!CT$4,Data!$P$3:$Z$3,0))="n.q.",NA(),INDEX(Data!$P$4:$Z$947,MATCH(Graphs!$CK206,Data!$A$4:$A$947,0),MATCH(Graphs!CT$4,Data!$P$3:$Z$3,0)))</f>
        <v>242.4135185</v>
      </c>
      <c r="CU206" s="24" t="str">
        <f t="array" ref="CU206">IF(INDEX(Data!$P$4:$Z$947,MATCH(Graphs!$CK206,Data!$A$4:$A$947,0),MATCH(Graphs!CU$4,Data!$P$3:$Z$3,0))="n.q.",NA(),INDEX(Data!$P$4:$Z$947,MATCH(Graphs!$CK206,Data!$A$4:$A$947,0),MATCH(Graphs!CU$4,Data!$P$3:$Z$3,0)))</f>
        <v>#N/A</v>
      </c>
      <c r="CV206" s="24" t="str">
        <f t="array" ref="CV206">IF(INDEX(Data!$P$4:$Z$947,MATCH(Graphs!$CK206,Data!$A$4:$A$947,0),MATCH(Graphs!CV$4,Data!$P$3:$Z$3,0))="n.q.",NA(),INDEX(Data!$P$4:$Z$947,MATCH(Graphs!$CK206,Data!$A$4:$A$947,0),MATCH(Graphs!CV$4,Data!$P$3:$Z$3,0)))</f>
        <v>#N/A</v>
      </c>
    </row>
    <row r="207" ht="14.25" customHeight="1"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5"/>
      <c r="CK207" s="22">
        <f>Data!A206</f>
        <v>44552</v>
      </c>
      <c r="CL207" s="24">
        <f t="array" ref="CL207">IF(INDEX(Data!$B$4:$L$947,MATCH(Graphs!$CK207,Data!$A$4:$A$947,0),MATCH(Graphs!CL$4,Data!$B$3:$L$3,0))="n.q.",NA(),INDEX(Data!$B$4:$L$947,MATCH(Graphs!$CK207,Data!$A$4:$A$947,0),MATCH(Graphs!CL$4,Data!$B$3:$L$3,0)))</f>
        <v>334.56</v>
      </c>
      <c r="CM207" s="24">
        <f t="array" ref="CM207">IF(INDEX(Data!$B$4:$L$947,MATCH(Graphs!$CK207,Data!$A$4:$A$947,0),MATCH(Graphs!CM$4,Data!$B$3:$L$3,0))="n.q.",NA(),INDEX(Data!$B$4:$L$947,MATCH(Graphs!$CK207,Data!$A$4:$A$947,0),MATCH(Graphs!CM$4,Data!$B$3:$L$3,0)))</f>
        <v>390.86</v>
      </c>
      <c r="CN207" s="24">
        <f t="array" ref="CN207">IF(INDEX(Data!$B$4:$L$947,MATCH(Graphs!$CK207,Data!$A$4:$A$947,0),MATCH(Graphs!CN$4,Data!$B$3:$L$3,0))="n.q.",NA(),INDEX(Data!$B$4:$L$947,MATCH(Graphs!$CK207,Data!$A$4:$A$947,0),MATCH(Graphs!CN$4,Data!$B$3:$L$3,0)))</f>
        <v>316</v>
      </c>
      <c r="CO207" s="24" t="str">
        <f t="array" ref="CO207">IF(INDEX(Data!$B$4:$L$947,MATCH(Graphs!$CK207,Data!$A$4:$A$947,0),MATCH(Graphs!CO$4,Data!$B$3:$L$3,0))="n.q.",NA(),INDEX(Data!$B$4:$L$947,MATCH(Graphs!$CK207,Data!$A$4:$A$947,0),MATCH(Graphs!CO$4,Data!$B$3:$L$3,0)))</f>
        <v>#N/A</v>
      </c>
      <c r="CP207" s="24" t="str">
        <f t="array" ref="CP207">IF(INDEX(Data!$B$4:$L$947,MATCH(Graphs!$CK207,Data!$A$4:$A$947,0),MATCH(Graphs!CP$4,Data!$B$3:$L$3,0))="n.q.",NA(),INDEX(Data!$B$4:$L$947,MATCH(Graphs!$CK207,Data!$A$4:$A$947,0),MATCH(Graphs!CP$4,Data!$B$3:$L$3,0)))</f>
        <v>#N/A</v>
      </c>
      <c r="CQ207" s="5"/>
      <c r="CR207" s="24">
        <f t="array" ref="CR207">IF(INDEX(Data!$P$4:$Z$947,MATCH(Graphs!$CK207,Data!$A$4:$A$947,0),MATCH(Graphs!CR$4,Data!$P$3:$Z$3,0))="n.q.",NA(),INDEX(Data!$P$4:$Z$947,MATCH(Graphs!$CK207,Data!$A$4:$A$947,0),MATCH(Graphs!CR$4,Data!$P$3:$Z$3,0)))</f>
        <v>248.2081232</v>
      </c>
      <c r="CS207" s="24" t="str">
        <f t="array" ref="CS207">IF(INDEX(Data!$P$4:$Z$947,MATCH(Graphs!$CK207,Data!$A$4:$A$947,0),MATCH(Graphs!CS$4,Data!$P$3:$Z$3,0))="n.q.",NA(),INDEX(Data!$P$4:$Z$947,MATCH(Graphs!$CK207,Data!$A$4:$A$947,0),MATCH(Graphs!CS$4,Data!$P$3:$Z$3,0)))</f>
        <v>#N/A</v>
      </c>
      <c r="CT207" s="24">
        <f t="array" ref="CT207">IF(INDEX(Data!$P$4:$Z$947,MATCH(Graphs!$CK207,Data!$A$4:$A$947,0),MATCH(Graphs!CT$4,Data!$P$3:$Z$3,0))="n.q.",NA(),INDEX(Data!$P$4:$Z$947,MATCH(Graphs!$CK207,Data!$A$4:$A$947,0),MATCH(Graphs!CT$4,Data!$P$3:$Z$3,0)))</f>
        <v>242.4564198</v>
      </c>
      <c r="CU207" s="24" t="str">
        <f t="array" ref="CU207">IF(INDEX(Data!$P$4:$Z$947,MATCH(Graphs!$CK207,Data!$A$4:$A$947,0),MATCH(Graphs!CU$4,Data!$P$3:$Z$3,0))="n.q.",NA(),INDEX(Data!$P$4:$Z$947,MATCH(Graphs!$CK207,Data!$A$4:$A$947,0),MATCH(Graphs!CU$4,Data!$P$3:$Z$3,0)))</f>
        <v>#N/A</v>
      </c>
      <c r="CV207" s="24" t="str">
        <f t="array" ref="CV207">IF(INDEX(Data!$P$4:$Z$947,MATCH(Graphs!$CK207,Data!$A$4:$A$947,0),MATCH(Graphs!CV$4,Data!$P$3:$Z$3,0))="n.q.",NA(),INDEX(Data!$P$4:$Z$947,MATCH(Graphs!$CK207,Data!$A$4:$A$947,0),MATCH(Graphs!CV$4,Data!$P$3:$Z$3,0)))</f>
        <v>#N/A</v>
      </c>
    </row>
    <row r="208" ht="14.25" customHeight="1"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5"/>
      <c r="CK208" s="22">
        <f>Data!A207</f>
        <v>44545</v>
      </c>
      <c r="CL208" s="24">
        <f t="array" ref="CL208">IF(INDEX(Data!$B$4:$L$947,MATCH(Graphs!$CK208,Data!$A$4:$A$947,0),MATCH(Graphs!CL$4,Data!$B$3:$L$3,0))="n.q.",NA(),INDEX(Data!$B$4:$L$947,MATCH(Graphs!$CK208,Data!$A$4:$A$947,0),MATCH(Graphs!CL$4,Data!$B$3:$L$3,0)))</f>
        <v>319.13</v>
      </c>
      <c r="CM208" s="24">
        <f t="array" ref="CM208">IF(INDEX(Data!$B$4:$L$947,MATCH(Graphs!$CK208,Data!$A$4:$A$947,0),MATCH(Graphs!CM$4,Data!$B$3:$L$3,0))="n.q.",NA(),INDEX(Data!$B$4:$L$947,MATCH(Graphs!$CK208,Data!$A$4:$A$947,0),MATCH(Graphs!CM$4,Data!$B$3:$L$3,0)))</f>
        <v>362.11</v>
      </c>
      <c r="CN208" s="24">
        <f t="array" ref="CN208">IF(INDEX(Data!$B$4:$L$947,MATCH(Graphs!$CK208,Data!$A$4:$A$947,0),MATCH(Graphs!CN$4,Data!$B$3:$L$3,0))="n.q.",NA(),INDEX(Data!$B$4:$L$947,MATCH(Graphs!$CK208,Data!$A$4:$A$947,0),MATCH(Graphs!CN$4,Data!$B$3:$L$3,0)))</f>
        <v>316</v>
      </c>
      <c r="CO208" s="24" t="str">
        <f t="array" ref="CO208">IF(INDEX(Data!$B$4:$L$947,MATCH(Graphs!$CK208,Data!$A$4:$A$947,0),MATCH(Graphs!CO$4,Data!$B$3:$L$3,0))="n.q.",NA(),INDEX(Data!$B$4:$L$947,MATCH(Graphs!$CK208,Data!$A$4:$A$947,0),MATCH(Graphs!CO$4,Data!$B$3:$L$3,0)))</f>
        <v>#N/A</v>
      </c>
      <c r="CP208" s="24" t="str">
        <f t="array" ref="CP208">IF(INDEX(Data!$B$4:$L$947,MATCH(Graphs!$CK208,Data!$A$4:$A$947,0),MATCH(Graphs!CP$4,Data!$B$3:$L$3,0))="n.q.",NA(),INDEX(Data!$B$4:$L$947,MATCH(Graphs!$CK208,Data!$A$4:$A$947,0),MATCH(Graphs!CP$4,Data!$B$3:$L$3,0)))</f>
        <v>#N/A</v>
      </c>
      <c r="CQ208" s="5"/>
      <c r="CR208" s="24">
        <f t="array" ref="CR208">IF(INDEX(Data!$P$4:$Z$947,MATCH(Graphs!$CK208,Data!$A$4:$A$947,0),MATCH(Graphs!CR$4,Data!$P$3:$Z$3,0))="n.q.",NA(),INDEX(Data!$P$4:$Z$947,MATCH(Graphs!$CK208,Data!$A$4:$A$947,0),MATCH(Graphs!CR$4,Data!$P$3:$Z$3,0)))</f>
        <v>237.622092</v>
      </c>
      <c r="CS208" s="24">
        <f t="array" ref="CS208">IF(INDEX(Data!$P$4:$Z$947,MATCH(Graphs!$CK208,Data!$A$4:$A$947,0),MATCH(Graphs!CS$4,Data!$P$3:$Z$3,0))="n.q.",NA(),INDEX(Data!$P$4:$Z$947,MATCH(Graphs!$CK208,Data!$A$4:$A$947,0),MATCH(Graphs!CS$4,Data!$P$3:$Z$3,0)))</f>
        <v>253.65</v>
      </c>
      <c r="CT208" s="24">
        <f t="array" ref="CT208">IF(INDEX(Data!$P$4:$Z$947,MATCH(Graphs!$CK208,Data!$A$4:$A$947,0),MATCH(Graphs!CT$4,Data!$P$3:$Z$3,0))="n.q.",NA(),INDEX(Data!$P$4:$Z$947,MATCH(Graphs!$CK208,Data!$A$4:$A$947,0),MATCH(Graphs!CT$4,Data!$P$3:$Z$3,0)))</f>
        <v>240.6322145</v>
      </c>
      <c r="CU208" s="24" t="str">
        <f t="array" ref="CU208">IF(INDEX(Data!$P$4:$Z$947,MATCH(Graphs!$CK208,Data!$A$4:$A$947,0),MATCH(Graphs!CU$4,Data!$P$3:$Z$3,0))="n.q.",NA(),INDEX(Data!$P$4:$Z$947,MATCH(Graphs!$CK208,Data!$A$4:$A$947,0),MATCH(Graphs!CU$4,Data!$P$3:$Z$3,0)))</f>
        <v>#N/A</v>
      </c>
      <c r="CV208" s="24" t="str">
        <f t="array" ref="CV208">IF(INDEX(Data!$P$4:$Z$947,MATCH(Graphs!$CK208,Data!$A$4:$A$947,0),MATCH(Graphs!CV$4,Data!$P$3:$Z$3,0))="n.q.",NA(),INDEX(Data!$P$4:$Z$947,MATCH(Graphs!$CK208,Data!$A$4:$A$947,0),MATCH(Graphs!CV$4,Data!$P$3:$Z$3,0)))</f>
        <v>#N/A</v>
      </c>
    </row>
    <row r="209" ht="14.25" customHeight="1"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5"/>
      <c r="CK209" s="22">
        <f>Data!A208</f>
        <v>44538</v>
      </c>
      <c r="CL209" s="24">
        <f t="array" ref="CL209">IF(INDEX(Data!$B$4:$L$947,MATCH(Graphs!$CK209,Data!$A$4:$A$947,0),MATCH(Graphs!CL$4,Data!$B$3:$L$3,0))="n.q.",NA(),INDEX(Data!$B$4:$L$947,MATCH(Graphs!$CK209,Data!$A$4:$A$947,0),MATCH(Graphs!CL$4,Data!$B$3:$L$3,0)))</f>
        <v>333.5</v>
      </c>
      <c r="CM209" s="24">
        <f t="array" ref="CM209">IF(INDEX(Data!$B$4:$L$947,MATCH(Graphs!$CK209,Data!$A$4:$A$947,0),MATCH(Graphs!CM$4,Data!$B$3:$L$3,0))="n.q.",NA(),INDEX(Data!$B$4:$L$947,MATCH(Graphs!$CK209,Data!$A$4:$A$947,0),MATCH(Graphs!CM$4,Data!$B$3:$L$3,0)))</f>
        <v>374.88</v>
      </c>
      <c r="CN209" s="24">
        <f t="array" ref="CN209">IF(INDEX(Data!$B$4:$L$947,MATCH(Graphs!$CK209,Data!$A$4:$A$947,0),MATCH(Graphs!CN$4,Data!$B$3:$L$3,0))="n.q.",NA(),INDEX(Data!$B$4:$L$947,MATCH(Graphs!$CK209,Data!$A$4:$A$947,0),MATCH(Graphs!CN$4,Data!$B$3:$L$3,0)))</f>
        <v>320</v>
      </c>
      <c r="CO209" s="24" t="str">
        <f t="array" ref="CO209">IF(INDEX(Data!$B$4:$L$947,MATCH(Graphs!$CK209,Data!$A$4:$A$947,0),MATCH(Graphs!CO$4,Data!$B$3:$L$3,0))="n.q.",NA(),INDEX(Data!$B$4:$L$947,MATCH(Graphs!$CK209,Data!$A$4:$A$947,0),MATCH(Graphs!CO$4,Data!$B$3:$L$3,0)))</f>
        <v>#N/A</v>
      </c>
      <c r="CP209" s="24" t="str">
        <f t="array" ref="CP209">IF(INDEX(Data!$B$4:$L$947,MATCH(Graphs!$CK209,Data!$A$4:$A$947,0),MATCH(Graphs!CP$4,Data!$B$3:$L$3,0))="n.q.",NA(),INDEX(Data!$B$4:$L$947,MATCH(Graphs!$CK209,Data!$A$4:$A$947,0),MATCH(Graphs!CP$4,Data!$B$3:$L$3,0)))</f>
        <v>#N/A</v>
      </c>
      <c r="CQ209" s="5"/>
      <c r="CR209" s="24">
        <f t="array" ref="CR209">IF(INDEX(Data!$P$4:$Z$947,MATCH(Graphs!$CK209,Data!$A$4:$A$947,0),MATCH(Graphs!CR$4,Data!$P$3:$Z$3,0))="n.q.",NA(),INDEX(Data!$P$4:$Z$947,MATCH(Graphs!$CK209,Data!$A$4:$A$947,0),MATCH(Graphs!CR$4,Data!$P$3:$Z$3,0)))</f>
        <v>237.5342951</v>
      </c>
      <c r="CS209" s="24" t="str">
        <f t="array" ref="CS209">IF(INDEX(Data!$P$4:$Z$947,MATCH(Graphs!$CK209,Data!$A$4:$A$947,0),MATCH(Graphs!CS$4,Data!$P$3:$Z$3,0))="n.q.",NA(),INDEX(Data!$P$4:$Z$947,MATCH(Graphs!$CK209,Data!$A$4:$A$947,0),MATCH(Graphs!CS$4,Data!$P$3:$Z$3,0)))</f>
        <v>#N/A</v>
      </c>
      <c r="CT209" s="24">
        <f t="array" ref="CT209">IF(INDEX(Data!$P$4:$Z$947,MATCH(Graphs!$CK209,Data!$A$4:$A$947,0),MATCH(Graphs!CT$4,Data!$P$3:$Z$3,0))="n.q.",NA(),INDEX(Data!$P$4:$Z$947,MATCH(Graphs!$CK209,Data!$A$4:$A$947,0),MATCH(Graphs!CT$4,Data!$P$3:$Z$3,0)))</f>
        <v>246.0394725</v>
      </c>
      <c r="CU209" s="24" t="str">
        <f t="array" ref="CU209">IF(INDEX(Data!$P$4:$Z$947,MATCH(Graphs!$CK209,Data!$A$4:$A$947,0),MATCH(Graphs!CU$4,Data!$P$3:$Z$3,0))="n.q.",NA(),INDEX(Data!$P$4:$Z$947,MATCH(Graphs!$CK209,Data!$A$4:$A$947,0),MATCH(Graphs!CU$4,Data!$P$3:$Z$3,0)))</f>
        <v>#N/A</v>
      </c>
      <c r="CV209" s="24" t="str">
        <f t="array" ref="CV209">IF(INDEX(Data!$P$4:$Z$947,MATCH(Graphs!$CK209,Data!$A$4:$A$947,0),MATCH(Graphs!CV$4,Data!$P$3:$Z$3,0))="n.q.",NA(),INDEX(Data!$P$4:$Z$947,MATCH(Graphs!$CK209,Data!$A$4:$A$947,0),MATCH(Graphs!CV$4,Data!$P$3:$Z$3,0)))</f>
        <v>#N/A</v>
      </c>
    </row>
    <row r="210" ht="14.25" customHeight="1"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5"/>
      <c r="CK210" s="22">
        <f>Data!A209</f>
        <v>44531</v>
      </c>
      <c r="CL210" s="24">
        <f t="array" ref="CL210">IF(INDEX(Data!$B$4:$L$947,MATCH(Graphs!$CK210,Data!$A$4:$A$947,0),MATCH(Graphs!CL$4,Data!$B$3:$L$3,0))="n.q.",NA(),INDEX(Data!$B$4:$L$947,MATCH(Graphs!$CK210,Data!$A$4:$A$947,0),MATCH(Graphs!CL$4,Data!$B$3:$L$3,0)))</f>
        <v>331.13</v>
      </c>
      <c r="CM210" s="24">
        <f t="array" ref="CM210">IF(INDEX(Data!$B$4:$L$947,MATCH(Graphs!$CK210,Data!$A$4:$A$947,0),MATCH(Graphs!CM$4,Data!$B$3:$L$3,0))="n.q.",NA(),INDEX(Data!$B$4:$L$947,MATCH(Graphs!$CK210,Data!$A$4:$A$947,0),MATCH(Graphs!CM$4,Data!$B$3:$L$3,0)))</f>
        <v>374.51</v>
      </c>
      <c r="CN210" s="24">
        <f t="array" ref="CN210">IF(INDEX(Data!$B$4:$L$947,MATCH(Graphs!$CK210,Data!$A$4:$A$947,0),MATCH(Graphs!CN$4,Data!$B$3:$L$3,0))="n.q.",NA(),INDEX(Data!$B$4:$L$947,MATCH(Graphs!$CK210,Data!$A$4:$A$947,0),MATCH(Graphs!CN$4,Data!$B$3:$L$3,0)))</f>
        <v>326</v>
      </c>
      <c r="CO210" s="24" t="str">
        <f t="array" ref="CO210">IF(INDEX(Data!$B$4:$L$947,MATCH(Graphs!$CK210,Data!$A$4:$A$947,0),MATCH(Graphs!CO$4,Data!$B$3:$L$3,0))="n.q.",NA(),INDEX(Data!$B$4:$L$947,MATCH(Graphs!$CK210,Data!$A$4:$A$947,0),MATCH(Graphs!CO$4,Data!$B$3:$L$3,0)))</f>
        <v>#N/A</v>
      </c>
      <c r="CP210" s="24" t="str">
        <f t="array" ref="CP210">IF(INDEX(Data!$B$4:$L$947,MATCH(Graphs!$CK210,Data!$A$4:$A$947,0),MATCH(Graphs!CP$4,Data!$B$3:$L$3,0))="n.q.",NA(),INDEX(Data!$B$4:$L$947,MATCH(Graphs!$CK210,Data!$A$4:$A$947,0),MATCH(Graphs!CP$4,Data!$B$3:$L$3,0)))</f>
        <v>#N/A</v>
      </c>
      <c r="CQ210" s="5"/>
      <c r="CR210" s="24">
        <f t="array" ref="CR210">IF(INDEX(Data!$P$4:$Z$947,MATCH(Graphs!$CK210,Data!$A$4:$A$947,0),MATCH(Graphs!CR$4,Data!$P$3:$Z$3,0))="n.q.",NA(),INDEX(Data!$P$4:$Z$947,MATCH(Graphs!$CK210,Data!$A$4:$A$947,0),MATCH(Graphs!CR$4,Data!$P$3:$Z$3,0)))</f>
        <v>231.7394379</v>
      </c>
      <c r="CS210" s="24">
        <f t="array" ref="CS210">IF(INDEX(Data!$P$4:$Z$947,MATCH(Graphs!$CK210,Data!$A$4:$A$947,0),MATCH(Graphs!CS$4,Data!$P$3:$Z$3,0))="n.q.",NA(),INDEX(Data!$P$4:$Z$947,MATCH(Graphs!$CK210,Data!$A$4:$A$947,0),MATCH(Graphs!CS$4,Data!$P$3:$Z$3,0)))</f>
        <v>251.65</v>
      </c>
      <c r="CT210" s="24">
        <f t="array" ref="CT210">IF(INDEX(Data!$P$4:$Z$947,MATCH(Graphs!$CK210,Data!$A$4:$A$947,0),MATCH(Graphs!CT$4,Data!$P$3:$Z$3,0))="n.q.",NA(),INDEX(Data!$P$4:$Z$947,MATCH(Graphs!$CK210,Data!$A$4:$A$947,0),MATCH(Graphs!CT$4,Data!$P$3:$Z$3,0)))</f>
        <v>244.8294149</v>
      </c>
      <c r="CU210" s="24" t="str">
        <f t="array" ref="CU210">IF(INDEX(Data!$P$4:$Z$947,MATCH(Graphs!$CK210,Data!$A$4:$A$947,0),MATCH(Graphs!CU$4,Data!$P$3:$Z$3,0))="n.q.",NA(),INDEX(Data!$P$4:$Z$947,MATCH(Graphs!$CK210,Data!$A$4:$A$947,0),MATCH(Graphs!CU$4,Data!$P$3:$Z$3,0)))</f>
        <v>#N/A</v>
      </c>
      <c r="CV210" s="24" t="str">
        <f t="array" ref="CV210">IF(INDEX(Data!$P$4:$Z$947,MATCH(Graphs!$CK210,Data!$A$4:$A$947,0),MATCH(Graphs!CV$4,Data!$P$3:$Z$3,0))="n.q.",NA(),INDEX(Data!$P$4:$Z$947,MATCH(Graphs!$CK210,Data!$A$4:$A$947,0),MATCH(Graphs!CV$4,Data!$P$3:$Z$3,0)))</f>
        <v>#N/A</v>
      </c>
    </row>
    <row r="211" ht="14.25" customHeight="1"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5"/>
      <c r="CK211" s="22">
        <f>Data!A210</f>
        <v>44524</v>
      </c>
      <c r="CL211" s="24">
        <f t="array" ref="CL211">IF(INDEX(Data!$B$4:$L$947,MATCH(Graphs!$CK211,Data!$A$4:$A$947,0),MATCH(Graphs!CL$4,Data!$B$3:$L$3,0))="n.q.",NA(),INDEX(Data!$B$4:$L$947,MATCH(Graphs!$CK211,Data!$A$4:$A$947,0),MATCH(Graphs!CL$4,Data!$B$3:$L$3,0)))</f>
        <v>348.73</v>
      </c>
      <c r="CM211" s="24">
        <f t="array" ref="CM211">IF(INDEX(Data!$B$4:$L$947,MATCH(Graphs!$CK211,Data!$A$4:$A$947,0),MATCH(Graphs!CM$4,Data!$B$3:$L$3,0))="n.q.",NA(),INDEX(Data!$B$4:$L$947,MATCH(Graphs!$CK211,Data!$A$4:$A$947,0),MATCH(Graphs!CM$4,Data!$B$3:$L$3,0)))</f>
        <v>396.19</v>
      </c>
      <c r="CN211" s="24">
        <f t="array" ref="CN211">IF(INDEX(Data!$B$4:$L$947,MATCH(Graphs!$CK211,Data!$A$4:$A$947,0),MATCH(Graphs!CN$4,Data!$B$3:$L$3,0))="n.q.",NA(),INDEX(Data!$B$4:$L$947,MATCH(Graphs!$CK211,Data!$A$4:$A$947,0),MATCH(Graphs!CN$4,Data!$B$3:$L$3,0)))</f>
        <v>332</v>
      </c>
      <c r="CO211" s="24" t="str">
        <f t="array" ref="CO211">IF(INDEX(Data!$B$4:$L$947,MATCH(Graphs!$CK211,Data!$A$4:$A$947,0),MATCH(Graphs!CO$4,Data!$B$3:$L$3,0))="n.q.",NA(),INDEX(Data!$B$4:$L$947,MATCH(Graphs!$CK211,Data!$A$4:$A$947,0),MATCH(Graphs!CO$4,Data!$B$3:$L$3,0)))</f>
        <v>#N/A</v>
      </c>
      <c r="CP211" s="24" t="str">
        <f t="array" ref="CP211">IF(INDEX(Data!$B$4:$L$947,MATCH(Graphs!$CK211,Data!$A$4:$A$947,0),MATCH(Graphs!CP$4,Data!$B$3:$L$3,0))="n.q.",NA(),INDEX(Data!$B$4:$L$947,MATCH(Graphs!$CK211,Data!$A$4:$A$947,0),MATCH(Graphs!CP$4,Data!$B$3:$L$3,0)))</f>
        <v>#N/A</v>
      </c>
      <c r="CQ211" s="5"/>
      <c r="CR211" s="24">
        <f t="array" ref="CR211">IF(INDEX(Data!$P$4:$Z$947,MATCH(Graphs!$CK211,Data!$A$4:$A$947,0),MATCH(Graphs!CR$4,Data!$P$3:$Z$3,0))="n.q.",NA(),INDEX(Data!$P$4:$Z$947,MATCH(Graphs!$CK211,Data!$A$4:$A$947,0),MATCH(Graphs!CR$4,Data!$P$3:$Z$3,0)))</f>
        <v>237.3996074</v>
      </c>
      <c r="CS211" s="24">
        <f t="array" ref="CS211">IF(INDEX(Data!$P$4:$Z$947,MATCH(Graphs!$CK211,Data!$A$4:$A$947,0),MATCH(Graphs!CS$4,Data!$P$3:$Z$3,0))="n.q.",NA(),INDEX(Data!$P$4:$Z$947,MATCH(Graphs!$CK211,Data!$A$4:$A$947,0),MATCH(Graphs!CS$4,Data!$P$3:$Z$3,0)))</f>
        <v>273.72</v>
      </c>
      <c r="CT211" s="24">
        <f t="array" ref="CT211">IF(INDEX(Data!$P$4:$Z$947,MATCH(Graphs!$CK211,Data!$A$4:$A$947,0),MATCH(Graphs!CT$4,Data!$P$3:$Z$3,0))="n.q.",NA(),INDEX(Data!$P$4:$Z$947,MATCH(Graphs!$CK211,Data!$A$4:$A$947,0),MATCH(Graphs!CT$4,Data!$P$3:$Z$3,0)))</f>
        <v>251.6509013</v>
      </c>
      <c r="CU211" s="24" t="str">
        <f t="array" ref="CU211">IF(INDEX(Data!$P$4:$Z$947,MATCH(Graphs!$CK211,Data!$A$4:$A$947,0),MATCH(Graphs!CU$4,Data!$P$3:$Z$3,0))="n.q.",NA(),INDEX(Data!$P$4:$Z$947,MATCH(Graphs!$CK211,Data!$A$4:$A$947,0),MATCH(Graphs!CU$4,Data!$P$3:$Z$3,0)))</f>
        <v>#N/A</v>
      </c>
      <c r="CV211" s="24" t="str">
        <f t="array" ref="CV211">IF(INDEX(Data!$P$4:$Z$947,MATCH(Graphs!$CK211,Data!$A$4:$A$947,0),MATCH(Graphs!CV$4,Data!$P$3:$Z$3,0))="n.q.",NA(),INDEX(Data!$P$4:$Z$947,MATCH(Graphs!$CK211,Data!$A$4:$A$947,0),MATCH(Graphs!CV$4,Data!$P$3:$Z$3,0)))</f>
        <v>#N/A</v>
      </c>
    </row>
    <row r="212" ht="14.25" customHeight="1"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5"/>
      <c r="CK212" s="22">
        <f>Data!A211</f>
        <v>44517</v>
      </c>
      <c r="CL212" s="24">
        <f t="array" ref="CL212">IF(INDEX(Data!$B$4:$L$947,MATCH(Graphs!$CK212,Data!$A$4:$A$947,0),MATCH(Graphs!CL$4,Data!$B$3:$L$3,0))="n.q.",NA(),INDEX(Data!$B$4:$L$947,MATCH(Graphs!$CK212,Data!$A$4:$A$947,0),MATCH(Graphs!CL$4,Data!$B$3:$L$3,0)))</f>
        <v>343.58</v>
      </c>
      <c r="CM212" s="24">
        <f t="array" ref="CM212">IF(INDEX(Data!$B$4:$L$947,MATCH(Graphs!$CK212,Data!$A$4:$A$947,0),MATCH(Graphs!CM$4,Data!$B$3:$L$3,0))="n.q.",NA(),INDEX(Data!$B$4:$L$947,MATCH(Graphs!$CK212,Data!$A$4:$A$947,0),MATCH(Graphs!CM$4,Data!$B$3:$L$3,0)))</f>
        <v>381.77</v>
      </c>
      <c r="CN212" s="24">
        <f t="array" ref="CN212">IF(INDEX(Data!$B$4:$L$947,MATCH(Graphs!$CK212,Data!$A$4:$A$947,0),MATCH(Graphs!CN$4,Data!$B$3:$L$3,0))="n.q.",NA(),INDEX(Data!$B$4:$L$947,MATCH(Graphs!$CK212,Data!$A$4:$A$947,0),MATCH(Graphs!CN$4,Data!$B$3:$L$3,0)))</f>
        <v>326</v>
      </c>
      <c r="CO212" s="24" t="str">
        <f t="array" ref="CO212">IF(INDEX(Data!$B$4:$L$947,MATCH(Graphs!$CK212,Data!$A$4:$A$947,0),MATCH(Graphs!CO$4,Data!$B$3:$L$3,0))="n.q.",NA(),INDEX(Data!$B$4:$L$947,MATCH(Graphs!$CK212,Data!$A$4:$A$947,0),MATCH(Graphs!CO$4,Data!$B$3:$L$3,0)))</f>
        <v>#N/A</v>
      </c>
      <c r="CP212" s="24" t="str">
        <f t="array" ref="CP212">IF(INDEX(Data!$B$4:$L$947,MATCH(Graphs!$CK212,Data!$A$4:$A$947,0),MATCH(Graphs!CP$4,Data!$B$3:$L$3,0))="n.q.",NA(),INDEX(Data!$B$4:$L$947,MATCH(Graphs!$CK212,Data!$A$4:$A$947,0),MATCH(Graphs!CP$4,Data!$B$3:$L$3,0)))</f>
        <v>#N/A</v>
      </c>
      <c r="CQ212" s="5"/>
      <c r="CR212" s="24">
        <f t="array" ref="CR212">IF(INDEX(Data!$P$4:$Z$947,MATCH(Graphs!$CK212,Data!$A$4:$A$947,0),MATCH(Graphs!CR$4,Data!$P$3:$Z$3,0))="n.q.",NA(),INDEX(Data!$P$4:$Z$947,MATCH(Graphs!$CK212,Data!$A$4:$A$947,0),MATCH(Graphs!CR$4,Data!$P$3:$Z$3,0)))</f>
        <v>233.5277483</v>
      </c>
      <c r="CS212" s="24">
        <f t="array" ref="CS212">IF(INDEX(Data!$P$4:$Z$947,MATCH(Graphs!$CK212,Data!$A$4:$A$947,0),MATCH(Graphs!CS$4,Data!$P$3:$Z$3,0))="n.q.",NA(),INDEX(Data!$P$4:$Z$947,MATCH(Graphs!$CK212,Data!$A$4:$A$947,0),MATCH(Graphs!CS$4,Data!$P$3:$Z$3,0)))</f>
        <v>256.72</v>
      </c>
      <c r="CT212" s="24">
        <f t="array" ref="CT212">IF(INDEX(Data!$P$4:$Z$947,MATCH(Graphs!$CK212,Data!$A$4:$A$947,0),MATCH(Graphs!CT$4,Data!$P$3:$Z$3,0))="n.q.",NA(),INDEX(Data!$P$4:$Z$947,MATCH(Graphs!$CK212,Data!$A$4:$A$947,0),MATCH(Graphs!CT$4,Data!$P$3:$Z$3,0)))</f>
        <v>249.204666</v>
      </c>
      <c r="CU212" s="24" t="str">
        <f t="array" ref="CU212">IF(INDEX(Data!$P$4:$Z$947,MATCH(Graphs!$CK212,Data!$A$4:$A$947,0),MATCH(Graphs!CU$4,Data!$P$3:$Z$3,0))="n.q.",NA(),INDEX(Data!$P$4:$Z$947,MATCH(Graphs!$CK212,Data!$A$4:$A$947,0),MATCH(Graphs!CU$4,Data!$P$3:$Z$3,0)))</f>
        <v>#N/A</v>
      </c>
      <c r="CV212" s="24" t="str">
        <f t="array" ref="CV212">IF(INDEX(Data!$P$4:$Z$947,MATCH(Graphs!$CK212,Data!$A$4:$A$947,0),MATCH(Graphs!CV$4,Data!$P$3:$Z$3,0))="n.q.",NA(),INDEX(Data!$P$4:$Z$947,MATCH(Graphs!$CK212,Data!$A$4:$A$947,0),MATCH(Graphs!CV$4,Data!$P$3:$Z$3,0)))</f>
        <v>#N/A</v>
      </c>
    </row>
    <row r="213" ht="14.25" customHeight="1"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5"/>
      <c r="CK213" s="22">
        <f>Data!A212</f>
        <v>44510</v>
      </c>
      <c r="CL213" s="24">
        <f t="array" ref="CL213">IF(INDEX(Data!$B$4:$L$947,MATCH(Graphs!$CK213,Data!$A$4:$A$947,0),MATCH(Graphs!CL$4,Data!$B$3:$L$3,0))="n.q.",NA(),INDEX(Data!$B$4:$L$947,MATCH(Graphs!$CK213,Data!$A$4:$A$947,0),MATCH(Graphs!CL$4,Data!$B$3:$L$3,0)))</f>
        <v>338.04</v>
      </c>
      <c r="CM213" s="24">
        <f t="array" ref="CM213">IF(INDEX(Data!$B$4:$L$947,MATCH(Graphs!$CK213,Data!$A$4:$A$947,0),MATCH(Graphs!CM$4,Data!$B$3:$L$3,0))="n.q.",NA(),INDEX(Data!$B$4:$L$947,MATCH(Graphs!$CK213,Data!$A$4:$A$947,0),MATCH(Graphs!CM$4,Data!$B$3:$L$3,0)))</f>
        <v>375.7</v>
      </c>
      <c r="CN213" s="24">
        <f t="array" ref="CN213">IF(INDEX(Data!$B$4:$L$947,MATCH(Graphs!$CK213,Data!$A$4:$A$947,0),MATCH(Graphs!CN$4,Data!$B$3:$L$3,0))="n.q.",NA(),INDEX(Data!$B$4:$L$947,MATCH(Graphs!$CK213,Data!$A$4:$A$947,0),MATCH(Graphs!CN$4,Data!$B$3:$L$3,0)))</f>
        <v>316</v>
      </c>
      <c r="CO213" s="24" t="str">
        <f t="array" ref="CO213">IF(INDEX(Data!$B$4:$L$947,MATCH(Graphs!$CK213,Data!$A$4:$A$947,0),MATCH(Graphs!CO$4,Data!$B$3:$L$3,0))="n.q.",NA(),INDEX(Data!$B$4:$L$947,MATCH(Graphs!$CK213,Data!$A$4:$A$947,0),MATCH(Graphs!CO$4,Data!$B$3:$L$3,0)))</f>
        <v>#N/A</v>
      </c>
      <c r="CP213" s="24" t="str">
        <f t="array" ref="CP213">IF(INDEX(Data!$B$4:$L$947,MATCH(Graphs!$CK213,Data!$A$4:$A$947,0),MATCH(Graphs!CP$4,Data!$B$3:$L$3,0))="n.q.",NA(),INDEX(Data!$B$4:$L$947,MATCH(Graphs!$CK213,Data!$A$4:$A$947,0),MATCH(Graphs!CP$4,Data!$B$3:$L$3,0)))</f>
        <v>#N/A</v>
      </c>
      <c r="CQ213" s="5"/>
      <c r="CR213" s="24">
        <f t="array" ref="CR213">IF(INDEX(Data!$P$4:$Z$947,MATCH(Graphs!$CK213,Data!$A$4:$A$947,0),MATCH(Graphs!CR$4,Data!$P$3:$Z$3,0))="n.q.",NA(),INDEX(Data!$P$4:$Z$947,MATCH(Graphs!$CK213,Data!$A$4:$A$947,0),MATCH(Graphs!CR$4,Data!$P$3:$Z$3,0)))</f>
        <v>227.9546634</v>
      </c>
      <c r="CS213" s="24">
        <f t="array" ref="CS213">IF(INDEX(Data!$P$4:$Z$947,MATCH(Graphs!$CK213,Data!$A$4:$A$947,0),MATCH(Graphs!CS$4,Data!$P$3:$Z$3,0))="n.q.",NA(),INDEX(Data!$P$4:$Z$947,MATCH(Graphs!$CK213,Data!$A$4:$A$947,0),MATCH(Graphs!CS$4,Data!$P$3:$Z$3,0)))</f>
        <v>244.6280671</v>
      </c>
      <c r="CT213" s="24">
        <f t="array" ref="CT213">IF(INDEX(Data!$P$4:$Z$947,MATCH(Graphs!$CK213,Data!$A$4:$A$947,0),MATCH(Graphs!CT$4,Data!$P$3:$Z$3,0))="n.q.",NA(),INDEX(Data!$P$4:$Z$947,MATCH(Graphs!$CK213,Data!$A$4:$A$947,0),MATCH(Graphs!CT$4,Data!$P$3:$Z$3,0)))</f>
        <v>238.7956394</v>
      </c>
      <c r="CU213" s="24" t="str">
        <f t="array" ref="CU213">IF(INDEX(Data!$P$4:$Z$947,MATCH(Graphs!$CK213,Data!$A$4:$A$947,0),MATCH(Graphs!CU$4,Data!$P$3:$Z$3,0))="n.q.",NA(),INDEX(Data!$P$4:$Z$947,MATCH(Graphs!$CK213,Data!$A$4:$A$947,0),MATCH(Graphs!CU$4,Data!$P$3:$Z$3,0)))</f>
        <v>#N/A</v>
      </c>
      <c r="CV213" s="24" t="str">
        <f t="array" ref="CV213">IF(INDEX(Data!$P$4:$Z$947,MATCH(Graphs!$CK213,Data!$A$4:$A$947,0),MATCH(Graphs!CV$4,Data!$P$3:$Z$3,0))="n.q.",NA(),INDEX(Data!$P$4:$Z$947,MATCH(Graphs!$CK213,Data!$A$4:$A$947,0),MATCH(Graphs!CV$4,Data!$P$3:$Z$3,0)))</f>
        <v>#N/A</v>
      </c>
    </row>
    <row r="214" ht="14.25" customHeight="1"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5"/>
      <c r="CK214" s="22">
        <f>Data!A213</f>
        <v>44503</v>
      </c>
      <c r="CL214" s="24">
        <f t="array" ref="CL214">IF(INDEX(Data!$B$4:$L$947,MATCH(Graphs!$CK214,Data!$A$4:$A$947,0),MATCH(Graphs!CL$4,Data!$B$3:$L$3,0))="n.q.",NA(),INDEX(Data!$B$4:$L$947,MATCH(Graphs!$CK214,Data!$A$4:$A$947,0),MATCH(Graphs!CL$4,Data!$B$3:$L$3,0)))</f>
        <v>339.96</v>
      </c>
      <c r="CM214" s="24">
        <f t="array" ref="CM214">IF(INDEX(Data!$B$4:$L$947,MATCH(Graphs!$CK214,Data!$A$4:$A$947,0),MATCH(Graphs!CM$4,Data!$B$3:$L$3,0))="n.q.",NA(),INDEX(Data!$B$4:$L$947,MATCH(Graphs!$CK214,Data!$A$4:$A$947,0),MATCH(Graphs!CM$4,Data!$B$3:$L$3,0)))</f>
        <v>367.71</v>
      </c>
      <c r="CN214" s="24">
        <f t="array" ref="CN214">IF(INDEX(Data!$B$4:$L$947,MATCH(Graphs!$CK214,Data!$A$4:$A$947,0),MATCH(Graphs!CN$4,Data!$B$3:$L$3,0))="n.q.",NA(),INDEX(Data!$B$4:$L$947,MATCH(Graphs!$CK214,Data!$A$4:$A$947,0),MATCH(Graphs!CN$4,Data!$B$3:$L$3,0)))</f>
        <v>315</v>
      </c>
      <c r="CO214" s="24" t="str">
        <f t="array" ref="CO214">IF(INDEX(Data!$B$4:$L$947,MATCH(Graphs!$CK214,Data!$A$4:$A$947,0),MATCH(Graphs!CO$4,Data!$B$3:$L$3,0))="n.q.",NA(),INDEX(Data!$B$4:$L$947,MATCH(Graphs!$CK214,Data!$A$4:$A$947,0),MATCH(Graphs!CO$4,Data!$B$3:$L$3,0)))</f>
        <v>#N/A</v>
      </c>
      <c r="CP214" s="24" t="str">
        <f t="array" ref="CP214">IF(INDEX(Data!$B$4:$L$947,MATCH(Graphs!$CK214,Data!$A$4:$A$947,0),MATCH(Graphs!CP$4,Data!$B$3:$L$3,0))="n.q.",NA(),INDEX(Data!$B$4:$L$947,MATCH(Graphs!$CK214,Data!$A$4:$A$947,0),MATCH(Graphs!CP$4,Data!$B$3:$L$3,0)))</f>
        <v>#N/A</v>
      </c>
      <c r="CQ214" s="5"/>
      <c r="CR214" s="24">
        <f t="array" ref="CR214">IF(INDEX(Data!$P$4:$Z$947,MATCH(Graphs!$CK214,Data!$A$4:$A$947,0),MATCH(Graphs!CR$4,Data!$P$3:$Z$3,0))="n.q.",NA(),INDEX(Data!$P$4:$Z$947,MATCH(Graphs!$CK214,Data!$A$4:$A$947,0),MATCH(Graphs!CR$4,Data!$P$3:$Z$3,0)))</f>
        <v>234.280532</v>
      </c>
      <c r="CS214" s="24">
        <f t="array" ref="CS214">IF(INDEX(Data!$P$4:$Z$947,MATCH(Graphs!$CK214,Data!$A$4:$A$947,0),MATCH(Graphs!CS$4,Data!$P$3:$Z$3,0))="n.q.",NA(),INDEX(Data!$P$4:$Z$947,MATCH(Graphs!$CK214,Data!$A$4:$A$947,0),MATCH(Graphs!CS$4,Data!$P$3:$Z$3,0)))</f>
        <v>251.72</v>
      </c>
      <c r="CT214" s="24">
        <f t="array" ref="CT214">IF(INDEX(Data!$P$4:$Z$947,MATCH(Graphs!$CK214,Data!$A$4:$A$947,0),MATCH(Graphs!CT$4,Data!$P$3:$Z$3,0))="n.q.",NA(),INDEX(Data!$P$4:$Z$947,MATCH(Graphs!$CK214,Data!$A$4:$A$947,0),MATCH(Graphs!CT$4,Data!$P$3:$Z$3,0)))</f>
        <v>241.8379686</v>
      </c>
      <c r="CU214" s="24" t="str">
        <f t="array" ref="CU214">IF(INDEX(Data!$P$4:$Z$947,MATCH(Graphs!$CK214,Data!$A$4:$A$947,0),MATCH(Graphs!CU$4,Data!$P$3:$Z$3,0))="n.q.",NA(),INDEX(Data!$P$4:$Z$947,MATCH(Graphs!$CK214,Data!$A$4:$A$947,0),MATCH(Graphs!CU$4,Data!$P$3:$Z$3,0)))</f>
        <v>#N/A</v>
      </c>
      <c r="CV214" s="24" t="str">
        <f t="array" ref="CV214">IF(INDEX(Data!$P$4:$Z$947,MATCH(Graphs!$CK214,Data!$A$4:$A$947,0),MATCH(Graphs!CV$4,Data!$P$3:$Z$3,0))="n.q.",NA(),INDEX(Data!$P$4:$Z$947,MATCH(Graphs!$CK214,Data!$A$4:$A$947,0),MATCH(Graphs!CV$4,Data!$P$3:$Z$3,0)))</f>
        <v>#N/A</v>
      </c>
    </row>
    <row r="215" ht="14.25" customHeight="1"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5"/>
      <c r="CK215" s="22">
        <f>Data!A214</f>
        <v>44496</v>
      </c>
      <c r="CL215" s="24">
        <f t="array" ref="CL215">IF(INDEX(Data!$B$4:$L$947,MATCH(Graphs!$CK215,Data!$A$4:$A$947,0),MATCH(Graphs!CL$4,Data!$B$3:$L$3,0))="n.q.",NA(),INDEX(Data!$B$4:$L$947,MATCH(Graphs!$CK215,Data!$A$4:$A$947,0),MATCH(Graphs!CL$4,Data!$B$3:$L$3,0)))</f>
        <v>334.75</v>
      </c>
      <c r="CM215" s="24">
        <f t="array" ref="CM215">IF(INDEX(Data!$B$4:$L$947,MATCH(Graphs!$CK215,Data!$A$4:$A$947,0),MATCH(Graphs!CM$4,Data!$B$3:$L$3,0))="n.q.",NA(),INDEX(Data!$B$4:$L$947,MATCH(Graphs!$CK215,Data!$A$4:$A$947,0),MATCH(Graphs!CM$4,Data!$B$3:$L$3,0)))</f>
        <v>364.77</v>
      </c>
      <c r="CN215" s="24">
        <f t="array" ref="CN215">IF(INDEX(Data!$B$4:$L$947,MATCH(Graphs!$CK215,Data!$A$4:$A$947,0),MATCH(Graphs!CN$4,Data!$B$3:$L$3,0))="n.q.",NA(),INDEX(Data!$B$4:$L$947,MATCH(Graphs!$CK215,Data!$A$4:$A$947,0),MATCH(Graphs!CN$4,Data!$B$3:$L$3,0)))</f>
        <v>308</v>
      </c>
      <c r="CO215" s="24" t="str">
        <f t="array" ref="CO215">IF(INDEX(Data!$B$4:$L$947,MATCH(Graphs!$CK215,Data!$A$4:$A$947,0),MATCH(Graphs!CO$4,Data!$B$3:$L$3,0))="n.q.",NA(),INDEX(Data!$B$4:$L$947,MATCH(Graphs!$CK215,Data!$A$4:$A$947,0),MATCH(Graphs!CO$4,Data!$B$3:$L$3,0)))</f>
        <v>#N/A</v>
      </c>
      <c r="CP215" s="24" t="str">
        <f t="array" ref="CP215">IF(INDEX(Data!$B$4:$L$947,MATCH(Graphs!$CK215,Data!$A$4:$A$947,0),MATCH(Graphs!CP$4,Data!$B$3:$L$3,0))="n.q.",NA(),INDEX(Data!$B$4:$L$947,MATCH(Graphs!$CK215,Data!$A$4:$A$947,0),MATCH(Graphs!CP$4,Data!$B$3:$L$3,0)))</f>
        <v>#N/A</v>
      </c>
      <c r="CQ215" s="5"/>
      <c r="CR215" s="24">
        <f t="array" ref="CR215">IF(INDEX(Data!$P$4:$Z$947,MATCH(Graphs!$CK215,Data!$A$4:$A$947,0),MATCH(Graphs!CR$4,Data!$P$3:$Z$3,0))="n.q.",NA(),INDEX(Data!$P$4:$Z$947,MATCH(Graphs!$CK215,Data!$A$4:$A$947,0),MATCH(Graphs!CR$4,Data!$P$3:$Z$3,0)))</f>
        <v>234.5958509</v>
      </c>
      <c r="CS215" s="24">
        <f t="array" ref="CS215">IF(INDEX(Data!$P$4:$Z$947,MATCH(Graphs!$CK215,Data!$A$4:$A$947,0),MATCH(Graphs!CS$4,Data!$P$3:$Z$3,0))="n.q.",NA(),INDEX(Data!$P$4:$Z$947,MATCH(Graphs!$CK215,Data!$A$4:$A$947,0),MATCH(Graphs!CS$4,Data!$P$3:$Z$3,0)))</f>
        <v>257.72</v>
      </c>
      <c r="CT215" s="24">
        <f t="array" ref="CT215">IF(INDEX(Data!$P$4:$Z$947,MATCH(Graphs!$CK215,Data!$A$4:$A$947,0),MATCH(Graphs!CT$4,Data!$P$3:$Z$3,0))="n.q.",NA(),INDEX(Data!$P$4:$Z$947,MATCH(Graphs!$CK215,Data!$A$4:$A$947,0),MATCH(Graphs!CT$4,Data!$P$3:$Z$3,0)))</f>
        <v>235.8612378</v>
      </c>
      <c r="CU215" s="24" t="str">
        <f t="array" ref="CU215">IF(INDEX(Data!$P$4:$Z$947,MATCH(Graphs!$CK215,Data!$A$4:$A$947,0),MATCH(Graphs!CU$4,Data!$P$3:$Z$3,0))="n.q.",NA(),INDEX(Data!$P$4:$Z$947,MATCH(Graphs!$CK215,Data!$A$4:$A$947,0),MATCH(Graphs!CU$4,Data!$P$3:$Z$3,0)))</f>
        <v>#N/A</v>
      </c>
      <c r="CV215" s="24" t="str">
        <f t="array" ref="CV215">IF(INDEX(Data!$P$4:$Z$947,MATCH(Graphs!$CK215,Data!$A$4:$A$947,0),MATCH(Graphs!CV$4,Data!$P$3:$Z$3,0))="n.q.",NA(),INDEX(Data!$P$4:$Z$947,MATCH(Graphs!$CK215,Data!$A$4:$A$947,0),MATCH(Graphs!CV$4,Data!$P$3:$Z$3,0)))</f>
        <v>#N/A</v>
      </c>
    </row>
    <row r="216" ht="14.25" customHeight="1"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5"/>
      <c r="CK216" s="22">
        <f>Data!A215</f>
        <v>44489</v>
      </c>
      <c r="CL216" s="24">
        <f t="array" ref="CL216">IF(INDEX(Data!$B$4:$L$947,MATCH(Graphs!$CK216,Data!$A$4:$A$947,0),MATCH(Graphs!CL$4,Data!$B$3:$L$3,0))="n.q.",NA(),INDEX(Data!$B$4:$L$947,MATCH(Graphs!$CK216,Data!$A$4:$A$947,0),MATCH(Graphs!CL$4,Data!$B$3:$L$3,0)))</f>
        <v>328.98</v>
      </c>
      <c r="CM216" s="24">
        <f t="array" ref="CM216">IF(INDEX(Data!$B$4:$L$947,MATCH(Graphs!$CK216,Data!$A$4:$A$947,0),MATCH(Graphs!CM$4,Data!$B$3:$L$3,0))="n.q.",NA(),INDEX(Data!$B$4:$L$947,MATCH(Graphs!$CK216,Data!$A$4:$A$947,0),MATCH(Graphs!CM$4,Data!$B$3:$L$3,0)))</f>
        <v>352.65</v>
      </c>
      <c r="CN216" s="24">
        <f t="array" ref="CN216">IF(INDEX(Data!$B$4:$L$947,MATCH(Graphs!$CK216,Data!$A$4:$A$947,0),MATCH(Graphs!CN$4,Data!$B$3:$L$3,0))="n.q.",NA(),INDEX(Data!$B$4:$L$947,MATCH(Graphs!$CK216,Data!$A$4:$A$947,0),MATCH(Graphs!CN$4,Data!$B$3:$L$3,0)))</f>
        <v>304</v>
      </c>
      <c r="CO216" s="24" t="str">
        <f t="array" ref="CO216">IF(INDEX(Data!$B$4:$L$947,MATCH(Graphs!$CK216,Data!$A$4:$A$947,0),MATCH(Graphs!CO$4,Data!$B$3:$L$3,0))="n.q.",NA(),INDEX(Data!$B$4:$L$947,MATCH(Graphs!$CK216,Data!$A$4:$A$947,0),MATCH(Graphs!CO$4,Data!$B$3:$L$3,0)))</f>
        <v>#N/A</v>
      </c>
      <c r="CP216" s="24" t="str">
        <f t="array" ref="CP216">IF(INDEX(Data!$B$4:$L$947,MATCH(Graphs!$CK216,Data!$A$4:$A$947,0),MATCH(Graphs!CP$4,Data!$B$3:$L$3,0))="n.q.",NA(),INDEX(Data!$B$4:$L$947,MATCH(Graphs!$CK216,Data!$A$4:$A$947,0),MATCH(Graphs!CP$4,Data!$B$3:$L$3,0)))</f>
        <v>#N/A</v>
      </c>
      <c r="CQ216" s="5"/>
      <c r="CR216" s="24">
        <f t="array" ref="CR216">IF(INDEX(Data!$P$4:$Z$947,MATCH(Graphs!$CK216,Data!$A$4:$A$947,0),MATCH(Graphs!CR$4,Data!$P$3:$Z$3,0))="n.q.",NA(),INDEX(Data!$P$4:$Z$947,MATCH(Graphs!$CK216,Data!$A$4:$A$947,0),MATCH(Graphs!CR$4,Data!$P$3:$Z$3,0)))</f>
        <v>230.0696894</v>
      </c>
      <c r="CS216" s="24" t="str">
        <f t="array" ref="CS216">IF(INDEX(Data!$P$4:$Z$947,MATCH(Graphs!$CK216,Data!$A$4:$A$947,0),MATCH(Graphs!CS$4,Data!$P$3:$Z$3,0))="n.q.",NA(),INDEX(Data!$P$4:$Z$947,MATCH(Graphs!$CK216,Data!$A$4:$A$947,0),MATCH(Graphs!CS$4,Data!$P$3:$Z$3,0)))</f>
        <v>#N/A</v>
      </c>
      <c r="CT216" s="24">
        <f t="array" ref="CT216">IF(INDEX(Data!$P$4:$Z$947,MATCH(Graphs!$CK216,Data!$A$4:$A$947,0),MATCH(Graphs!CT$4,Data!$P$3:$Z$3,0))="n.q.",NA(),INDEX(Data!$P$4:$Z$947,MATCH(Graphs!$CK216,Data!$A$4:$A$947,0),MATCH(Graphs!CT$4,Data!$P$3:$Z$3,0)))</f>
        <v>236.5998451</v>
      </c>
      <c r="CU216" s="24" t="str">
        <f t="array" ref="CU216">IF(INDEX(Data!$P$4:$Z$947,MATCH(Graphs!$CK216,Data!$A$4:$A$947,0),MATCH(Graphs!CU$4,Data!$P$3:$Z$3,0))="n.q.",NA(),INDEX(Data!$P$4:$Z$947,MATCH(Graphs!$CK216,Data!$A$4:$A$947,0),MATCH(Graphs!CU$4,Data!$P$3:$Z$3,0)))</f>
        <v>#N/A</v>
      </c>
      <c r="CV216" s="24" t="str">
        <f t="array" ref="CV216">IF(INDEX(Data!$P$4:$Z$947,MATCH(Graphs!$CK216,Data!$A$4:$A$947,0),MATCH(Graphs!CV$4,Data!$P$3:$Z$3,0))="n.q.",NA(),INDEX(Data!$P$4:$Z$947,MATCH(Graphs!$CK216,Data!$A$4:$A$947,0),MATCH(Graphs!CV$4,Data!$P$3:$Z$3,0)))</f>
        <v>#N/A</v>
      </c>
    </row>
    <row r="217" ht="14.25" customHeight="1"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5"/>
      <c r="CK217" s="22">
        <f>Data!A216</f>
        <v>44482</v>
      </c>
      <c r="CL217" s="24">
        <f t="array" ref="CL217">IF(INDEX(Data!$B$4:$L$947,MATCH(Graphs!$CK217,Data!$A$4:$A$947,0),MATCH(Graphs!CL$4,Data!$B$3:$L$3,0))="n.q.",NA(),INDEX(Data!$B$4:$L$947,MATCH(Graphs!$CK217,Data!$A$4:$A$947,0),MATCH(Graphs!CL$4,Data!$B$3:$L$3,0)))</f>
        <v>314.12</v>
      </c>
      <c r="CM217" s="24">
        <f t="array" ref="CM217">IF(INDEX(Data!$B$4:$L$947,MATCH(Graphs!$CK217,Data!$A$4:$A$947,0),MATCH(Graphs!CM$4,Data!$B$3:$L$3,0))="n.q.",NA(),INDEX(Data!$B$4:$L$947,MATCH(Graphs!$CK217,Data!$A$4:$A$947,0),MATCH(Graphs!CM$4,Data!$B$3:$L$3,0)))</f>
        <v>338.69</v>
      </c>
      <c r="CN217" s="24">
        <f t="array" ref="CN217">IF(INDEX(Data!$B$4:$L$947,MATCH(Graphs!$CK217,Data!$A$4:$A$947,0),MATCH(Graphs!CN$4,Data!$B$3:$L$3,0))="n.q.",NA(),INDEX(Data!$B$4:$L$947,MATCH(Graphs!$CK217,Data!$A$4:$A$947,0),MATCH(Graphs!CN$4,Data!$B$3:$L$3,0)))</f>
        <v>301</v>
      </c>
      <c r="CO217" s="24" t="str">
        <f t="array" ref="CO217">IF(INDEX(Data!$B$4:$L$947,MATCH(Graphs!$CK217,Data!$A$4:$A$947,0),MATCH(Graphs!CO$4,Data!$B$3:$L$3,0))="n.q.",NA(),INDEX(Data!$B$4:$L$947,MATCH(Graphs!$CK217,Data!$A$4:$A$947,0),MATCH(Graphs!CO$4,Data!$B$3:$L$3,0)))</f>
        <v>#N/A</v>
      </c>
      <c r="CP217" s="24" t="str">
        <f t="array" ref="CP217">IF(INDEX(Data!$B$4:$L$947,MATCH(Graphs!$CK217,Data!$A$4:$A$947,0),MATCH(Graphs!CP$4,Data!$B$3:$L$3,0))="n.q.",NA(),INDEX(Data!$B$4:$L$947,MATCH(Graphs!$CK217,Data!$A$4:$A$947,0),MATCH(Graphs!CP$4,Data!$B$3:$L$3,0)))</f>
        <v>#N/A</v>
      </c>
      <c r="CQ217" s="5"/>
      <c r="CR217" s="24">
        <f t="array" ref="CR217">IF(INDEX(Data!$P$4:$Z$947,MATCH(Graphs!$CK217,Data!$A$4:$A$947,0),MATCH(Graphs!CR$4,Data!$P$3:$Z$3,0))="n.q.",NA(),INDEX(Data!$P$4:$Z$947,MATCH(Graphs!$CK217,Data!$A$4:$A$947,0),MATCH(Graphs!CR$4,Data!$P$3:$Z$3,0)))</f>
        <v>224.814046</v>
      </c>
      <c r="CS217" s="24" t="str">
        <f t="array" ref="CS217">IF(INDEX(Data!$P$4:$Z$947,MATCH(Graphs!$CK217,Data!$A$4:$A$947,0),MATCH(Graphs!CS$4,Data!$P$3:$Z$3,0))="n.q.",NA(),INDEX(Data!$P$4:$Z$947,MATCH(Graphs!$CK217,Data!$A$4:$A$947,0),MATCH(Graphs!CS$4,Data!$P$3:$Z$3,0)))</f>
        <v>#N/A</v>
      </c>
      <c r="CT217" s="24">
        <f t="array" ref="CT217">IF(INDEX(Data!$P$4:$Z$947,MATCH(Graphs!$CK217,Data!$A$4:$A$947,0),MATCH(Graphs!CT$4,Data!$P$3:$Z$3,0))="n.q.",NA(),INDEX(Data!$P$4:$Z$947,MATCH(Graphs!$CK217,Data!$A$4:$A$947,0),MATCH(Graphs!CT$4,Data!$P$3:$Z$3,0)))</f>
        <v>231.7938073</v>
      </c>
      <c r="CU217" s="24" t="str">
        <f t="array" ref="CU217">IF(INDEX(Data!$P$4:$Z$947,MATCH(Graphs!$CK217,Data!$A$4:$A$947,0),MATCH(Graphs!CU$4,Data!$P$3:$Z$3,0))="n.q.",NA(),INDEX(Data!$P$4:$Z$947,MATCH(Graphs!$CK217,Data!$A$4:$A$947,0),MATCH(Graphs!CU$4,Data!$P$3:$Z$3,0)))</f>
        <v>#N/A</v>
      </c>
      <c r="CV217" s="24" t="str">
        <f t="array" ref="CV217">IF(INDEX(Data!$P$4:$Z$947,MATCH(Graphs!$CK217,Data!$A$4:$A$947,0),MATCH(Graphs!CV$4,Data!$P$3:$Z$3,0))="n.q.",NA(),INDEX(Data!$P$4:$Z$947,MATCH(Graphs!$CK217,Data!$A$4:$A$947,0),MATCH(Graphs!CV$4,Data!$P$3:$Z$3,0)))</f>
        <v>#N/A</v>
      </c>
    </row>
    <row r="218" ht="14.25" customHeight="1"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5"/>
      <c r="CK218" s="22">
        <f>Data!A217</f>
        <v>44475</v>
      </c>
      <c r="CL218" s="24">
        <f t="array" ref="CL218">IF(INDEX(Data!$B$4:$L$947,MATCH(Graphs!$CK218,Data!$A$4:$A$947,0),MATCH(Graphs!CL$4,Data!$B$3:$L$3,0))="n.q.",NA(),INDEX(Data!$B$4:$L$947,MATCH(Graphs!$CK218,Data!$A$4:$A$947,0),MATCH(Graphs!CL$4,Data!$B$3:$L$3,0)))</f>
        <v>318.12</v>
      </c>
      <c r="CM218" s="24">
        <f t="array" ref="CM218">IF(INDEX(Data!$B$4:$L$947,MATCH(Graphs!$CK218,Data!$A$4:$A$947,0),MATCH(Graphs!CM$4,Data!$B$3:$L$3,0))="n.q.",NA(),INDEX(Data!$B$4:$L$947,MATCH(Graphs!$CK218,Data!$A$4:$A$947,0),MATCH(Graphs!CM$4,Data!$B$3:$L$3,0)))</f>
        <v>358.25</v>
      </c>
      <c r="CN218" s="24">
        <f t="array" ref="CN218">IF(INDEX(Data!$B$4:$L$947,MATCH(Graphs!$CK218,Data!$A$4:$A$947,0),MATCH(Graphs!CN$4,Data!$B$3:$L$3,0))="n.q.",NA(),INDEX(Data!$B$4:$L$947,MATCH(Graphs!$CK218,Data!$A$4:$A$947,0),MATCH(Graphs!CN$4,Data!$B$3:$L$3,0)))</f>
        <v>301</v>
      </c>
      <c r="CO218" s="24" t="str">
        <f t="array" ref="CO218">IF(INDEX(Data!$B$4:$L$947,MATCH(Graphs!$CK218,Data!$A$4:$A$947,0),MATCH(Graphs!CO$4,Data!$B$3:$L$3,0))="n.q.",NA(),INDEX(Data!$B$4:$L$947,MATCH(Graphs!$CK218,Data!$A$4:$A$947,0),MATCH(Graphs!CO$4,Data!$B$3:$L$3,0)))</f>
        <v>#N/A</v>
      </c>
      <c r="CP218" s="24" t="str">
        <f t="array" ref="CP218">IF(INDEX(Data!$B$4:$L$947,MATCH(Graphs!$CK218,Data!$A$4:$A$947,0),MATCH(Graphs!CP$4,Data!$B$3:$L$3,0))="n.q.",NA(),INDEX(Data!$B$4:$L$947,MATCH(Graphs!$CK218,Data!$A$4:$A$947,0),MATCH(Graphs!CP$4,Data!$B$3:$L$3,0)))</f>
        <v>#N/A</v>
      </c>
      <c r="CQ218" s="5"/>
      <c r="CR218" s="24">
        <f t="array" ref="CR218">IF(INDEX(Data!$P$4:$Z$947,MATCH(Graphs!$CK218,Data!$A$4:$A$947,0),MATCH(Graphs!CR$4,Data!$P$3:$Z$3,0))="n.q.",NA(),INDEX(Data!$P$4:$Z$947,MATCH(Graphs!$CK218,Data!$A$4:$A$947,0),MATCH(Graphs!CR$4,Data!$P$3:$Z$3,0)))</f>
        <v>232.7066366</v>
      </c>
      <c r="CS218" s="24">
        <f t="array" ref="CS218">IF(INDEX(Data!$P$4:$Z$947,MATCH(Graphs!$CK218,Data!$A$4:$A$947,0),MATCH(Graphs!CS$4,Data!$P$3:$Z$3,0))="n.q.",NA(),INDEX(Data!$P$4:$Z$947,MATCH(Graphs!$CK218,Data!$A$4:$A$947,0),MATCH(Graphs!CS$4,Data!$P$3:$Z$3,0)))</f>
        <v>256.72</v>
      </c>
      <c r="CT218" s="24">
        <f t="array" ref="CT218">IF(INDEX(Data!$P$4:$Z$947,MATCH(Graphs!$CK218,Data!$A$4:$A$947,0),MATCH(Graphs!CT$4,Data!$P$3:$Z$3,0))="n.q.",NA(),INDEX(Data!$P$4:$Z$947,MATCH(Graphs!$CK218,Data!$A$4:$A$947,0),MATCH(Graphs!CT$4,Data!$P$3:$Z$3,0)))</f>
        <v>233.061861</v>
      </c>
      <c r="CU218" s="24" t="str">
        <f t="array" ref="CU218">IF(INDEX(Data!$P$4:$Z$947,MATCH(Graphs!$CK218,Data!$A$4:$A$947,0),MATCH(Graphs!CU$4,Data!$P$3:$Z$3,0))="n.q.",NA(),INDEX(Data!$P$4:$Z$947,MATCH(Graphs!$CK218,Data!$A$4:$A$947,0),MATCH(Graphs!CU$4,Data!$P$3:$Z$3,0)))</f>
        <v>#N/A</v>
      </c>
      <c r="CV218" s="24" t="str">
        <f t="array" ref="CV218">IF(INDEX(Data!$P$4:$Z$947,MATCH(Graphs!$CK218,Data!$A$4:$A$947,0),MATCH(Graphs!CV$4,Data!$P$3:$Z$3,0))="n.q.",NA(),INDEX(Data!$P$4:$Z$947,MATCH(Graphs!$CK218,Data!$A$4:$A$947,0),MATCH(Graphs!CV$4,Data!$P$3:$Z$3,0)))</f>
        <v>#N/A</v>
      </c>
    </row>
    <row r="219" ht="14.25" customHeight="1"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5"/>
      <c r="CK219" s="22">
        <f>Data!A218</f>
        <v>44468</v>
      </c>
      <c r="CL219" s="24">
        <f t="array" ref="CL219">IF(INDEX(Data!$B$4:$L$947,MATCH(Graphs!$CK219,Data!$A$4:$A$947,0),MATCH(Graphs!CL$4,Data!$B$3:$L$3,0))="n.q.",NA(),INDEX(Data!$B$4:$L$947,MATCH(Graphs!$CK219,Data!$A$4:$A$947,0),MATCH(Graphs!CL$4,Data!$B$3:$L$3,0)))</f>
        <v>307.28</v>
      </c>
      <c r="CM219" s="24">
        <f t="array" ref="CM219">IF(INDEX(Data!$B$4:$L$947,MATCH(Graphs!$CK219,Data!$A$4:$A$947,0),MATCH(Graphs!CM$4,Data!$B$3:$L$3,0))="n.q.",NA(),INDEX(Data!$B$4:$L$947,MATCH(Graphs!$CK219,Data!$A$4:$A$947,0),MATCH(Graphs!CM$4,Data!$B$3:$L$3,0)))</f>
        <v>349.71</v>
      </c>
      <c r="CN219" s="24">
        <f t="array" ref="CN219">IF(INDEX(Data!$B$4:$L$947,MATCH(Graphs!$CK219,Data!$A$4:$A$947,0),MATCH(Graphs!CN$4,Data!$B$3:$L$3,0))="n.q.",NA(),INDEX(Data!$B$4:$L$947,MATCH(Graphs!$CK219,Data!$A$4:$A$947,0),MATCH(Graphs!CN$4,Data!$B$3:$L$3,0)))</f>
        <v>288</v>
      </c>
      <c r="CO219" s="24" t="str">
        <f t="array" ref="CO219">IF(INDEX(Data!$B$4:$L$947,MATCH(Graphs!$CK219,Data!$A$4:$A$947,0),MATCH(Graphs!CO$4,Data!$B$3:$L$3,0))="n.q.",NA(),INDEX(Data!$B$4:$L$947,MATCH(Graphs!$CK219,Data!$A$4:$A$947,0),MATCH(Graphs!CO$4,Data!$B$3:$L$3,0)))</f>
        <v>#N/A</v>
      </c>
      <c r="CP219" s="24" t="str">
        <f t="array" ref="CP219">IF(INDEX(Data!$B$4:$L$947,MATCH(Graphs!$CK219,Data!$A$4:$A$947,0),MATCH(Graphs!CP$4,Data!$B$3:$L$3,0))="n.q.",NA(),INDEX(Data!$B$4:$L$947,MATCH(Graphs!$CK219,Data!$A$4:$A$947,0),MATCH(Graphs!CP$4,Data!$B$3:$L$3,0)))</f>
        <v>#N/A</v>
      </c>
      <c r="CQ219" s="5"/>
      <c r="CR219" s="24">
        <f t="array" ref="CR219">IF(INDEX(Data!$P$4:$Z$947,MATCH(Graphs!$CK219,Data!$A$4:$A$947,0),MATCH(Graphs!CR$4,Data!$P$3:$Z$3,0))="n.q.",NA(),INDEX(Data!$P$4:$Z$947,MATCH(Graphs!$CK219,Data!$A$4:$A$947,0),MATCH(Graphs!CR$4,Data!$P$3:$Z$3,0)))</f>
        <v>242.2086837</v>
      </c>
      <c r="CS219" s="24">
        <f t="array" ref="CS219">IF(INDEX(Data!$P$4:$Z$947,MATCH(Graphs!$CK219,Data!$A$4:$A$947,0),MATCH(Graphs!CS$4,Data!$P$3:$Z$3,0))="n.q.",NA(),INDEX(Data!$P$4:$Z$947,MATCH(Graphs!$CK219,Data!$A$4:$A$947,0),MATCH(Graphs!CS$4,Data!$P$3:$Z$3,0)))</f>
        <v>244.29</v>
      </c>
      <c r="CT219" s="24">
        <f t="array" ref="CT219">IF(INDEX(Data!$P$4:$Z$947,MATCH(Graphs!$CK219,Data!$A$4:$A$947,0),MATCH(Graphs!CT$4,Data!$P$3:$Z$3,0))="n.q.",NA(),INDEX(Data!$P$4:$Z$947,MATCH(Graphs!$CK219,Data!$A$4:$A$947,0),MATCH(Graphs!CT$4,Data!$P$3:$Z$3,0)))</f>
        <v>226.5316629</v>
      </c>
      <c r="CU219" s="24" t="str">
        <f t="array" ref="CU219">IF(INDEX(Data!$P$4:$Z$947,MATCH(Graphs!$CK219,Data!$A$4:$A$947,0),MATCH(Graphs!CU$4,Data!$P$3:$Z$3,0))="n.q.",NA(),INDEX(Data!$P$4:$Z$947,MATCH(Graphs!$CK219,Data!$A$4:$A$947,0),MATCH(Graphs!CU$4,Data!$P$3:$Z$3,0)))</f>
        <v>#N/A</v>
      </c>
      <c r="CV219" s="24" t="str">
        <f t="array" ref="CV219">IF(INDEX(Data!$P$4:$Z$947,MATCH(Graphs!$CK219,Data!$A$4:$A$947,0),MATCH(Graphs!CV$4,Data!$P$3:$Z$3,0))="n.q.",NA(),INDEX(Data!$P$4:$Z$947,MATCH(Graphs!$CK219,Data!$A$4:$A$947,0),MATCH(Graphs!CV$4,Data!$P$3:$Z$3,0)))</f>
        <v>#N/A</v>
      </c>
    </row>
    <row r="220" ht="14.25" customHeight="1"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5"/>
      <c r="CK220" s="22">
        <f>Data!A219</f>
        <v>44461</v>
      </c>
      <c r="CL220" s="24">
        <f t="array" ref="CL220">IF(INDEX(Data!$B$4:$L$947,MATCH(Graphs!$CK220,Data!$A$4:$A$947,0),MATCH(Graphs!CL$4,Data!$B$3:$L$3,0))="n.q.",NA(),INDEX(Data!$B$4:$L$947,MATCH(Graphs!$CK220,Data!$A$4:$A$947,0),MATCH(Graphs!CL$4,Data!$B$3:$L$3,0)))</f>
        <v>304.77</v>
      </c>
      <c r="CM220" s="24">
        <f t="array" ref="CM220">IF(INDEX(Data!$B$4:$L$947,MATCH(Graphs!$CK220,Data!$A$4:$A$947,0),MATCH(Graphs!CM$4,Data!$B$3:$L$3,0))="n.q.",NA(),INDEX(Data!$B$4:$L$947,MATCH(Graphs!$CK220,Data!$A$4:$A$947,0),MATCH(Graphs!CM$4,Data!$B$3:$L$3,0)))</f>
        <v>343.92</v>
      </c>
      <c r="CN220" s="24">
        <f t="array" ref="CN220">IF(INDEX(Data!$B$4:$L$947,MATCH(Graphs!$CK220,Data!$A$4:$A$947,0),MATCH(Graphs!CN$4,Data!$B$3:$L$3,0))="n.q.",NA(),INDEX(Data!$B$4:$L$947,MATCH(Graphs!$CK220,Data!$A$4:$A$947,0),MATCH(Graphs!CN$4,Data!$B$3:$L$3,0)))</f>
        <v>287</v>
      </c>
      <c r="CO220" s="24" t="str">
        <f t="array" ref="CO220">IF(INDEX(Data!$B$4:$L$947,MATCH(Graphs!$CK220,Data!$A$4:$A$947,0),MATCH(Graphs!CO$4,Data!$B$3:$L$3,0))="n.q.",NA(),INDEX(Data!$B$4:$L$947,MATCH(Graphs!$CK220,Data!$A$4:$A$947,0),MATCH(Graphs!CO$4,Data!$B$3:$L$3,0)))</f>
        <v>#N/A</v>
      </c>
      <c r="CP220" s="24" t="str">
        <f t="array" ref="CP220">IF(INDEX(Data!$B$4:$L$947,MATCH(Graphs!$CK220,Data!$A$4:$A$947,0),MATCH(Graphs!CP$4,Data!$B$3:$L$3,0))="n.q.",NA(),INDEX(Data!$B$4:$L$947,MATCH(Graphs!$CK220,Data!$A$4:$A$947,0),MATCH(Graphs!CP$4,Data!$B$3:$L$3,0)))</f>
        <v>#N/A</v>
      </c>
      <c r="CQ220" s="5"/>
      <c r="CR220" s="24">
        <f t="array" ref="CR220">IF(INDEX(Data!$P$4:$Z$947,MATCH(Graphs!$CK220,Data!$A$4:$A$947,0),MATCH(Graphs!CR$4,Data!$P$3:$Z$3,0))="n.q.",NA(),INDEX(Data!$P$4:$Z$947,MATCH(Graphs!$CK220,Data!$A$4:$A$947,0),MATCH(Graphs!CR$4,Data!$P$3:$Z$3,0)))</f>
        <v>237.8037343</v>
      </c>
      <c r="CS220" s="24">
        <f t="array" ref="CS220">IF(INDEX(Data!$P$4:$Z$947,MATCH(Graphs!$CK220,Data!$A$4:$A$947,0),MATCH(Graphs!CS$4,Data!$P$3:$Z$3,0))="n.q.",NA(),INDEX(Data!$P$4:$Z$947,MATCH(Graphs!$CK220,Data!$A$4:$A$947,0),MATCH(Graphs!CS$4,Data!$P$3:$Z$3,0)))</f>
        <v>235.79</v>
      </c>
      <c r="CT220" s="24">
        <f t="array" ref="CT220">IF(INDEX(Data!$P$4:$Z$947,MATCH(Graphs!$CK220,Data!$A$4:$A$947,0),MATCH(Graphs!CT$4,Data!$P$3:$Z$3,0))="n.q.",NA(),INDEX(Data!$P$4:$Z$947,MATCH(Graphs!$CK220,Data!$A$4:$A$947,0),MATCH(Graphs!CT$4,Data!$P$3:$Z$3,0)))</f>
        <v>223.3779521</v>
      </c>
      <c r="CU220" s="24" t="str">
        <f t="array" ref="CU220">IF(INDEX(Data!$P$4:$Z$947,MATCH(Graphs!$CK220,Data!$A$4:$A$947,0),MATCH(Graphs!CU$4,Data!$P$3:$Z$3,0))="n.q.",NA(),INDEX(Data!$P$4:$Z$947,MATCH(Graphs!$CK220,Data!$A$4:$A$947,0),MATCH(Graphs!CU$4,Data!$P$3:$Z$3,0)))</f>
        <v>#N/A</v>
      </c>
      <c r="CV220" s="24" t="str">
        <f t="array" ref="CV220">IF(INDEX(Data!$P$4:$Z$947,MATCH(Graphs!$CK220,Data!$A$4:$A$947,0),MATCH(Graphs!CV$4,Data!$P$3:$Z$3,0))="n.q.",NA(),INDEX(Data!$P$4:$Z$947,MATCH(Graphs!$CK220,Data!$A$4:$A$947,0),MATCH(Graphs!CV$4,Data!$P$3:$Z$3,0)))</f>
        <v>#N/A</v>
      </c>
    </row>
    <row r="221" ht="14.25" customHeight="1"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5"/>
      <c r="CK221" s="22" t="str">
        <f>Data!#REF!</f>
        <v>#ERROR!</v>
      </c>
      <c r="CL221" s="24" t="str">
        <f t="array" ref="CL221">IF(INDEX(Data!$B$4:$L$947,MATCH(Graphs!$CK221,Data!$A$4:$A$947,0),MATCH(Graphs!CL$4,Data!$B$3:$L$3,0))="n.q.",NA(),INDEX(Data!$B$4:$L$947,MATCH(Graphs!$CK221,Data!$A$4:$A$947,0),MATCH(Graphs!CL$4,Data!$B$3:$L$3,0)))</f>
        <v>#ERROR!</v>
      </c>
      <c r="CM221" s="24" t="str">
        <f t="array" ref="CM221">IF(INDEX(Data!$B$4:$L$947,MATCH(Graphs!$CK221,Data!$A$4:$A$947,0),MATCH(Graphs!CM$4,Data!$B$3:$L$3,0))="n.q.",NA(),INDEX(Data!$B$4:$L$947,MATCH(Graphs!$CK221,Data!$A$4:$A$947,0),MATCH(Graphs!CM$4,Data!$B$3:$L$3,0)))</f>
        <v>#ERROR!</v>
      </c>
      <c r="CN221" s="24" t="str">
        <f t="array" ref="CN221">IF(INDEX(Data!$B$4:$L$947,MATCH(Graphs!$CK221,Data!$A$4:$A$947,0),MATCH(Graphs!CN$4,Data!$B$3:$L$3,0))="n.q.",NA(),INDEX(Data!$B$4:$L$947,MATCH(Graphs!$CK221,Data!$A$4:$A$947,0),MATCH(Graphs!CN$4,Data!$B$3:$L$3,0)))</f>
        <v>#ERROR!</v>
      </c>
      <c r="CO221" s="24" t="str">
        <f t="array" ref="CO221">IF(INDEX(Data!$B$4:$L$947,MATCH(Graphs!$CK221,Data!$A$4:$A$947,0),MATCH(Graphs!CO$4,Data!$B$3:$L$3,0))="n.q.",NA(),INDEX(Data!$B$4:$L$947,MATCH(Graphs!$CK221,Data!$A$4:$A$947,0),MATCH(Graphs!CO$4,Data!$B$3:$L$3,0)))</f>
        <v>#ERROR!</v>
      </c>
      <c r="CP221" s="24" t="str">
        <f t="array" ref="CP221">IF(INDEX(Data!$B$4:$L$947,MATCH(Graphs!$CK221,Data!$A$4:$A$947,0),MATCH(Graphs!CP$4,Data!$B$3:$L$3,0))="n.q.",NA(),INDEX(Data!$B$4:$L$947,MATCH(Graphs!$CK221,Data!$A$4:$A$947,0),MATCH(Graphs!CP$4,Data!$B$3:$L$3,0)))</f>
        <v>#ERROR!</v>
      </c>
      <c r="CQ221" s="5"/>
      <c r="CR221" s="24" t="str">
        <f t="array" ref="CR221">IF(INDEX(Data!$P$4:$Z$947,MATCH(Graphs!$CK221,Data!$A$4:$A$947,0),MATCH(Graphs!CR$4,Data!$P$3:$Z$3,0))="n.q.",NA(),INDEX(Data!$P$4:$Z$947,MATCH(Graphs!$CK221,Data!$A$4:$A$947,0),MATCH(Graphs!CR$4,Data!$P$3:$Z$3,0)))</f>
        <v>#ERROR!</v>
      </c>
      <c r="CS221" s="24" t="str">
        <f t="array" ref="CS221">IF(INDEX(Data!$P$4:$Z$947,MATCH(Graphs!$CK221,Data!$A$4:$A$947,0),MATCH(Graphs!CS$4,Data!$P$3:$Z$3,0))="n.q.",NA(),INDEX(Data!$P$4:$Z$947,MATCH(Graphs!$CK221,Data!$A$4:$A$947,0),MATCH(Graphs!CS$4,Data!$P$3:$Z$3,0)))</f>
        <v>#ERROR!</v>
      </c>
      <c r="CT221" s="24" t="str">
        <f t="array" ref="CT221">IF(INDEX(Data!$P$4:$Z$947,MATCH(Graphs!$CK221,Data!$A$4:$A$947,0),MATCH(Graphs!CT$4,Data!$P$3:$Z$3,0))="n.q.",NA(),INDEX(Data!$P$4:$Z$947,MATCH(Graphs!$CK221,Data!$A$4:$A$947,0),MATCH(Graphs!CT$4,Data!$P$3:$Z$3,0)))</f>
        <v>#ERROR!</v>
      </c>
      <c r="CU221" s="24" t="str">
        <f t="array" ref="CU221">IF(INDEX(Data!$P$4:$Z$947,MATCH(Graphs!$CK221,Data!$A$4:$A$947,0),MATCH(Graphs!CU$4,Data!$P$3:$Z$3,0))="n.q.",NA(),INDEX(Data!$P$4:$Z$947,MATCH(Graphs!$CK221,Data!$A$4:$A$947,0),MATCH(Graphs!CU$4,Data!$P$3:$Z$3,0)))</f>
        <v>#ERROR!</v>
      </c>
      <c r="CV221" s="24" t="str">
        <f t="array" ref="CV221">IF(INDEX(Data!$P$4:$Z$947,MATCH(Graphs!$CK221,Data!$A$4:$A$947,0),MATCH(Graphs!CV$4,Data!$P$3:$Z$3,0))="n.q.",NA(),INDEX(Data!$P$4:$Z$947,MATCH(Graphs!$CK221,Data!$A$4:$A$947,0),MATCH(Graphs!CV$4,Data!$P$3:$Z$3,0)))</f>
        <v>#ERROR!</v>
      </c>
    </row>
    <row r="222" ht="14.25" customHeight="1"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5"/>
      <c r="CK222" s="22">
        <f>Data!A220</f>
        <v>44454</v>
      </c>
      <c r="CL222" s="24">
        <f t="array" ref="CL222">IF(INDEX(Data!$B$4:$L$947,MATCH(Graphs!$CK222,Data!$A$4:$A$947,0),MATCH(Graphs!CL$4,Data!$B$3:$L$3,0))="n.q.",NA(),INDEX(Data!$B$4:$L$947,MATCH(Graphs!$CK222,Data!$A$4:$A$947,0),MATCH(Graphs!CL$4,Data!$B$3:$L$3,0)))</f>
        <v>305.49</v>
      </c>
      <c r="CM222" s="24">
        <f t="array" ref="CM222">IF(INDEX(Data!$B$4:$L$947,MATCH(Graphs!$CK222,Data!$A$4:$A$947,0),MATCH(Graphs!CM$4,Data!$B$3:$L$3,0))="n.q.",NA(),INDEX(Data!$B$4:$L$947,MATCH(Graphs!$CK222,Data!$A$4:$A$947,0),MATCH(Graphs!CM$4,Data!$B$3:$L$3,0)))</f>
        <v>336.57</v>
      </c>
      <c r="CN222" s="24">
        <f t="array" ref="CN222">IF(INDEX(Data!$B$4:$L$947,MATCH(Graphs!$CK222,Data!$A$4:$A$947,0),MATCH(Graphs!CN$4,Data!$B$3:$L$3,0))="n.q.",NA(),INDEX(Data!$B$4:$L$947,MATCH(Graphs!$CK222,Data!$A$4:$A$947,0),MATCH(Graphs!CN$4,Data!$B$3:$L$3,0)))</f>
        <v>287</v>
      </c>
      <c r="CO222" s="24" t="str">
        <f t="array" ref="CO222">IF(INDEX(Data!$B$4:$L$947,MATCH(Graphs!$CK222,Data!$A$4:$A$947,0),MATCH(Graphs!CO$4,Data!$B$3:$L$3,0))="n.q.",NA(),INDEX(Data!$B$4:$L$947,MATCH(Graphs!$CK222,Data!$A$4:$A$947,0),MATCH(Graphs!CO$4,Data!$B$3:$L$3,0)))</f>
        <v>#N/A</v>
      </c>
      <c r="CP222" s="24" t="str">
        <f t="array" ref="CP222">IF(INDEX(Data!$B$4:$L$947,MATCH(Graphs!$CK222,Data!$A$4:$A$947,0),MATCH(Graphs!CP$4,Data!$B$3:$L$3,0))="n.q.",NA(),INDEX(Data!$B$4:$L$947,MATCH(Graphs!$CK222,Data!$A$4:$A$947,0),MATCH(Graphs!CP$4,Data!$B$3:$L$3,0)))</f>
        <v>#N/A</v>
      </c>
      <c r="CQ222" s="5"/>
      <c r="CR222" s="24">
        <f t="array" ref="CR222">IF(INDEX(Data!$P$4:$Z$947,MATCH(Graphs!$CK222,Data!$A$4:$A$947,0),MATCH(Graphs!CR$4,Data!$P$3:$Z$3,0))="n.q.",NA(),INDEX(Data!$P$4:$Z$947,MATCH(Graphs!$CK222,Data!$A$4:$A$947,0),MATCH(Graphs!CR$4,Data!$P$3:$Z$3,0)))</f>
        <v>237.5592016</v>
      </c>
      <c r="CS222" s="24" t="str">
        <f t="array" ref="CS222">IF(INDEX(Data!$P$4:$Z$947,MATCH(Graphs!$CK222,Data!$A$4:$A$947,0),MATCH(Graphs!CS$4,Data!$P$3:$Z$3,0))="n.q.",NA(),INDEX(Data!$P$4:$Z$947,MATCH(Graphs!$CK222,Data!$A$4:$A$947,0),MATCH(Graphs!CS$4,Data!$P$3:$Z$3,0)))</f>
        <v>#N/A</v>
      </c>
      <c r="CT222" s="24">
        <f t="array" ref="CT222">IF(INDEX(Data!$P$4:$Z$947,MATCH(Graphs!$CK222,Data!$A$4:$A$947,0),MATCH(Graphs!CT$4,Data!$P$3:$Z$3,0))="n.q.",NA(),INDEX(Data!$P$4:$Z$947,MATCH(Graphs!$CK222,Data!$A$4:$A$947,0),MATCH(Graphs!CT$4,Data!$P$3:$Z$3,0)))</f>
        <v>224.120433</v>
      </c>
      <c r="CU222" s="24" t="str">
        <f t="array" ref="CU222">IF(INDEX(Data!$P$4:$Z$947,MATCH(Graphs!$CK222,Data!$A$4:$A$947,0),MATCH(Graphs!CU$4,Data!$P$3:$Z$3,0))="n.q.",NA(),INDEX(Data!$P$4:$Z$947,MATCH(Graphs!$CK222,Data!$A$4:$A$947,0),MATCH(Graphs!CU$4,Data!$P$3:$Z$3,0)))</f>
        <v>#N/A</v>
      </c>
      <c r="CV222" s="24" t="str">
        <f t="array" ref="CV222">IF(INDEX(Data!$P$4:$Z$947,MATCH(Graphs!$CK222,Data!$A$4:$A$947,0),MATCH(Graphs!CV$4,Data!$P$3:$Z$3,0))="n.q.",NA(),INDEX(Data!$P$4:$Z$947,MATCH(Graphs!$CK222,Data!$A$4:$A$947,0),MATCH(Graphs!CV$4,Data!$P$3:$Z$3,0)))</f>
        <v>#N/A</v>
      </c>
    </row>
    <row r="223" ht="14.25" customHeight="1"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5"/>
      <c r="CK223" s="22">
        <f>Data!A221</f>
        <v>44447</v>
      </c>
      <c r="CL223" s="24">
        <f t="array" ref="CL223">IF(INDEX(Data!$B$4:$L$947,MATCH(Graphs!$CK223,Data!$A$4:$A$947,0),MATCH(Graphs!CL$4,Data!$B$3:$L$3,0))="n.q.",NA(),INDEX(Data!$B$4:$L$947,MATCH(Graphs!$CK223,Data!$A$4:$A$947,0),MATCH(Graphs!CL$4,Data!$B$3:$L$3,0)))</f>
        <v>295</v>
      </c>
      <c r="CM223" s="24">
        <f t="array" ref="CM223">IF(INDEX(Data!$B$4:$L$947,MATCH(Graphs!$CK223,Data!$A$4:$A$947,0),MATCH(Graphs!CM$4,Data!$B$3:$L$3,0))="n.q.",NA(),INDEX(Data!$B$4:$L$947,MATCH(Graphs!$CK223,Data!$A$4:$A$947,0),MATCH(Graphs!CM$4,Data!$B$3:$L$3,0)))</f>
        <v>326.93</v>
      </c>
      <c r="CN223" s="24">
        <f t="array" ref="CN223">IF(INDEX(Data!$B$4:$L$947,MATCH(Graphs!$CK223,Data!$A$4:$A$947,0),MATCH(Graphs!CN$4,Data!$B$3:$L$3,0))="n.q.",NA(),INDEX(Data!$B$4:$L$947,MATCH(Graphs!$CK223,Data!$A$4:$A$947,0),MATCH(Graphs!CN$4,Data!$B$3:$L$3,0)))</f>
        <v>285</v>
      </c>
      <c r="CO223" s="24" t="str">
        <f t="array" ref="CO223">IF(INDEX(Data!$B$4:$L$947,MATCH(Graphs!$CK223,Data!$A$4:$A$947,0),MATCH(Graphs!CO$4,Data!$B$3:$L$3,0))="n.q.",NA(),INDEX(Data!$B$4:$L$947,MATCH(Graphs!$CK223,Data!$A$4:$A$947,0),MATCH(Graphs!CO$4,Data!$B$3:$L$3,0)))</f>
        <v>#N/A</v>
      </c>
      <c r="CP223" s="24" t="str">
        <f t="array" ref="CP223">IF(INDEX(Data!$B$4:$L$947,MATCH(Graphs!$CK223,Data!$A$4:$A$947,0),MATCH(Graphs!CP$4,Data!$B$3:$L$3,0))="n.q.",NA(),INDEX(Data!$B$4:$L$947,MATCH(Graphs!$CK223,Data!$A$4:$A$947,0),MATCH(Graphs!CP$4,Data!$B$3:$L$3,0)))</f>
        <v>#N/A</v>
      </c>
      <c r="CQ223" s="5"/>
      <c r="CR223" s="24">
        <f t="array" ref="CR223">IF(INDEX(Data!$P$4:$Z$947,MATCH(Graphs!$CK223,Data!$A$4:$A$947,0),MATCH(Graphs!CR$4,Data!$P$3:$Z$3,0))="n.q.",NA(),INDEX(Data!$P$4:$Z$947,MATCH(Graphs!$CK223,Data!$A$4:$A$947,0),MATCH(Graphs!CR$4,Data!$P$3:$Z$3,0)))</f>
        <v>228.0967278</v>
      </c>
      <c r="CS223" s="24">
        <f t="array" ref="CS223">IF(INDEX(Data!$P$4:$Z$947,MATCH(Graphs!$CK223,Data!$A$4:$A$947,0),MATCH(Graphs!CS$4,Data!$P$3:$Z$3,0))="n.q.",NA(),INDEX(Data!$P$4:$Z$947,MATCH(Graphs!$CK223,Data!$A$4:$A$947,0),MATCH(Graphs!CS$4,Data!$P$3:$Z$3,0)))</f>
        <v>227.79</v>
      </c>
      <c r="CT223" s="24">
        <f t="array" ref="CT223">IF(INDEX(Data!$P$4:$Z$947,MATCH(Graphs!$CK223,Data!$A$4:$A$947,0),MATCH(Graphs!CT$4,Data!$P$3:$Z$3,0))="n.q.",NA(),INDEX(Data!$P$4:$Z$947,MATCH(Graphs!$CK223,Data!$A$4:$A$947,0),MATCH(Graphs!CT$4,Data!$P$3:$Z$3,0)))</f>
        <v>224.0635833</v>
      </c>
      <c r="CU223" s="24" t="str">
        <f t="array" ref="CU223">IF(INDEX(Data!$P$4:$Z$947,MATCH(Graphs!$CK223,Data!$A$4:$A$947,0),MATCH(Graphs!CU$4,Data!$P$3:$Z$3,0))="n.q.",NA(),INDEX(Data!$P$4:$Z$947,MATCH(Graphs!$CK223,Data!$A$4:$A$947,0),MATCH(Graphs!CU$4,Data!$P$3:$Z$3,0)))</f>
        <v>#N/A</v>
      </c>
      <c r="CV223" s="24" t="str">
        <f t="array" ref="CV223">IF(INDEX(Data!$P$4:$Z$947,MATCH(Graphs!$CK223,Data!$A$4:$A$947,0),MATCH(Graphs!CV$4,Data!$P$3:$Z$3,0))="n.q.",NA(),INDEX(Data!$P$4:$Z$947,MATCH(Graphs!$CK223,Data!$A$4:$A$947,0),MATCH(Graphs!CV$4,Data!$P$3:$Z$3,0)))</f>
        <v>#N/A</v>
      </c>
    </row>
    <row r="224" ht="14.25" customHeight="1"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5"/>
      <c r="CK224" s="22" t="str">
        <f>Data!#REF!</f>
        <v>#ERROR!</v>
      </c>
      <c r="CL224" s="24" t="str">
        <f t="array" ref="CL224">IF(INDEX(Data!$B$4:$L$947,MATCH(Graphs!$CK224,Data!$A$4:$A$947,0),MATCH(Graphs!CL$4,Data!$B$3:$L$3,0))="n.q.",NA(),INDEX(Data!$B$4:$L$947,MATCH(Graphs!$CK224,Data!$A$4:$A$947,0),MATCH(Graphs!CL$4,Data!$B$3:$L$3,0)))</f>
        <v>#ERROR!</v>
      </c>
      <c r="CM224" s="24" t="str">
        <f t="array" ref="CM224">IF(INDEX(Data!$B$4:$L$947,MATCH(Graphs!$CK224,Data!$A$4:$A$947,0),MATCH(Graphs!CM$4,Data!$B$3:$L$3,0))="n.q.",NA(),INDEX(Data!$B$4:$L$947,MATCH(Graphs!$CK224,Data!$A$4:$A$947,0),MATCH(Graphs!CM$4,Data!$B$3:$L$3,0)))</f>
        <v>#ERROR!</v>
      </c>
      <c r="CN224" s="24" t="str">
        <f t="array" ref="CN224">IF(INDEX(Data!$B$4:$L$947,MATCH(Graphs!$CK224,Data!$A$4:$A$947,0),MATCH(Graphs!CN$4,Data!$B$3:$L$3,0))="n.q.",NA(),INDEX(Data!$B$4:$L$947,MATCH(Graphs!$CK224,Data!$A$4:$A$947,0),MATCH(Graphs!CN$4,Data!$B$3:$L$3,0)))</f>
        <v>#ERROR!</v>
      </c>
      <c r="CO224" s="24" t="str">
        <f t="array" ref="CO224">IF(INDEX(Data!$B$4:$L$947,MATCH(Graphs!$CK224,Data!$A$4:$A$947,0),MATCH(Graphs!CO$4,Data!$B$3:$L$3,0))="n.q.",NA(),INDEX(Data!$B$4:$L$947,MATCH(Graphs!$CK224,Data!$A$4:$A$947,0),MATCH(Graphs!CO$4,Data!$B$3:$L$3,0)))</f>
        <v>#ERROR!</v>
      </c>
      <c r="CP224" s="24" t="str">
        <f t="array" ref="CP224">IF(INDEX(Data!$B$4:$L$947,MATCH(Graphs!$CK224,Data!$A$4:$A$947,0),MATCH(Graphs!CP$4,Data!$B$3:$L$3,0))="n.q.",NA(),INDEX(Data!$B$4:$L$947,MATCH(Graphs!$CK224,Data!$A$4:$A$947,0),MATCH(Graphs!CP$4,Data!$B$3:$L$3,0)))</f>
        <v>#ERROR!</v>
      </c>
      <c r="CQ224" s="5"/>
      <c r="CR224" s="24" t="str">
        <f t="array" ref="CR224">IF(INDEX(Data!$P$4:$Z$947,MATCH(Graphs!$CK224,Data!$A$4:$A$947,0),MATCH(Graphs!CR$4,Data!$P$3:$Z$3,0))="n.q.",NA(),INDEX(Data!$P$4:$Z$947,MATCH(Graphs!$CK224,Data!$A$4:$A$947,0),MATCH(Graphs!CR$4,Data!$P$3:$Z$3,0)))</f>
        <v>#ERROR!</v>
      </c>
      <c r="CS224" s="24" t="str">
        <f t="array" ref="CS224">IF(INDEX(Data!$P$4:$Z$947,MATCH(Graphs!$CK224,Data!$A$4:$A$947,0),MATCH(Graphs!CS$4,Data!$P$3:$Z$3,0))="n.q.",NA(),INDEX(Data!$P$4:$Z$947,MATCH(Graphs!$CK224,Data!$A$4:$A$947,0),MATCH(Graphs!CS$4,Data!$P$3:$Z$3,0)))</f>
        <v>#ERROR!</v>
      </c>
      <c r="CT224" s="24" t="str">
        <f t="array" ref="CT224">IF(INDEX(Data!$P$4:$Z$947,MATCH(Graphs!$CK224,Data!$A$4:$A$947,0),MATCH(Graphs!CT$4,Data!$P$3:$Z$3,0))="n.q.",NA(),INDEX(Data!$P$4:$Z$947,MATCH(Graphs!$CK224,Data!$A$4:$A$947,0),MATCH(Graphs!CT$4,Data!$P$3:$Z$3,0)))</f>
        <v>#ERROR!</v>
      </c>
      <c r="CU224" s="24" t="str">
        <f t="array" ref="CU224">IF(INDEX(Data!$P$4:$Z$947,MATCH(Graphs!$CK224,Data!$A$4:$A$947,0),MATCH(Graphs!CU$4,Data!$P$3:$Z$3,0))="n.q.",NA(),INDEX(Data!$P$4:$Z$947,MATCH(Graphs!$CK224,Data!$A$4:$A$947,0),MATCH(Graphs!CU$4,Data!$P$3:$Z$3,0)))</f>
        <v>#ERROR!</v>
      </c>
      <c r="CV224" s="24" t="str">
        <f t="array" ref="CV224">IF(INDEX(Data!$P$4:$Z$947,MATCH(Graphs!$CK224,Data!$A$4:$A$947,0),MATCH(Graphs!CV$4,Data!$P$3:$Z$3,0))="n.q.",NA(),INDEX(Data!$P$4:$Z$947,MATCH(Graphs!$CK224,Data!$A$4:$A$947,0),MATCH(Graphs!CV$4,Data!$P$3:$Z$3,0)))</f>
        <v>#ERROR!</v>
      </c>
    </row>
    <row r="225" ht="14.25" customHeight="1"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5"/>
      <c r="CK225" s="22">
        <f>Data!A222</f>
        <v>44440</v>
      </c>
      <c r="CL225" s="24">
        <f t="array" ref="CL225">IF(INDEX(Data!$B$4:$L$947,MATCH(Graphs!$CK225,Data!$A$4:$A$947,0),MATCH(Graphs!CL$4,Data!$B$3:$L$3,0))="n.q.",NA(),INDEX(Data!$B$4:$L$947,MATCH(Graphs!$CK225,Data!$A$4:$A$947,0),MATCH(Graphs!CL$4,Data!$B$3:$L$3,0)))</f>
        <v>298.77</v>
      </c>
      <c r="CM225" s="24">
        <f t="array" ref="CM225">IF(INDEX(Data!$B$4:$L$947,MATCH(Graphs!$CK225,Data!$A$4:$A$947,0),MATCH(Graphs!CM$4,Data!$B$3:$L$3,0))="n.q.",NA(),INDEX(Data!$B$4:$L$947,MATCH(Graphs!$CK225,Data!$A$4:$A$947,0),MATCH(Graphs!CM$4,Data!$B$3:$L$3,0)))</f>
        <v>322.98</v>
      </c>
      <c r="CN225" s="24">
        <f t="array" ref="CN225">IF(INDEX(Data!$B$4:$L$947,MATCH(Graphs!$CK225,Data!$A$4:$A$947,0),MATCH(Graphs!CN$4,Data!$B$3:$L$3,0))="n.q.",NA(),INDEX(Data!$B$4:$L$947,MATCH(Graphs!$CK225,Data!$A$4:$A$947,0),MATCH(Graphs!CN$4,Data!$B$3:$L$3,0)))</f>
        <v>279</v>
      </c>
      <c r="CO225" s="24" t="str">
        <f t="array" ref="CO225">IF(INDEX(Data!$B$4:$L$947,MATCH(Graphs!$CK225,Data!$A$4:$A$947,0),MATCH(Graphs!CO$4,Data!$B$3:$L$3,0))="n.q.",NA(),INDEX(Data!$B$4:$L$947,MATCH(Graphs!$CK225,Data!$A$4:$A$947,0),MATCH(Graphs!CO$4,Data!$B$3:$L$3,0)))</f>
        <v>#N/A</v>
      </c>
      <c r="CP225" s="24" t="str">
        <f t="array" ref="CP225">IF(INDEX(Data!$B$4:$L$947,MATCH(Graphs!$CK225,Data!$A$4:$A$947,0),MATCH(Graphs!CP$4,Data!$B$3:$L$3,0))="n.q.",NA(),INDEX(Data!$B$4:$L$947,MATCH(Graphs!$CK225,Data!$A$4:$A$947,0),MATCH(Graphs!CP$4,Data!$B$3:$L$3,0)))</f>
        <v>#N/A</v>
      </c>
      <c r="CQ225" s="5"/>
      <c r="CR225" s="24">
        <f t="array" ref="CR225">IF(INDEX(Data!$P$4:$Z$947,MATCH(Graphs!$CK225,Data!$A$4:$A$947,0),MATCH(Graphs!CR$4,Data!$P$3:$Z$3,0))="n.q.",NA(),INDEX(Data!$P$4:$Z$947,MATCH(Graphs!$CK225,Data!$A$4:$A$947,0),MATCH(Graphs!CR$4,Data!$P$3:$Z$3,0)))</f>
        <v>212.4650927</v>
      </c>
      <c r="CS225" s="24">
        <f t="array" ref="CS225">IF(INDEX(Data!$P$4:$Z$947,MATCH(Graphs!$CK225,Data!$A$4:$A$947,0),MATCH(Graphs!CS$4,Data!$P$3:$Z$3,0))="n.q.",NA(),INDEX(Data!$P$4:$Z$947,MATCH(Graphs!$CK225,Data!$A$4:$A$947,0),MATCH(Graphs!CS$4,Data!$P$3:$Z$3,0)))</f>
        <v>232.79</v>
      </c>
      <c r="CT225" s="24">
        <f t="array" ref="CT225">IF(INDEX(Data!$P$4:$Z$947,MATCH(Graphs!$CK225,Data!$A$4:$A$947,0),MATCH(Graphs!CT$4,Data!$P$3:$Z$3,0))="n.q.",NA(),INDEX(Data!$P$4:$Z$947,MATCH(Graphs!$CK225,Data!$A$4:$A$947,0),MATCH(Graphs!CT$4,Data!$P$3:$Z$3,0)))</f>
        <v>222.5607176</v>
      </c>
      <c r="CU225" s="24" t="str">
        <f t="array" ref="CU225">IF(INDEX(Data!$P$4:$Z$947,MATCH(Graphs!$CK225,Data!$A$4:$A$947,0),MATCH(Graphs!CU$4,Data!$P$3:$Z$3,0))="n.q.",NA(),INDEX(Data!$P$4:$Z$947,MATCH(Graphs!$CK225,Data!$A$4:$A$947,0),MATCH(Graphs!CU$4,Data!$P$3:$Z$3,0)))</f>
        <v>#N/A</v>
      </c>
      <c r="CV225" s="24" t="str">
        <f t="array" ref="CV225">IF(INDEX(Data!$P$4:$Z$947,MATCH(Graphs!$CK225,Data!$A$4:$A$947,0),MATCH(Graphs!CV$4,Data!$P$3:$Z$3,0))="n.q.",NA(),INDEX(Data!$P$4:$Z$947,MATCH(Graphs!$CK225,Data!$A$4:$A$947,0),MATCH(Graphs!CV$4,Data!$P$3:$Z$3,0)))</f>
        <v>#N/A</v>
      </c>
    </row>
    <row r="226" ht="14.25" customHeight="1"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5"/>
      <c r="CK226" s="22">
        <f>Data!A223</f>
        <v>44433</v>
      </c>
      <c r="CL226" s="24">
        <f t="array" ref="CL226">IF(INDEX(Data!$B$4:$L$947,MATCH(Graphs!$CK226,Data!$A$4:$A$947,0),MATCH(Graphs!CL$4,Data!$B$3:$L$3,0))="n.q.",NA(),INDEX(Data!$B$4:$L$947,MATCH(Graphs!$CK226,Data!$A$4:$A$947,0),MATCH(Graphs!CL$4,Data!$B$3:$L$3,0)))</f>
        <v>299.44</v>
      </c>
      <c r="CM226" s="24">
        <f t="array" ref="CM226">IF(INDEX(Data!$B$4:$L$947,MATCH(Graphs!$CK226,Data!$A$4:$A$947,0),MATCH(Graphs!CM$4,Data!$B$3:$L$3,0))="n.q.",NA(),INDEX(Data!$B$4:$L$947,MATCH(Graphs!$CK226,Data!$A$4:$A$947,0),MATCH(Graphs!CM$4,Data!$B$3:$L$3,0)))</f>
        <v>322.24</v>
      </c>
      <c r="CN226" s="24">
        <f t="array" ref="CN226">IF(INDEX(Data!$B$4:$L$947,MATCH(Graphs!$CK226,Data!$A$4:$A$947,0),MATCH(Graphs!CN$4,Data!$B$3:$L$3,0))="n.q.",NA(),INDEX(Data!$B$4:$L$947,MATCH(Graphs!$CK226,Data!$A$4:$A$947,0),MATCH(Graphs!CN$4,Data!$B$3:$L$3,0)))</f>
        <v>276</v>
      </c>
      <c r="CO226" s="24" t="str">
        <f t="array" ref="CO226">IF(INDEX(Data!$B$4:$L$947,MATCH(Graphs!$CK226,Data!$A$4:$A$947,0),MATCH(Graphs!CO$4,Data!$B$3:$L$3,0))="n.q.",NA(),INDEX(Data!$B$4:$L$947,MATCH(Graphs!$CK226,Data!$A$4:$A$947,0),MATCH(Graphs!CO$4,Data!$B$3:$L$3,0)))</f>
        <v>#N/A</v>
      </c>
      <c r="CP226" s="24" t="str">
        <f t="array" ref="CP226">IF(INDEX(Data!$B$4:$L$947,MATCH(Graphs!$CK226,Data!$A$4:$A$947,0),MATCH(Graphs!CP$4,Data!$B$3:$L$3,0))="n.q.",NA(),INDEX(Data!$B$4:$L$947,MATCH(Graphs!$CK226,Data!$A$4:$A$947,0),MATCH(Graphs!CP$4,Data!$B$3:$L$3,0)))</f>
        <v>#N/A</v>
      </c>
      <c r="CQ226" s="5"/>
      <c r="CR226" s="24">
        <f t="array" ref="CR226">IF(INDEX(Data!$P$4:$Z$947,MATCH(Graphs!$CK226,Data!$A$4:$A$947,0),MATCH(Graphs!CR$4,Data!$P$3:$Z$3,0))="n.q.",NA(),INDEX(Data!$P$4:$Z$947,MATCH(Graphs!$CK226,Data!$A$4:$A$947,0),MATCH(Graphs!CR$4,Data!$P$3:$Z$3,0)))</f>
        <v>220.3050443</v>
      </c>
      <c r="CS226" s="24" t="str">
        <f t="array" ref="CS226">IF(INDEX(Data!$P$4:$Z$947,MATCH(Graphs!$CK226,Data!$A$4:$A$947,0),MATCH(Graphs!CS$4,Data!$P$3:$Z$3,0))="n.q.",NA(),INDEX(Data!$P$4:$Z$947,MATCH(Graphs!$CK226,Data!$A$4:$A$947,0),MATCH(Graphs!CS$4,Data!$P$3:$Z$3,0)))</f>
        <v>#N/A</v>
      </c>
      <c r="CT226" s="24">
        <f t="array" ref="CT226">IF(INDEX(Data!$P$4:$Z$947,MATCH(Graphs!$CK226,Data!$A$4:$A$947,0),MATCH(Graphs!CT$4,Data!$P$3:$Z$3,0))="n.q.",NA(),INDEX(Data!$P$4:$Z$947,MATCH(Graphs!$CK226,Data!$A$4:$A$947,0),MATCH(Graphs!CT$4,Data!$P$3:$Z$3,0)))</f>
        <v>230.0613497</v>
      </c>
      <c r="CU226" s="24" t="str">
        <f t="array" ref="CU226">IF(INDEX(Data!$P$4:$Z$947,MATCH(Graphs!$CK226,Data!$A$4:$A$947,0),MATCH(Graphs!CU$4,Data!$P$3:$Z$3,0))="n.q.",NA(),INDEX(Data!$P$4:$Z$947,MATCH(Graphs!$CK226,Data!$A$4:$A$947,0),MATCH(Graphs!CU$4,Data!$P$3:$Z$3,0)))</f>
        <v>#N/A</v>
      </c>
      <c r="CV226" s="24" t="str">
        <f t="array" ref="CV226">IF(INDEX(Data!$P$4:$Z$947,MATCH(Graphs!$CK226,Data!$A$4:$A$947,0),MATCH(Graphs!CV$4,Data!$P$3:$Z$3,0))="n.q.",NA(),INDEX(Data!$P$4:$Z$947,MATCH(Graphs!$CK226,Data!$A$4:$A$947,0),MATCH(Graphs!CV$4,Data!$P$3:$Z$3,0)))</f>
        <v>#N/A</v>
      </c>
    </row>
    <row r="227" ht="14.25" customHeight="1"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5"/>
      <c r="CK227" s="22">
        <f>Data!A224</f>
        <v>44426</v>
      </c>
      <c r="CL227" s="24">
        <f t="array" ref="CL227">IF(INDEX(Data!$B$4:$L$947,MATCH(Graphs!$CK227,Data!$A$4:$A$947,0),MATCH(Graphs!CL$4,Data!$B$3:$L$3,0))="n.q.",NA(),INDEX(Data!$B$4:$L$947,MATCH(Graphs!$CK227,Data!$A$4:$A$947,0),MATCH(Graphs!CL$4,Data!$B$3:$L$3,0)))</f>
        <v>307.36</v>
      </c>
      <c r="CM227" s="24">
        <f t="array" ref="CM227">IF(INDEX(Data!$B$4:$L$947,MATCH(Graphs!$CK227,Data!$A$4:$A$947,0),MATCH(Graphs!CM$4,Data!$B$3:$L$3,0))="n.q.",NA(),INDEX(Data!$B$4:$L$947,MATCH(Graphs!$CK227,Data!$A$4:$A$947,0),MATCH(Graphs!CM$4,Data!$B$3:$L$3,0)))</f>
        <v>332.07</v>
      </c>
      <c r="CN227" s="24">
        <f t="array" ref="CN227">IF(INDEX(Data!$B$4:$L$947,MATCH(Graphs!$CK227,Data!$A$4:$A$947,0),MATCH(Graphs!CN$4,Data!$B$3:$L$3,0))="n.q.",NA(),INDEX(Data!$B$4:$L$947,MATCH(Graphs!$CK227,Data!$A$4:$A$947,0),MATCH(Graphs!CN$4,Data!$B$3:$L$3,0)))</f>
        <v>277</v>
      </c>
      <c r="CO227" s="24" t="str">
        <f t="array" ref="CO227">IF(INDEX(Data!$B$4:$L$947,MATCH(Graphs!$CK227,Data!$A$4:$A$947,0),MATCH(Graphs!CO$4,Data!$B$3:$L$3,0))="n.q.",NA(),INDEX(Data!$B$4:$L$947,MATCH(Graphs!$CK227,Data!$A$4:$A$947,0),MATCH(Graphs!CO$4,Data!$B$3:$L$3,0)))</f>
        <v>#N/A</v>
      </c>
      <c r="CP227" s="24" t="str">
        <f t="array" ref="CP227">IF(INDEX(Data!$B$4:$L$947,MATCH(Graphs!$CK227,Data!$A$4:$A$947,0),MATCH(Graphs!CP$4,Data!$B$3:$L$3,0))="n.q.",NA(),INDEX(Data!$B$4:$L$947,MATCH(Graphs!$CK227,Data!$A$4:$A$947,0),MATCH(Graphs!CP$4,Data!$B$3:$L$3,0)))</f>
        <v>#N/A</v>
      </c>
      <c r="CQ227" s="5"/>
      <c r="CR227" s="24">
        <f t="array" ref="CR227">IF(INDEX(Data!$P$4:$Z$947,MATCH(Graphs!$CK227,Data!$A$4:$A$947,0),MATCH(Graphs!CR$4,Data!$P$3:$Z$3,0))="n.q.",NA(),INDEX(Data!$P$4:$Z$947,MATCH(Graphs!$CK227,Data!$A$4:$A$947,0),MATCH(Graphs!CR$4,Data!$P$3:$Z$3,0)))</f>
        <v>226.3413802</v>
      </c>
      <c r="CS227" s="24" t="str">
        <f t="array" ref="CS227">IF(INDEX(Data!$P$4:$Z$947,MATCH(Graphs!$CK227,Data!$A$4:$A$947,0),MATCH(Graphs!CS$4,Data!$P$3:$Z$3,0))="n.q.",NA(),INDEX(Data!$P$4:$Z$947,MATCH(Graphs!$CK227,Data!$A$4:$A$947,0),MATCH(Graphs!CS$4,Data!$P$3:$Z$3,0)))</f>
        <v>#N/A</v>
      </c>
      <c r="CT227" s="24">
        <f t="array" ref="CT227">IF(INDEX(Data!$P$4:$Z$947,MATCH(Graphs!$CK227,Data!$A$4:$A$947,0),MATCH(Graphs!CT$4,Data!$P$3:$Z$3,0))="n.q.",NA(),INDEX(Data!$P$4:$Z$947,MATCH(Graphs!$CK227,Data!$A$4:$A$947,0),MATCH(Graphs!CT$4,Data!$P$3:$Z$3,0)))</f>
        <v>233.7285678</v>
      </c>
      <c r="CU227" s="24" t="str">
        <f t="array" ref="CU227">IF(INDEX(Data!$P$4:$Z$947,MATCH(Graphs!$CK227,Data!$A$4:$A$947,0),MATCH(Graphs!CU$4,Data!$P$3:$Z$3,0))="n.q.",NA(),INDEX(Data!$P$4:$Z$947,MATCH(Graphs!$CK227,Data!$A$4:$A$947,0),MATCH(Graphs!CU$4,Data!$P$3:$Z$3,0)))</f>
        <v>#N/A</v>
      </c>
      <c r="CV227" s="24" t="str">
        <f t="array" ref="CV227">IF(INDEX(Data!$P$4:$Z$947,MATCH(Graphs!$CK227,Data!$A$4:$A$947,0),MATCH(Graphs!CV$4,Data!$P$3:$Z$3,0))="n.q.",NA(),INDEX(Data!$P$4:$Z$947,MATCH(Graphs!$CK227,Data!$A$4:$A$947,0),MATCH(Graphs!CV$4,Data!$P$3:$Z$3,0)))</f>
        <v>#N/A</v>
      </c>
    </row>
    <row r="228" ht="14.25" customHeight="1"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5"/>
      <c r="CK228" s="22">
        <f>Data!A225</f>
        <v>44419</v>
      </c>
      <c r="CL228" s="24">
        <f t="array" ref="CL228">IF(INDEX(Data!$B$4:$L$947,MATCH(Graphs!$CK228,Data!$A$4:$A$947,0),MATCH(Graphs!CL$4,Data!$B$3:$L$3,0))="n.q.",NA(),INDEX(Data!$B$4:$L$947,MATCH(Graphs!$CK228,Data!$A$4:$A$947,0),MATCH(Graphs!CL$4,Data!$B$3:$L$3,0)))</f>
        <v>288.35</v>
      </c>
      <c r="CM228" s="24">
        <f t="array" ref="CM228">IF(INDEX(Data!$B$4:$L$947,MATCH(Graphs!$CK228,Data!$A$4:$A$947,0),MATCH(Graphs!CM$4,Data!$B$3:$L$3,0))="n.q.",NA(),INDEX(Data!$B$4:$L$947,MATCH(Graphs!$CK228,Data!$A$4:$A$947,0),MATCH(Graphs!CM$4,Data!$B$3:$L$3,0)))</f>
        <v>321.6</v>
      </c>
      <c r="CN228" s="24">
        <f t="array" ref="CN228">IF(INDEX(Data!$B$4:$L$947,MATCH(Graphs!$CK228,Data!$A$4:$A$947,0),MATCH(Graphs!CN$4,Data!$B$3:$L$3,0))="n.q.",NA(),INDEX(Data!$B$4:$L$947,MATCH(Graphs!$CK228,Data!$A$4:$A$947,0),MATCH(Graphs!CN$4,Data!$B$3:$L$3,0)))</f>
        <v>255.5</v>
      </c>
      <c r="CO228" s="24" t="str">
        <f t="array" ref="CO228">IF(INDEX(Data!$B$4:$L$947,MATCH(Graphs!$CK228,Data!$A$4:$A$947,0),MATCH(Graphs!CO$4,Data!$B$3:$L$3,0))="n.q.",NA(),INDEX(Data!$B$4:$L$947,MATCH(Graphs!$CK228,Data!$A$4:$A$947,0),MATCH(Graphs!CO$4,Data!$B$3:$L$3,0)))</f>
        <v>#N/A</v>
      </c>
      <c r="CP228" s="24" t="str">
        <f t="array" ref="CP228">IF(INDEX(Data!$B$4:$L$947,MATCH(Graphs!$CK228,Data!$A$4:$A$947,0),MATCH(Graphs!CP$4,Data!$B$3:$L$3,0))="n.q.",NA(),INDEX(Data!$B$4:$L$947,MATCH(Graphs!$CK228,Data!$A$4:$A$947,0),MATCH(Graphs!CP$4,Data!$B$3:$L$3,0)))</f>
        <v>#N/A</v>
      </c>
      <c r="CQ228" s="5"/>
      <c r="CR228" s="24">
        <f t="array" ref="CR228">IF(INDEX(Data!$P$4:$Z$947,MATCH(Graphs!$CK228,Data!$A$4:$A$947,0),MATCH(Graphs!CR$4,Data!$P$3:$Z$3,0))="n.q.",NA(),INDEX(Data!$P$4:$Z$947,MATCH(Graphs!$CK228,Data!$A$4:$A$947,0),MATCH(Graphs!CR$4,Data!$P$3:$Z$3,0)))</f>
        <v>224.5093019</v>
      </c>
      <c r="CS228" s="24" t="str">
        <f t="array" ref="CS228">IF(INDEX(Data!$P$4:$Z$947,MATCH(Graphs!$CK228,Data!$A$4:$A$947,0),MATCH(Graphs!CS$4,Data!$P$3:$Z$3,0))="n.q.",NA(),INDEX(Data!$P$4:$Z$947,MATCH(Graphs!$CK228,Data!$A$4:$A$947,0),MATCH(Graphs!CS$4,Data!$P$3:$Z$3,0)))</f>
        <v>#N/A</v>
      </c>
      <c r="CT228" s="24">
        <f t="array" ref="CT228">IF(INDEX(Data!$P$4:$Z$947,MATCH(Graphs!$CK228,Data!$A$4:$A$947,0),MATCH(Graphs!CT$4,Data!$P$3:$Z$3,0))="n.q.",NA(),INDEX(Data!$P$4:$Z$947,MATCH(Graphs!$CK228,Data!$A$4:$A$947,0),MATCH(Graphs!CT$4,Data!$P$3:$Z$3,0)))</f>
        <v>229.9880526</v>
      </c>
      <c r="CU228" s="24" t="str">
        <f t="array" ref="CU228">IF(INDEX(Data!$P$4:$Z$947,MATCH(Graphs!$CK228,Data!$A$4:$A$947,0),MATCH(Graphs!CU$4,Data!$P$3:$Z$3,0))="n.q.",NA(),INDEX(Data!$P$4:$Z$947,MATCH(Graphs!$CK228,Data!$A$4:$A$947,0),MATCH(Graphs!CU$4,Data!$P$3:$Z$3,0)))</f>
        <v>#N/A</v>
      </c>
      <c r="CV228" s="24" t="str">
        <f t="array" ref="CV228">IF(INDEX(Data!$P$4:$Z$947,MATCH(Graphs!$CK228,Data!$A$4:$A$947,0),MATCH(Graphs!CV$4,Data!$P$3:$Z$3,0))="n.q.",NA(),INDEX(Data!$P$4:$Z$947,MATCH(Graphs!$CK228,Data!$A$4:$A$947,0),MATCH(Graphs!CV$4,Data!$P$3:$Z$3,0)))</f>
        <v>#N/A</v>
      </c>
    </row>
    <row r="229" ht="14.25" customHeight="1"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5"/>
      <c r="CK229" s="22">
        <f>Data!A226</f>
        <v>44412</v>
      </c>
      <c r="CL229" s="24">
        <f t="array" ref="CL229">IF(INDEX(Data!$B$4:$L$947,MATCH(Graphs!$CK229,Data!$A$4:$A$947,0),MATCH(Graphs!CL$4,Data!$B$3:$L$3,0))="n.q.",NA(),INDEX(Data!$B$4:$L$947,MATCH(Graphs!$CK229,Data!$A$4:$A$947,0),MATCH(Graphs!CL$4,Data!$B$3:$L$3,0)))</f>
        <v>275.55</v>
      </c>
      <c r="CM229" s="24">
        <f t="array" ref="CM229">IF(INDEX(Data!$B$4:$L$947,MATCH(Graphs!$CK229,Data!$A$4:$A$947,0),MATCH(Graphs!CM$4,Data!$B$3:$L$3,0))="n.q.",NA(),INDEX(Data!$B$4:$L$947,MATCH(Graphs!$CK229,Data!$A$4:$A$947,0),MATCH(Graphs!CM$4,Data!$B$3:$L$3,0)))</f>
        <v>315.72</v>
      </c>
      <c r="CN229" s="24">
        <f t="array" ref="CN229">IF(INDEX(Data!$B$4:$L$947,MATCH(Graphs!$CK229,Data!$A$4:$A$947,0),MATCH(Graphs!CN$4,Data!$B$3:$L$3,0))="n.q.",NA(),INDEX(Data!$B$4:$L$947,MATCH(Graphs!$CK229,Data!$A$4:$A$947,0),MATCH(Graphs!CN$4,Data!$B$3:$L$3,0)))</f>
        <v>251</v>
      </c>
      <c r="CO229" s="24" t="str">
        <f t="array" ref="CO229">IF(INDEX(Data!$B$4:$L$947,MATCH(Graphs!$CK229,Data!$A$4:$A$947,0),MATCH(Graphs!CO$4,Data!$B$3:$L$3,0))="n.q.",NA(),INDEX(Data!$B$4:$L$947,MATCH(Graphs!$CK229,Data!$A$4:$A$947,0),MATCH(Graphs!CO$4,Data!$B$3:$L$3,0)))</f>
        <v>#N/A</v>
      </c>
      <c r="CP229" s="24" t="str">
        <f t="array" ref="CP229">IF(INDEX(Data!$B$4:$L$947,MATCH(Graphs!$CK229,Data!$A$4:$A$947,0),MATCH(Graphs!CP$4,Data!$B$3:$L$3,0))="n.q.",NA(),INDEX(Data!$B$4:$L$947,MATCH(Graphs!$CK229,Data!$A$4:$A$947,0),MATCH(Graphs!CP$4,Data!$B$3:$L$3,0)))</f>
        <v>#N/A</v>
      </c>
      <c r="CQ229" s="5"/>
      <c r="CR229" s="24">
        <f t="array" ref="CR229">IF(INDEX(Data!$P$4:$Z$947,MATCH(Graphs!$CK229,Data!$A$4:$A$947,0),MATCH(Graphs!CR$4,Data!$P$3:$Z$3,0))="n.q.",NA(),INDEX(Data!$P$4:$Z$947,MATCH(Graphs!$CK229,Data!$A$4:$A$947,0),MATCH(Graphs!CR$4,Data!$P$3:$Z$3,0)))</f>
        <v>230.9248799</v>
      </c>
      <c r="CS229" s="24" t="str">
        <f t="array" ref="CS229">IF(INDEX(Data!$P$4:$Z$947,MATCH(Graphs!$CK229,Data!$A$4:$A$947,0),MATCH(Graphs!CS$4,Data!$P$3:$Z$3,0))="n.q.",NA(),INDEX(Data!$P$4:$Z$947,MATCH(Graphs!$CK229,Data!$A$4:$A$947,0),MATCH(Graphs!CS$4,Data!$P$3:$Z$3,0)))</f>
        <v>#N/A</v>
      </c>
      <c r="CT229" s="24">
        <f t="array" ref="CT229">IF(INDEX(Data!$P$4:$Z$947,MATCH(Graphs!$CK229,Data!$A$4:$A$947,0),MATCH(Graphs!CT$4,Data!$P$3:$Z$3,0))="n.q.",NA(),INDEX(Data!$P$4:$Z$947,MATCH(Graphs!$CK229,Data!$A$4:$A$947,0),MATCH(Graphs!CT$4,Data!$P$3:$Z$3,0)))</f>
        <v>225.1074952</v>
      </c>
      <c r="CU229" s="24" t="str">
        <f t="array" ref="CU229">IF(INDEX(Data!$P$4:$Z$947,MATCH(Graphs!$CK229,Data!$A$4:$A$947,0),MATCH(Graphs!CU$4,Data!$P$3:$Z$3,0))="n.q.",NA(),INDEX(Data!$P$4:$Z$947,MATCH(Graphs!$CK229,Data!$A$4:$A$947,0),MATCH(Graphs!CU$4,Data!$P$3:$Z$3,0)))</f>
        <v>#N/A</v>
      </c>
      <c r="CV229" s="24" t="str">
        <f t="array" ref="CV229">IF(INDEX(Data!$P$4:$Z$947,MATCH(Graphs!$CK229,Data!$A$4:$A$947,0),MATCH(Graphs!CV$4,Data!$P$3:$Z$3,0))="n.q.",NA(),INDEX(Data!$P$4:$Z$947,MATCH(Graphs!$CK229,Data!$A$4:$A$947,0),MATCH(Graphs!CV$4,Data!$P$3:$Z$3,0)))</f>
        <v>#N/A</v>
      </c>
    </row>
    <row r="230" ht="14.25" customHeight="1"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5"/>
      <c r="CK230" s="22" t="str">
        <f>Data!#REF!</f>
        <v>#ERROR!</v>
      </c>
      <c r="CL230" s="24" t="str">
        <f t="array" ref="CL230">IF(INDEX(Data!$B$4:$L$947,MATCH(Graphs!$CK230,Data!$A$4:$A$947,0),MATCH(Graphs!CL$4,Data!$B$3:$L$3,0))="n.q.",NA(),INDEX(Data!$B$4:$L$947,MATCH(Graphs!$CK230,Data!$A$4:$A$947,0),MATCH(Graphs!CL$4,Data!$B$3:$L$3,0)))</f>
        <v>#ERROR!</v>
      </c>
      <c r="CM230" s="24" t="str">
        <f t="array" ref="CM230">IF(INDEX(Data!$B$4:$L$947,MATCH(Graphs!$CK230,Data!$A$4:$A$947,0),MATCH(Graphs!CM$4,Data!$B$3:$L$3,0))="n.q.",NA(),INDEX(Data!$B$4:$L$947,MATCH(Graphs!$CK230,Data!$A$4:$A$947,0),MATCH(Graphs!CM$4,Data!$B$3:$L$3,0)))</f>
        <v>#ERROR!</v>
      </c>
      <c r="CN230" s="24" t="str">
        <f t="array" ref="CN230">IF(INDEX(Data!$B$4:$L$947,MATCH(Graphs!$CK230,Data!$A$4:$A$947,0),MATCH(Graphs!CN$4,Data!$B$3:$L$3,0))="n.q.",NA(),INDEX(Data!$B$4:$L$947,MATCH(Graphs!$CK230,Data!$A$4:$A$947,0),MATCH(Graphs!CN$4,Data!$B$3:$L$3,0)))</f>
        <v>#ERROR!</v>
      </c>
      <c r="CO230" s="24" t="str">
        <f t="array" ref="CO230">IF(INDEX(Data!$B$4:$L$947,MATCH(Graphs!$CK230,Data!$A$4:$A$947,0),MATCH(Graphs!CO$4,Data!$B$3:$L$3,0))="n.q.",NA(),INDEX(Data!$B$4:$L$947,MATCH(Graphs!$CK230,Data!$A$4:$A$947,0),MATCH(Graphs!CO$4,Data!$B$3:$L$3,0)))</f>
        <v>#ERROR!</v>
      </c>
      <c r="CP230" s="24" t="str">
        <f t="array" ref="CP230">IF(INDEX(Data!$B$4:$L$947,MATCH(Graphs!$CK230,Data!$A$4:$A$947,0),MATCH(Graphs!CP$4,Data!$B$3:$L$3,0))="n.q.",NA(),INDEX(Data!$B$4:$L$947,MATCH(Graphs!$CK230,Data!$A$4:$A$947,0),MATCH(Graphs!CP$4,Data!$B$3:$L$3,0)))</f>
        <v>#ERROR!</v>
      </c>
      <c r="CQ230" s="5"/>
      <c r="CR230" s="24" t="str">
        <f t="array" ref="CR230">IF(INDEX(Data!$P$4:$Z$947,MATCH(Graphs!$CK230,Data!$A$4:$A$947,0),MATCH(Graphs!CR$4,Data!$P$3:$Z$3,0))="n.q.",NA(),INDEX(Data!$P$4:$Z$947,MATCH(Graphs!$CK230,Data!$A$4:$A$947,0),MATCH(Graphs!CR$4,Data!$P$3:$Z$3,0)))</f>
        <v>#ERROR!</v>
      </c>
      <c r="CS230" s="24" t="str">
        <f t="array" ref="CS230">IF(INDEX(Data!$P$4:$Z$947,MATCH(Graphs!$CK230,Data!$A$4:$A$947,0),MATCH(Graphs!CS$4,Data!$P$3:$Z$3,0))="n.q.",NA(),INDEX(Data!$P$4:$Z$947,MATCH(Graphs!$CK230,Data!$A$4:$A$947,0),MATCH(Graphs!CS$4,Data!$P$3:$Z$3,0)))</f>
        <v>#ERROR!</v>
      </c>
      <c r="CT230" s="24" t="str">
        <f t="array" ref="CT230">IF(INDEX(Data!$P$4:$Z$947,MATCH(Graphs!$CK230,Data!$A$4:$A$947,0),MATCH(Graphs!CT$4,Data!$P$3:$Z$3,0))="n.q.",NA(),INDEX(Data!$P$4:$Z$947,MATCH(Graphs!$CK230,Data!$A$4:$A$947,0),MATCH(Graphs!CT$4,Data!$P$3:$Z$3,0)))</f>
        <v>#ERROR!</v>
      </c>
      <c r="CU230" s="24" t="str">
        <f t="array" ref="CU230">IF(INDEX(Data!$P$4:$Z$947,MATCH(Graphs!$CK230,Data!$A$4:$A$947,0),MATCH(Graphs!CU$4,Data!$P$3:$Z$3,0))="n.q.",NA(),INDEX(Data!$P$4:$Z$947,MATCH(Graphs!$CK230,Data!$A$4:$A$947,0),MATCH(Graphs!CU$4,Data!$P$3:$Z$3,0)))</f>
        <v>#ERROR!</v>
      </c>
      <c r="CV230" s="24" t="str">
        <f t="array" ref="CV230">IF(INDEX(Data!$P$4:$Z$947,MATCH(Graphs!$CK230,Data!$A$4:$A$947,0),MATCH(Graphs!CV$4,Data!$P$3:$Z$3,0))="n.q.",NA(),INDEX(Data!$P$4:$Z$947,MATCH(Graphs!$CK230,Data!$A$4:$A$947,0),MATCH(Graphs!CV$4,Data!$P$3:$Z$3,0)))</f>
        <v>#ERROR!</v>
      </c>
    </row>
    <row r="231" ht="14.25" customHeight="1"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5"/>
      <c r="CK231" s="22" t="str">
        <f>Data!#REF!</f>
        <v>#ERROR!</v>
      </c>
      <c r="CL231" s="24" t="str">
        <f t="array" ref="CL231">IF(INDEX(Data!$B$4:$L$947,MATCH(Graphs!$CK231,Data!$A$4:$A$947,0),MATCH(Graphs!CL$4,Data!$B$3:$L$3,0))="n.q.",NA(),INDEX(Data!$B$4:$L$947,MATCH(Graphs!$CK231,Data!$A$4:$A$947,0),MATCH(Graphs!CL$4,Data!$B$3:$L$3,0)))</f>
        <v>#ERROR!</v>
      </c>
      <c r="CM231" s="24" t="str">
        <f t="array" ref="CM231">IF(INDEX(Data!$B$4:$L$947,MATCH(Graphs!$CK231,Data!$A$4:$A$947,0),MATCH(Graphs!CM$4,Data!$B$3:$L$3,0))="n.q.",NA(),INDEX(Data!$B$4:$L$947,MATCH(Graphs!$CK231,Data!$A$4:$A$947,0),MATCH(Graphs!CM$4,Data!$B$3:$L$3,0)))</f>
        <v>#ERROR!</v>
      </c>
      <c r="CN231" s="24" t="str">
        <f t="array" ref="CN231">IF(INDEX(Data!$B$4:$L$947,MATCH(Graphs!$CK231,Data!$A$4:$A$947,0),MATCH(Graphs!CN$4,Data!$B$3:$L$3,0))="n.q.",NA(),INDEX(Data!$B$4:$L$947,MATCH(Graphs!$CK231,Data!$A$4:$A$947,0),MATCH(Graphs!CN$4,Data!$B$3:$L$3,0)))</f>
        <v>#ERROR!</v>
      </c>
      <c r="CO231" s="24" t="str">
        <f t="array" ref="CO231">IF(INDEX(Data!$B$4:$L$947,MATCH(Graphs!$CK231,Data!$A$4:$A$947,0),MATCH(Graphs!CO$4,Data!$B$3:$L$3,0))="n.q.",NA(),INDEX(Data!$B$4:$L$947,MATCH(Graphs!$CK231,Data!$A$4:$A$947,0),MATCH(Graphs!CO$4,Data!$B$3:$L$3,0)))</f>
        <v>#ERROR!</v>
      </c>
      <c r="CP231" s="24" t="str">
        <f t="array" ref="CP231">IF(INDEX(Data!$B$4:$L$947,MATCH(Graphs!$CK231,Data!$A$4:$A$947,0),MATCH(Graphs!CP$4,Data!$B$3:$L$3,0))="n.q.",NA(),INDEX(Data!$B$4:$L$947,MATCH(Graphs!$CK231,Data!$A$4:$A$947,0),MATCH(Graphs!CP$4,Data!$B$3:$L$3,0)))</f>
        <v>#ERROR!</v>
      </c>
      <c r="CQ231" s="5"/>
      <c r="CR231" s="24" t="str">
        <f t="array" ref="CR231">IF(INDEX(Data!$P$4:$Z$947,MATCH(Graphs!$CK231,Data!$A$4:$A$947,0),MATCH(Graphs!CR$4,Data!$P$3:$Z$3,0))="n.q.",NA(),INDEX(Data!$P$4:$Z$947,MATCH(Graphs!$CK231,Data!$A$4:$A$947,0),MATCH(Graphs!CR$4,Data!$P$3:$Z$3,0)))</f>
        <v>#ERROR!</v>
      </c>
      <c r="CS231" s="24" t="str">
        <f t="array" ref="CS231">IF(INDEX(Data!$P$4:$Z$947,MATCH(Graphs!$CK231,Data!$A$4:$A$947,0),MATCH(Graphs!CS$4,Data!$P$3:$Z$3,0))="n.q.",NA(),INDEX(Data!$P$4:$Z$947,MATCH(Graphs!$CK231,Data!$A$4:$A$947,0),MATCH(Graphs!CS$4,Data!$P$3:$Z$3,0)))</f>
        <v>#ERROR!</v>
      </c>
      <c r="CT231" s="24" t="str">
        <f t="array" ref="CT231">IF(INDEX(Data!$P$4:$Z$947,MATCH(Graphs!$CK231,Data!$A$4:$A$947,0),MATCH(Graphs!CT$4,Data!$P$3:$Z$3,0))="n.q.",NA(),INDEX(Data!$P$4:$Z$947,MATCH(Graphs!$CK231,Data!$A$4:$A$947,0),MATCH(Graphs!CT$4,Data!$P$3:$Z$3,0)))</f>
        <v>#ERROR!</v>
      </c>
      <c r="CU231" s="24" t="str">
        <f t="array" ref="CU231">IF(INDEX(Data!$P$4:$Z$947,MATCH(Graphs!$CK231,Data!$A$4:$A$947,0),MATCH(Graphs!CU$4,Data!$P$3:$Z$3,0))="n.q.",NA(),INDEX(Data!$P$4:$Z$947,MATCH(Graphs!$CK231,Data!$A$4:$A$947,0),MATCH(Graphs!CU$4,Data!$P$3:$Z$3,0)))</f>
        <v>#ERROR!</v>
      </c>
      <c r="CV231" s="24" t="str">
        <f t="array" ref="CV231">IF(INDEX(Data!$P$4:$Z$947,MATCH(Graphs!$CK231,Data!$A$4:$A$947,0),MATCH(Graphs!CV$4,Data!$P$3:$Z$3,0))="n.q.",NA(),INDEX(Data!$P$4:$Z$947,MATCH(Graphs!$CK231,Data!$A$4:$A$947,0),MATCH(Graphs!CV$4,Data!$P$3:$Z$3,0)))</f>
        <v>#ERROR!</v>
      </c>
    </row>
    <row r="232" ht="14.25" customHeight="1"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5"/>
      <c r="CK232" s="22" t="str">
        <f>Data!#REF!</f>
        <v>#ERROR!</v>
      </c>
      <c r="CL232" s="24" t="str">
        <f t="array" ref="CL232">IF(INDEX(Data!$B$4:$L$947,MATCH(Graphs!$CK232,Data!$A$4:$A$947,0),MATCH(Graphs!CL$4,Data!$B$3:$L$3,0))="n.q.",NA(),INDEX(Data!$B$4:$L$947,MATCH(Graphs!$CK232,Data!$A$4:$A$947,0),MATCH(Graphs!CL$4,Data!$B$3:$L$3,0)))</f>
        <v>#ERROR!</v>
      </c>
      <c r="CM232" s="24" t="str">
        <f t="array" ref="CM232">IF(INDEX(Data!$B$4:$L$947,MATCH(Graphs!$CK232,Data!$A$4:$A$947,0),MATCH(Graphs!CM$4,Data!$B$3:$L$3,0))="n.q.",NA(),INDEX(Data!$B$4:$L$947,MATCH(Graphs!$CK232,Data!$A$4:$A$947,0),MATCH(Graphs!CM$4,Data!$B$3:$L$3,0)))</f>
        <v>#ERROR!</v>
      </c>
      <c r="CN232" s="24" t="str">
        <f t="array" ref="CN232">IF(INDEX(Data!$B$4:$L$947,MATCH(Graphs!$CK232,Data!$A$4:$A$947,0),MATCH(Graphs!CN$4,Data!$B$3:$L$3,0))="n.q.",NA(),INDEX(Data!$B$4:$L$947,MATCH(Graphs!$CK232,Data!$A$4:$A$947,0),MATCH(Graphs!CN$4,Data!$B$3:$L$3,0)))</f>
        <v>#ERROR!</v>
      </c>
      <c r="CO232" s="24" t="str">
        <f t="array" ref="CO232">IF(INDEX(Data!$B$4:$L$947,MATCH(Graphs!$CK232,Data!$A$4:$A$947,0),MATCH(Graphs!CO$4,Data!$B$3:$L$3,0))="n.q.",NA(),INDEX(Data!$B$4:$L$947,MATCH(Graphs!$CK232,Data!$A$4:$A$947,0),MATCH(Graphs!CO$4,Data!$B$3:$L$3,0)))</f>
        <v>#ERROR!</v>
      </c>
      <c r="CP232" s="24" t="str">
        <f t="array" ref="CP232">IF(INDEX(Data!$B$4:$L$947,MATCH(Graphs!$CK232,Data!$A$4:$A$947,0),MATCH(Graphs!CP$4,Data!$B$3:$L$3,0))="n.q.",NA(),INDEX(Data!$B$4:$L$947,MATCH(Graphs!$CK232,Data!$A$4:$A$947,0),MATCH(Graphs!CP$4,Data!$B$3:$L$3,0)))</f>
        <v>#ERROR!</v>
      </c>
      <c r="CQ232" s="5"/>
      <c r="CR232" s="24" t="str">
        <f t="array" ref="CR232">IF(INDEX(Data!$P$4:$Z$947,MATCH(Graphs!$CK232,Data!$A$4:$A$947,0),MATCH(Graphs!CR$4,Data!$P$3:$Z$3,0))="n.q.",NA(),INDEX(Data!$P$4:$Z$947,MATCH(Graphs!$CK232,Data!$A$4:$A$947,0),MATCH(Graphs!CR$4,Data!$P$3:$Z$3,0)))</f>
        <v>#ERROR!</v>
      </c>
      <c r="CS232" s="24" t="str">
        <f t="array" ref="CS232">IF(INDEX(Data!$P$4:$Z$947,MATCH(Graphs!$CK232,Data!$A$4:$A$947,0),MATCH(Graphs!CS$4,Data!$P$3:$Z$3,0))="n.q.",NA(),INDEX(Data!$P$4:$Z$947,MATCH(Graphs!$CK232,Data!$A$4:$A$947,0),MATCH(Graphs!CS$4,Data!$P$3:$Z$3,0)))</f>
        <v>#ERROR!</v>
      </c>
      <c r="CT232" s="24" t="str">
        <f t="array" ref="CT232">IF(INDEX(Data!$P$4:$Z$947,MATCH(Graphs!$CK232,Data!$A$4:$A$947,0),MATCH(Graphs!CT$4,Data!$P$3:$Z$3,0))="n.q.",NA(),INDEX(Data!$P$4:$Z$947,MATCH(Graphs!$CK232,Data!$A$4:$A$947,0),MATCH(Graphs!CT$4,Data!$P$3:$Z$3,0)))</f>
        <v>#ERROR!</v>
      </c>
      <c r="CU232" s="24" t="str">
        <f t="array" ref="CU232">IF(INDEX(Data!$P$4:$Z$947,MATCH(Graphs!$CK232,Data!$A$4:$A$947,0),MATCH(Graphs!CU$4,Data!$P$3:$Z$3,0))="n.q.",NA(),INDEX(Data!$P$4:$Z$947,MATCH(Graphs!$CK232,Data!$A$4:$A$947,0),MATCH(Graphs!CU$4,Data!$P$3:$Z$3,0)))</f>
        <v>#ERROR!</v>
      </c>
      <c r="CV232" s="24" t="str">
        <f t="array" ref="CV232">IF(INDEX(Data!$P$4:$Z$947,MATCH(Graphs!$CK232,Data!$A$4:$A$947,0),MATCH(Graphs!CV$4,Data!$P$3:$Z$3,0))="n.q.",NA(),INDEX(Data!$P$4:$Z$947,MATCH(Graphs!$CK232,Data!$A$4:$A$947,0),MATCH(Graphs!CV$4,Data!$P$3:$Z$3,0)))</f>
        <v>#ERROR!</v>
      </c>
    </row>
    <row r="233" ht="14.25" customHeight="1"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5"/>
      <c r="CK233" s="22" t="str">
        <f>Data!#REF!</f>
        <v>#ERROR!</v>
      </c>
      <c r="CL233" s="24" t="str">
        <f t="array" ref="CL233">IF(INDEX(Data!$B$4:$L$947,MATCH(Graphs!$CK233,Data!$A$4:$A$947,0),MATCH(Graphs!CL$4,Data!$B$3:$L$3,0))="n.q.",NA(),INDEX(Data!$B$4:$L$947,MATCH(Graphs!$CK233,Data!$A$4:$A$947,0),MATCH(Graphs!CL$4,Data!$B$3:$L$3,0)))</f>
        <v>#ERROR!</v>
      </c>
      <c r="CM233" s="24" t="str">
        <f t="array" ref="CM233">IF(INDEX(Data!$B$4:$L$947,MATCH(Graphs!$CK233,Data!$A$4:$A$947,0),MATCH(Graphs!CM$4,Data!$B$3:$L$3,0))="n.q.",NA(),INDEX(Data!$B$4:$L$947,MATCH(Graphs!$CK233,Data!$A$4:$A$947,0),MATCH(Graphs!CM$4,Data!$B$3:$L$3,0)))</f>
        <v>#ERROR!</v>
      </c>
      <c r="CN233" s="24" t="str">
        <f t="array" ref="CN233">IF(INDEX(Data!$B$4:$L$947,MATCH(Graphs!$CK233,Data!$A$4:$A$947,0),MATCH(Graphs!CN$4,Data!$B$3:$L$3,0))="n.q.",NA(),INDEX(Data!$B$4:$L$947,MATCH(Graphs!$CK233,Data!$A$4:$A$947,0),MATCH(Graphs!CN$4,Data!$B$3:$L$3,0)))</f>
        <v>#ERROR!</v>
      </c>
      <c r="CO233" s="24" t="str">
        <f t="array" ref="CO233">IF(INDEX(Data!$B$4:$L$947,MATCH(Graphs!$CK233,Data!$A$4:$A$947,0),MATCH(Graphs!CO$4,Data!$B$3:$L$3,0))="n.q.",NA(),INDEX(Data!$B$4:$L$947,MATCH(Graphs!$CK233,Data!$A$4:$A$947,0),MATCH(Graphs!CO$4,Data!$B$3:$L$3,0)))</f>
        <v>#ERROR!</v>
      </c>
      <c r="CP233" s="24" t="str">
        <f t="array" ref="CP233">IF(INDEX(Data!$B$4:$L$947,MATCH(Graphs!$CK233,Data!$A$4:$A$947,0),MATCH(Graphs!CP$4,Data!$B$3:$L$3,0))="n.q.",NA(),INDEX(Data!$B$4:$L$947,MATCH(Graphs!$CK233,Data!$A$4:$A$947,0),MATCH(Graphs!CP$4,Data!$B$3:$L$3,0)))</f>
        <v>#ERROR!</v>
      </c>
      <c r="CQ233" s="5"/>
      <c r="CR233" s="24" t="str">
        <f t="array" ref="CR233">IF(INDEX(Data!$P$4:$Z$947,MATCH(Graphs!$CK233,Data!$A$4:$A$947,0),MATCH(Graphs!CR$4,Data!$P$3:$Z$3,0))="n.q.",NA(),INDEX(Data!$P$4:$Z$947,MATCH(Graphs!$CK233,Data!$A$4:$A$947,0),MATCH(Graphs!CR$4,Data!$P$3:$Z$3,0)))</f>
        <v>#ERROR!</v>
      </c>
      <c r="CS233" s="24" t="str">
        <f t="array" ref="CS233">IF(INDEX(Data!$P$4:$Z$947,MATCH(Graphs!$CK233,Data!$A$4:$A$947,0),MATCH(Graphs!CS$4,Data!$P$3:$Z$3,0))="n.q.",NA(),INDEX(Data!$P$4:$Z$947,MATCH(Graphs!$CK233,Data!$A$4:$A$947,0),MATCH(Graphs!CS$4,Data!$P$3:$Z$3,0)))</f>
        <v>#ERROR!</v>
      </c>
      <c r="CT233" s="24" t="str">
        <f t="array" ref="CT233">IF(INDEX(Data!$P$4:$Z$947,MATCH(Graphs!$CK233,Data!$A$4:$A$947,0),MATCH(Graphs!CT$4,Data!$P$3:$Z$3,0))="n.q.",NA(),INDEX(Data!$P$4:$Z$947,MATCH(Graphs!$CK233,Data!$A$4:$A$947,0),MATCH(Graphs!CT$4,Data!$P$3:$Z$3,0)))</f>
        <v>#ERROR!</v>
      </c>
      <c r="CU233" s="24" t="str">
        <f t="array" ref="CU233">IF(INDEX(Data!$P$4:$Z$947,MATCH(Graphs!$CK233,Data!$A$4:$A$947,0),MATCH(Graphs!CU$4,Data!$P$3:$Z$3,0))="n.q.",NA(),INDEX(Data!$P$4:$Z$947,MATCH(Graphs!$CK233,Data!$A$4:$A$947,0),MATCH(Graphs!CU$4,Data!$P$3:$Z$3,0)))</f>
        <v>#ERROR!</v>
      </c>
      <c r="CV233" s="24" t="str">
        <f t="array" ref="CV233">IF(INDEX(Data!$P$4:$Z$947,MATCH(Graphs!$CK233,Data!$A$4:$A$947,0),MATCH(Graphs!CV$4,Data!$P$3:$Z$3,0))="n.q.",NA(),INDEX(Data!$P$4:$Z$947,MATCH(Graphs!$CK233,Data!$A$4:$A$947,0),MATCH(Graphs!CV$4,Data!$P$3:$Z$3,0)))</f>
        <v>#ERROR!</v>
      </c>
    </row>
    <row r="234" ht="14.25" customHeight="1"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5"/>
      <c r="CK234" s="22">
        <f>Data!A227</f>
        <v>44405</v>
      </c>
      <c r="CL234" s="24">
        <f t="array" ref="CL234">IF(INDEX(Data!$B$4:$L$947,MATCH(Graphs!$CK234,Data!$A$4:$A$947,0),MATCH(Graphs!CL$4,Data!$B$3:$L$3,0))="n.q.",NA(),INDEX(Data!$B$4:$L$947,MATCH(Graphs!$CK234,Data!$A$4:$A$947,0),MATCH(Graphs!CL$4,Data!$B$3:$L$3,0)))</f>
        <v>260.75</v>
      </c>
      <c r="CM234" s="24">
        <f t="array" ref="CM234">IF(INDEX(Data!$B$4:$L$947,MATCH(Graphs!$CK234,Data!$A$4:$A$947,0),MATCH(Graphs!CM$4,Data!$B$3:$L$3,0))="n.q.",NA(),INDEX(Data!$B$4:$L$947,MATCH(Graphs!$CK234,Data!$A$4:$A$947,0),MATCH(Graphs!CM$4,Data!$B$3:$L$3,0)))</f>
        <v>304.79</v>
      </c>
      <c r="CN234" s="24">
        <f t="array" ref="CN234">IF(INDEX(Data!$B$4:$L$947,MATCH(Graphs!$CK234,Data!$A$4:$A$947,0),MATCH(Graphs!CN$4,Data!$B$3:$L$3,0))="n.q.",NA(),INDEX(Data!$B$4:$L$947,MATCH(Graphs!$CK234,Data!$A$4:$A$947,0),MATCH(Graphs!CN$4,Data!$B$3:$L$3,0)))</f>
        <v>235</v>
      </c>
      <c r="CO234" s="24" t="str">
        <f t="array" ref="CO234">IF(INDEX(Data!$B$4:$L$947,MATCH(Graphs!$CK234,Data!$A$4:$A$947,0),MATCH(Graphs!CO$4,Data!$B$3:$L$3,0))="n.q.",NA(),INDEX(Data!$B$4:$L$947,MATCH(Graphs!$CK234,Data!$A$4:$A$947,0),MATCH(Graphs!CO$4,Data!$B$3:$L$3,0)))</f>
        <v>#N/A</v>
      </c>
      <c r="CP234" s="24" t="str">
        <f t="array" ref="CP234">IF(INDEX(Data!$B$4:$L$947,MATCH(Graphs!$CK234,Data!$A$4:$A$947,0),MATCH(Graphs!CP$4,Data!$B$3:$L$3,0))="n.q.",NA(),INDEX(Data!$B$4:$L$947,MATCH(Graphs!$CK234,Data!$A$4:$A$947,0),MATCH(Graphs!CP$4,Data!$B$3:$L$3,0)))</f>
        <v>#N/A</v>
      </c>
      <c r="CQ234" s="5"/>
      <c r="CR234" s="24">
        <f t="array" ref="CR234">IF(INDEX(Data!$P$4:$Z$947,MATCH(Graphs!$CK234,Data!$A$4:$A$947,0),MATCH(Graphs!CR$4,Data!$P$3:$Z$3,0))="n.q.",NA(),INDEX(Data!$P$4:$Z$947,MATCH(Graphs!$CK234,Data!$A$4:$A$947,0),MATCH(Graphs!CR$4,Data!$P$3:$Z$3,0)))</f>
        <v>235.4874227</v>
      </c>
      <c r="CS234" s="24" t="str">
        <f t="array" ref="CS234">IF(INDEX(Data!$P$4:$Z$947,MATCH(Graphs!$CK234,Data!$A$4:$A$947,0),MATCH(Graphs!CS$4,Data!$P$3:$Z$3,0))="n.q.",NA(),INDEX(Data!$P$4:$Z$947,MATCH(Graphs!$CK234,Data!$A$4:$A$947,0),MATCH(Graphs!CS$4,Data!$P$3:$Z$3,0)))</f>
        <v>#N/A</v>
      </c>
      <c r="CT234" s="24">
        <f t="array" ref="CT234">IF(INDEX(Data!$P$4:$Z$947,MATCH(Graphs!$CK234,Data!$A$4:$A$947,0),MATCH(Graphs!CT$4,Data!$P$3:$Z$3,0))="n.q.",NA(),INDEX(Data!$P$4:$Z$947,MATCH(Graphs!$CK234,Data!$A$4:$A$947,0),MATCH(Graphs!CT$4,Data!$P$3:$Z$3,0)))</f>
        <v>228.6779029</v>
      </c>
      <c r="CU234" s="24" t="str">
        <f t="array" ref="CU234">IF(INDEX(Data!$P$4:$Z$947,MATCH(Graphs!$CK234,Data!$A$4:$A$947,0),MATCH(Graphs!CU$4,Data!$P$3:$Z$3,0))="n.q.",NA(),INDEX(Data!$P$4:$Z$947,MATCH(Graphs!$CK234,Data!$A$4:$A$947,0),MATCH(Graphs!CU$4,Data!$P$3:$Z$3,0)))</f>
        <v>#N/A</v>
      </c>
      <c r="CV234" s="24" t="str">
        <f t="array" ref="CV234">IF(INDEX(Data!$P$4:$Z$947,MATCH(Graphs!$CK234,Data!$A$4:$A$947,0),MATCH(Graphs!CV$4,Data!$P$3:$Z$3,0))="n.q.",NA(),INDEX(Data!$P$4:$Z$947,MATCH(Graphs!$CK234,Data!$A$4:$A$947,0),MATCH(Graphs!CV$4,Data!$P$3:$Z$3,0)))</f>
        <v>#N/A</v>
      </c>
    </row>
    <row r="235" ht="14.25" customHeight="1"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5"/>
      <c r="CK235" s="22">
        <f>Data!A228</f>
        <v>44398</v>
      </c>
      <c r="CL235" s="24">
        <f t="array" ref="CL235">IF(INDEX(Data!$B$4:$L$947,MATCH(Graphs!$CK235,Data!$A$4:$A$947,0),MATCH(Graphs!CL$4,Data!$B$3:$L$3,0))="n.q.",NA(),INDEX(Data!$B$4:$L$947,MATCH(Graphs!$CK235,Data!$A$4:$A$947,0),MATCH(Graphs!CL$4,Data!$B$3:$L$3,0)))</f>
        <v>254.57</v>
      </c>
      <c r="CM235" s="24">
        <f t="array" ref="CM235">IF(INDEX(Data!$B$4:$L$947,MATCH(Graphs!$CK235,Data!$A$4:$A$947,0),MATCH(Graphs!CM$4,Data!$B$3:$L$3,0))="n.q.",NA(),INDEX(Data!$B$4:$L$947,MATCH(Graphs!$CK235,Data!$A$4:$A$947,0),MATCH(Graphs!CM$4,Data!$B$3:$L$3,0)))</f>
        <v>310.02</v>
      </c>
      <c r="CN235" s="24">
        <f t="array" ref="CN235">IF(INDEX(Data!$B$4:$L$947,MATCH(Graphs!$CK235,Data!$A$4:$A$947,0),MATCH(Graphs!CN$4,Data!$B$3:$L$3,0))="n.q.",NA(),INDEX(Data!$B$4:$L$947,MATCH(Graphs!$CK235,Data!$A$4:$A$947,0),MATCH(Graphs!CN$4,Data!$B$3:$L$3,0)))</f>
        <v>232</v>
      </c>
      <c r="CO235" s="24" t="str">
        <f t="array" ref="CO235">IF(INDEX(Data!$B$4:$L$947,MATCH(Graphs!$CK235,Data!$A$4:$A$947,0),MATCH(Graphs!CO$4,Data!$B$3:$L$3,0))="n.q.",NA(),INDEX(Data!$B$4:$L$947,MATCH(Graphs!$CK235,Data!$A$4:$A$947,0),MATCH(Graphs!CO$4,Data!$B$3:$L$3,0)))</f>
        <v>#N/A</v>
      </c>
      <c r="CP235" s="24" t="str">
        <f t="array" ref="CP235">IF(INDEX(Data!$B$4:$L$947,MATCH(Graphs!$CK235,Data!$A$4:$A$947,0),MATCH(Graphs!CP$4,Data!$B$3:$L$3,0))="n.q.",NA(),INDEX(Data!$B$4:$L$947,MATCH(Graphs!$CK235,Data!$A$4:$A$947,0),MATCH(Graphs!CP$4,Data!$B$3:$L$3,0)))</f>
        <v>#N/A</v>
      </c>
      <c r="CQ235" s="5"/>
      <c r="CR235" s="24">
        <f t="array" ref="CR235">IF(INDEX(Data!$P$4:$Z$947,MATCH(Graphs!$CK235,Data!$A$4:$A$947,0),MATCH(Graphs!CR$4,Data!$P$3:$Z$3,0))="n.q.",NA(),INDEX(Data!$P$4:$Z$947,MATCH(Graphs!$CK235,Data!$A$4:$A$947,0),MATCH(Graphs!CR$4,Data!$P$3:$Z$3,0)))</f>
        <v>241.369351</v>
      </c>
      <c r="CS235" s="24" t="str">
        <f t="array" ref="CS235">IF(INDEX(Data!$P$4:$Z$947,MATCH(Graphs!$CK235,Data!$A$4:$A$947,0),MATCH(Graphs!CS$4,Data!$P$3:$Z$3,0))="n.q.",NA(),INDEX(Data!$P$4:$Z$947,MATCH(Graphs!$CK235,Data!$A$4:$A$947,0),MATCH(Graphs!CS$4,Data!$P$3:$Z$3,0)))</f>
        <v>#N/A</v>
      </c>
      <c r="CT235" s="24">
        <f t="array" ref="CT235">IF(INDEX(Data!$P$4:$Z$947,MATCH(Graphs!$CK235,Data!$A$4:$A$947,0),MATCH(Graphs!CT$4,Data!$P$3:$Z$3,0))="n.q.",NA(),INDEX(Data!$P$4:$Z$947,MATCH(Graphs!$CK235,Data!$A$4:$A$947,0),MATCH(Graphs!CT$4,Data!$P$3:$Z$3,0)))</f>
        <v>231.0567448</v>
      </c>
      <c r="CU235" s="24" t="str">
        <f t="array" ref="CU235">IF(INDEX(Data!$P$4:$Z$947,MATCH(Graphs!$CK235,Data!$A$4:$A$947,0),MATCH(Graphs!CU$4,Data!$P$3:$Z$3,0))="n.q.",NA(),INDEX(Data!$P$4:$Z$947,MATCH(Graphs!$CK235,Data!$A$4:$A$947,0),MATCH(Graphs!CU$4,Data!$P$3:$Z$3,0)))</f>
        <v>#N/A</v>
      </c>
      <c r="CV235" s="24" t="str">
        <f t="array" ref="CV235">IF(INDEX(Data!$P$4:$Z$947,MATCH(Graphs!$CK235,Data!$A$4:$A$947,0),MATCH(Graphs!CV$4,Data!$P$3:$Z$3,0))="n.q.",NA(),INDEX(Data!$P$4:$Z$947,MATCH(Graphs!$CK235,Data!$A$4:$A$947,0),MATCH(Graphs!CV$4,Data!$P$3:$Z$3,0)))</f>
        <v>#N/A</v>
      </c>
    </row>
    <row r="236" ht="14.25" customHeight="1"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5"/>
      <c r="CK236" s="22">
        <f>Data!A229</f>
        <v>44391</v>
      </c>
      <c r="CL236" s="24">
        <f t="array" ref="CL236">IF(INDEX(Data!$B$4:$L$947,MATCH(Graphs!$CK236,Data!$A$4:$A$947,0),MATCH(Graphs!CL$4,Data!$B$3:$L$3,0))="n.q.",NA(),INDEX(Data!$B$4:$L$947,MATCH(Graphs!$CK236,Data!$A$4:$A$947,0),MATCH(Graphs!CL$4,Data!$B$3:$L$3,0)))</f>
        <v>250.44</v>
      </c>
      <c r="CM236" s="24">
        <f t="array" ref="CM236">IF(INDEX(Data!$B$4:$L$947,MATCH(Graphs!$CK236,Data!$A$4:$A$947,0),MATCH(Graphs!CM$4,Data!$B$3:$L$3,0))="n.q.",NA(),INDEX(Data!$B$4:$L$947,MATCH(Graphs!$CK236,Data!$A$4:$A$947,0),MATCH(Graphs!CM$4,Data!$B$3:$L$3,0)))</f>
        <v>289.45</v>
      </c>
      <c r="CN236" s="24">
        <f t="array" ref="CN236">IF(INDEX(Data!$B$4:$L$947,MATCH(Graphs!$CK236,Data!$A$4:$A$947,0),MATCH(Graphs!CN$4,Data!$B$3:$L$3,0))="n.q.",NA(),INDEX(Data!$B$4:$L$947,MATCH(Graphs!$CK236,Data!$A$4:$A$947,0),MATCH(Graphs!CN$4,Data!$B$3:$L$3,0)))</f>
        <v>218</v>
      </c>
      <c r="CO236" s="24" t="str">
        <f t="array" ref="CO236">IF(INDEX(Data!$B$4:$L$947,MATCH(Graphs!$CK236,Data!$A$4:$A$947,0),MATCH(Graphs!CO$4,Data!$B$3:$L$3,0))="n.q.",NA(),INDEX(Data!$B$4:$L$947,MATCH(Graphs!$CK236,Data!$A$4:$A$947,0),MATCH(Graphs!CO$4,Data!$B$3:$L$3,0)))</f>
        <v>#N/A</v>
      </c>
      <c r="CP236" s="24" t="str">
        <f t="array" ref="CP236">IF(INDEX(Data!$B$4:$L$947,MATCH(Graphs!$CK236,Data!$A$4:$A$947,0),MATCH(Graphs!CP$4,Data!$B$3:$L$3,0))="n.q.",NA(),INDEX(Data!$B$4:$L$947,MATCH(Graphs!$CK236,Data!$A$4:$A$947,0),MATCH(Graphs!CP$4,Data!$B$3:$L$3,0)))</f>
        <v>#N/A</v>
      </c>
      <c r="CQ236" s="5"/>
      <c r="CR236" s="24">
        <f t="array" ref="CR236">IF(INDEX(Data!$P$4:$Z$947,MATCH(Graphs!$CK236,Data!$A$4:$A$947,0),MATCH(Graphs!CR$4,Data!$P$3:$Z$3,0))="n.q.",NA(),INDEX(Data!$P$4:$Z$947,MATCH(Graphs!$CK236,Data!$A$4:$A$947,0),MATCH(Graphs!CR$4,Data!$P$3:$Z$3,0)))</f>
        <v>243.3880799</v>
      </c>
      <c r="CS236" s="24" t="str">
        <f t="array" ref="CS236">IF(INDEX(Data!$P$4:$Z$947,MATCH(Graphs!$CK236,Data!$A$4:$A$947,0),MATCH(Graphs!CS$4,Data!$P$3:$Z$3,0))="n.q.",NA(),INDEX(Data!$P$4:$Z$947,MATCH(Graphs!$CK236,Data!$A$4:$A$947,0),MATCH(Graphs!CS$4,Data!$P$3:$Z$3,0)))</f>
        <v>#N/A</v>
      </c>
      <c r="CT236" s="24">
        <f t="array" ref="CT236">IF(INDEX(Data!$P$4:$Z$947,MATCH(Graphs!$CK236,Data!$A$4:$A$947,0),MATCH(Graphs!CT$4,Data!$P$3:$Z$3,0))="n.q.",NA(),INDEX(Data!$P$4:$Z$947,MATCH(Graphs!$CK236,Data!$A$4:$A$947,0),MATCH(Graphs!CT$4,Data!$P$3:$Z$3,0)))</f>
        <v>227.7345073</v>
      </c>
      <c r="CU236" s="24" t="str">
        <f t="array" ref="CU236">IF(INDEX(Data!$P$4:$Z$947,MATCH(Graphs!$CK236,Data!$A$4:$A$947,0),MATCH(Graphs!CU$4,Data!$P$3:$Z$3,0))="n.q.",NA(),INDEX(Data!$P$4:$Z$947,MATCH(Graphs!$CK236,Data!$A$4:$A$947,0),MATCH(Graphs!CU$4,Data!$P$3:$Z$3,0)))</f>
        <v>#N/A</v>
      </c>
      <c r="CV236" s="24" t="str">
        <f t="array" ref="CV236">IF(INDEX(Data!$P$4:$Z$947,MATCH(Graphs!$CK236,Data!$A$4:$A$947,0),MATCH(Graphs!CV$4,Data!$P$3:$Z$3,0))="n.q.",NA(),INDEX(Data!$P$4:$Z$947,MATCH(Graphs!$CK236,Data!$A$4:$A$947,0),MATCH(Graphs!CV$4,Data!$P$3:$Z$3,0)))</f>
        <v>#N/A</v>
      </c>
    </row>
    <row r="237" ht="14.25" customHeight="1"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5"/>
      <c r="CK237" s="22" t="str">
        <f>Data!#REF!</f>
        <v>#ERROR!</v>
      </c>
      <c r="CL237" s="24" t="str">
        <f t="array" ref="CL237">IF(INDEX(Data!$B$4:$L$947,MATCH(Graphs!$CK237,Data!$A$4:$A$947,0),MATCH(Graphs!CL$4,Data!$B$3:$L$3,0))="n.q.",NA(),INDEX(Data!$B$4:$L$947,MATCH(Graphs!$CK237,Data!$A$4:$A$947,0),MATCH(Graphs!CL$4,Data!$B$3:$L$3,0)))</f>
        <v>#ERROR!</v>
      </c>
      <c r="CM237" s="24" t="str">
        <f t="array" ref="CM237">IF(INDEX(Data!$B$4:$L$947,MATCH(Graphs!$CK237,Data!$A$4:$A$947,0),MATCH(Graphs!CM$4,Data!$B$3:$L$3,0))="n.q.",NA(),INDEX(Data!$B$4:$L$947,MATCH(Graphs!$CK237,Data!$A$4:$A$947,0),MATCH(Graphs!CM$4,Data!$B$3:$L$3,0)))</f>
        <v>#ERROR!</v>
      </c>
      <c r="CN237" s="24" t="str">
        <f t="array" ref="CN237">IF(INDEX(Data!$B$4:$L$947,MATCH(Graphs!$CK237,Data!$A$4:$A$947,0),MATCH(Graphs!CN$4,Data!$B$3:$L$3,0))="n.q.",NA(),INDEX(Data!$B$4:$L$947,MATCH(Graphs!$CK237,Data!$A$4:$A$947,0),MATCH(Graphs!CN$4,Data!$B$3:$L$3,0)))</f>
        <v>#ERROR!</v>
      </c>
      <c r="CO237" s="24" t="str">
        <f t="array" ref="CO237">IF(INDEX(Data!$B$4:$L$947,MATCH(Graphs!$CK237,Data!$A$4:$A$947,0),MATCH(Graphs!CO$4,Data!$B$3:$L$3,0))="n.q.",NA(),INDEX(Data!$B$4:$L$947,MATCH(Graphs!$CK237,Data!$A$4:$A$947,0),MATCH(Graphs!CO$4,Data!$B$3:$L$3,0)))</f>
        <v>#ERROR!</v>
      </c>
      <c r="CP237" s="24" t="str">
        <f t="array" ref="CP237">IF(INDEX(Data!$B$4:$L$947,MATCH(Graphs!$CK237,Data!$A$4:$A$947,0),MATCH(Graphs!CP$4,Data!$B$3:$L$3,0))="n.q.",NA(),INDEX(Data!$B$4:$L$947,MATCH(Graphs!$CK237,Data!$A$4:$A$947,0),MATCH(Graphs!CP$4,Data!$B$3:$L$3,0)))</f>
        <v>#ERROR!</v>
      </c>
      <c r="CQ237" s="5"/>
      <c r="CR237" s="24" t="str">
        <f t="array" ref="CR237">IF(INDEX(Data!$P$4:$Z$947,MATCH(Graphs!$CK237,Data!$A$4:$A$947,0),MATCH(Graphs!CR$4,Data!$P$3:$Z$3,0))="n.q.",NA(),INDEX(Data!$P$4:$Z$947,MATCH(Graphs!$CK237,Data!$A$4:$A$947,0),MATCH(Graphs!CR$4,Data!$P$3:$Z$3,0)))</f>
        <v>#ERROR!</v>
      </c>
      <c r="CS237" s="24" t="str">
        <f t="array" ref="CS237">IF(INDEX(Data!$P$4:$Z$947,MATCH(Graphs!$CK237,Data!$A$4:$A$947,0),MATCH(Graphs!CS$4,Data!$P$3:$Z$3,0))="n.q.",NA(),INDEX(Data!$P$4:$Z$947,MATCH(Graphs!$CK237,Data!$A$4:$A$947,0),MATCH(Graphs!CS$4,Data!$P$3:$Z$3,0)))</f>
        <v>#ERROR!</v>
      </c>
      <c r="CT237" s="24" t="str">
        <f t="array" ref="CT237">IF(INDEX(Data!$P$4:$Z$947,MATCH(Graphs!$CK237,Data!$A$4:$A$947,0),MATCH(Graphs!CT$4,Data!$P$3:$Z$3,0))="n.q.",NA(),INDEX(Data!$P$4:$Z$947,MATCH(Graphs!$CK237,Data!$A$4:$A$947,0),MATCH(Graphs!CT$4,Data!$P$3:$Z$3,0)))</f>
        <v>#ERROR!</v>
      </c>
      <c r="CU237" s="24" t="str">
        <f t="array" ref="CU237">IF(INDEX(Data!$P$4:$Z$947,MATCH(Graphs!$CK237,Data!$A$4:$A$947,0),MATCH(Graphs!CU$4,Data!$P$3:$Z$3,0))="n.q.",NA(),INDEX(Data!$P$4:$Z$947,MATCH(Graphs!$CK237,Data!$A$4:$A$947,0),MATCH(Graphs!CU$4,Data!$P$3:$Z$3,0)))</f>
        <v>#ERROR!</v>
      </c>
      <c r="CV237" s="24" t="str">
        <f t="array" ref="CV237">IF(INDEX(Data!$P$4:$Z$947,MATCH(Graphs!$CK237,Data!$A$4:$A$947,0),MATCH(Graphs!CV$4,Data!$P$3:$Z$3,0))="n.q.",NA(),INDEX(Data!$P$4:$Z$947,MATCH(Graphs!$CK237,Data!$A$4:$A$947,0),MATCH(Graphs!CV$4,Data!$P$3:$Z$3,0)))</f>
        <v>#ERROR!</v>
      </c>
    </row>
    <row r="238" ht="14.25" customHeight="1"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5"/>
      <c r="CK238" s="22" t="str">
        <f>Data!#REF!</f>
        <v>#ERROR!</v>
      </c>
      <c r="CL238" s="24" t="str">
        <f t="array" ref="CL238">IF(INDEX(Data!$B$4:$L$947,MATCH(Graphs!$CK238,Data!$A$4:$A$947,0),MATCH(Graphs!CL$4,Data!$B$3:$L$3,0))="n.q.",NA(),INDEX(Data!$B$4:$L$947,MATCH(Graphs!$CK238,Data!$A$4:$A$947,0),MATCH(Graphs!CL$4,Data!$B$3:$L$3,0)))</f>
        <v>#ERROR!</v>
      </c>
      <c r="CM238" s="24" t="str">
        <f t="array" ref="CM238">IF(INDEX(Data!$B$4:$L$947,MATCH(Graphs!$CK238,Data!$A$4:$A$947,0),MATCH(Graphs!CM$4,Data!$B$3:$L$3,0))="n.q.",NA(),INDEX(Data!$B$4:$L$947,MATCH(Graphs!$CK238,Data!$A$4:$A$947,0),MATCH(Graphs!CM$4,Data!$B$3:$L$3,0)))</f>
        <v>#ERROR!</v>
      </c>
      <c r="CN238" s="24" t="str">
        <f t="array" ref="CN238">IF(INDEX(Data!$B$4:$L$947,MATCH(Graphs!$CK238,Data!$A$4:$A$947,0),MATCH(Graphs!CN$4,Data!$B$3:$L$3,0))="n.q.",NA(),INDEX(Data!$B$4:$L$947,MATCH(Graphs!$CK238,Data!$A$4:$A$947,0),MATCH(Graphs!CN$4,Data!$B$3:$L$3,0)))</f>
        <v>#ERROR!</v>
      </c>
      <c r="CO238" s="24" t="str">
        <f t="array" ref="CO238">IF(INDEX(Data!$B$4:$L$947,MATCH(Graphs!$CK238,Data!$A$4:$A$947,0),MATCH(Graphs!CO$4,Data!$B$3:$L$3,0))="n.q.",NA(),INDEX(Data!$B$4:$L$947,MATCH(Graphs!$CK238,Data!$A$4:$A$947,0),MATCH(Graphs!CO$4,Data!$B$3:$L$3,0)))</f>
        <v>#ERROR!</v>
      </c>
      <c r="CP238" s="24" t="str">
        <f t="array" ref="CP238">IF(INDEX(Data!$B$4:$L$947,MATCH(Graphs!$CK238,Data!$A$4:$A$947,0),MATCH(Graphs!CP$4,Data!$B$3:$L$3,0))="n.q.",NA(),INDEX(Data!$B$4:$L$947,MATCH(Graphs!$CK238,Data!$A$4:$A$947,0),MATCH(Graphs!CP$4,Data!$B$3:$L$3,0)))</f>
        <v>#ERROR!</v>
      </c>
      <c r="CQ238" s="5"/>
      <c r="CR238" s="24" t="str">
        <f t="array" ref="CR238">IF(INDEX(Data!$P$4:$Z$947,MATCH(Graphs!$CK238,Data!$A$4:$A$947,0),MATCH(Graphs!CR$4,Data!$P$3:$Z$3,0))="n.q.",NA(),INDEX(Data!$P$4:$Z$947,MATCH(Graphs!$CK238,Data!$A$4:$A$947,0),MATCH(Graphs!CR$4,Data!$P$3:$Z$3,0)))</f>
        <v>#ERROR!</v>
      </c>
      <c r="CS238" s="24" t="str">
        <f t="array" ref="CS238">IF(INDEX(Data!$P$4:$Z$947,MATCH(Graphs!$CK238,Data!$A$4:$A$947,0),MATCH(Graphs!CS$4,Data!$P$3:$Z$3,0))="n.q.",NA(),INDEX(Data!$P$4:$Z$947,MATCH(Graphs!$CK238,Data!$A$4:$A$947,0),MATCH(Graphs!CS$4,Data!$P$3:$Z$3,0)))</f>
        <v>#ERROR!</v>
      </c>
      <c r="CT238" s="24" t="str">
        <f t="array" ref="CT238">IF(INDEX(Data!$P$4:$Z$947,MATCH(Graphs!$CK238,Data!$A$4:$A$947,0),MATCH(Graphs!CT$4,Data!$P$3:$Z$3,0))="n.q.",NA(),INDEX(Data!$P$4:$Z$947,MATCH(Graphs!$CK238,Data!$A$4:$A$947,0),MATCH(Graphs!CT$4,Data!$P$3:$Z$3,0)))</f>
        <v>#ERROR!</v>
      </c>
      <c r="CU238" s="24" t="str">
        <f t="array" ref="CU238">IF(INDEX(Data!$P$4:$Z$947,MATCH(Graphs!$CK238,Data!$A$4:$A$947,0),MATCH(Graphs!CU$4,Data!$P$3:$Z$3,0))="n.q.",NA(),INDEX(Data!$P$4:$Z$947,MATCH(Graphs!$CK238,Data!$A$4:$A$947,0),MATCH(Graphs!CU$4,Data!$P$3:$Z$3,0)))</f>
        <v>#ERROR!</v>
      </c>
      <c r="CV238" s="24" t="str">
        <f t="array" ref="CV238">IF(INDEX(Data!$P$4:$Z$947,MATCH(Graphs!$CK238,Data!$A$4:$A$947,0),MATCH(Graphs!CV$4,Data!$P$3:$Z$3,0))="n.q.",NA(),INDEX(Data!$P$4:$Z$947,MATCH(Graphs!$CK238,Data!$A$4:$A$947,0),MATCH(Graphs!CV$4,Data!$P$3:$Z$3,0)))</f>
        <v>#ERROR!</v>
      </c>
    </row>
    <row r="239" ht="14.25" customHeight="1"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5"/>
      <c r="CK239" s="22" t="str">
        <f>Data!#REF!</f>
        <v>#ERROR!</v>
      </c>
      <c r="CL239" s="24" t="str">
        <f t="array" ref="CL239">IF(INDEX(Data!$B$4:$L$947,MATCH(Graphs!$CK239,Data!$A$4:$A$947,0),MATCH(Graphs!CL$4,Data!$B$3:$L$3,0))="n.q.",NA(),INDEX(Data!$B$4:$L$947,MATCH(Graphs!$CK239,Data!$A$4:$A$947,0),MATCH(Graphs!CL$4,Data!$B$3:$L$3,0)))</f>
        <v>#ERROR!</v>
      </c>
      <c r="CM239" s="24" t="str">
        <f t="array" ref="CM239">IF(INDEX(Data!$B$4:$L$947,MATCH(Graphs!$CK239,Data!$A$4:$A$947,0),MATCH(Graphs!CM$4,Data!$B$3:$L$3,0))="n.q.",NA(),INDEX(Data!$B$4:$L$947,MATCH(Graphs!$CK239,Data!$A$4:$A$947,0),MATCH(Graphs!CM$4,Data!$B$3:$L$3,0)))</f>
        <v>#ERROR!</v>
      </c>
      <c r="CN239" s="24" t="str">
        <f t="array" ref="CN239">IF(INDEX(Data!$B$4:$L$947,MATCH(Graphs!$CK239,Data!$A$4:$A$947,0),MATCH(Graphs!CN$4,Data!$B$3:$L$3,0))="n.q.",NA(),INDEX(Data!$B$4:$L$947,MATCH(Graphs!$CK239,Data!$A$4:$A$947,0),MATCH(Graphs!CN$4,Data!$B$3:$L$3,0)))</f>
        <v>#ERROR!</v>
      </c>
      <c r="CO239" s="24" t="str">
        <f t="array" ref="CO239">IF(INDEX(Data!$B$4:$L$947,MATCH(Graphs!$CK239,Data!$A$4:$A$947,0),MATCH(Graphs!CO$4,Data!$B$3:$L$3,0))="n.q.",NA(),INDEX(Data!$B$4:$L$947,MATCH(Graphs!$CK239,Data!$A$4:$A$947,0),MATCH(Graphs!CO$4,Data!$B$3:$L$3,0)))</f>
        <v>#ERROR!</v>
      </c>
      <c r="CP239" s="24" t="str">
        <f t="array" ref="CP239">IF(INDEX(Data!$B$4:$L$947,MATCH(Graphs!$CK239,Data!$A$4:$A$947,0),MATCH(Graphs!CP$4,Data!$B$3:$L$3,0))="n.q.",NA(),INDEX(Data!$B$4:$L$947,MATCH(Graphs!$CK239,Data!$A$4:$A$947,0),MATCH(Graphs!CP$4,Data!$B$3:$L$3,0)))</f>
        <v>#ERROR!</v>
      </c>
      <c r="CQ239" s="5"/>
      <c r="CR239" s="24" t="str">
        <f t="array" ref="CR239">IF(INDEX(Data!$P$4:$Z$947,MATCH(Graphs!$CK239,Data!$A$4:$A$947,0),MATCH(Graphs!CR$4,Data!$P$3:$Z$3,0))="n.q.",NA(),INDEX(Data!$P$4:$Z$947,MATCH(Graphs!$CK239,Data!$A$4:$A$947,0),MATCH(Graphs!CR$4,Data!$P$3:$Z$3,0)))</f>
        <v>#ERROR!</v>
      </c>
      <c r="CS239" s="24" t="str">
        <f t="array" ref="CS239">IF(INDEX(Data!$P$4:$Z$947,MATCH(Graphs!$CK239,Data!$A$4:$A$947,0),MATCH(Graphs!CS$4,Data!$P$3:$Z$3,0))="n.q.",NA(),INDEX(Data!$P$4:$Z$947,MATCH(Graphs!$CK239,Data!$A$4:$A$947,0),MATCH(Graphs!CS$4,Data!$P$3:$Z$3,0)))</f>
        <v>#ERROR!</v>
      </c>
      <c r="CT239" s="24" t="str">
        <f t="array" ref="CT239">IF(INDEX(Data!$P$4:$Z$947,MATCH(Graphs!$CK239,Data!$A$4:$A$947,0),MATCH(Graphs!CT$4,Data!$P$3:$Z$3,0))="n.q.",NA(),INDEX(Data!$P$4:$Z$947,MATCH(Graphs!$CK239,Data!$A$4:$A$947,0),MATCH(Graphs!CT$4,Data!$P$3:$Z$3,0)))</f>
        <v>#ERROR!</v>
      </c>
      <c r="CU239" s="24" t="str">
        <f t="array" ref="CU239">IF(INDEX(Data!$P$4:$Z$947,MATCH(Graphs!$CK239,Data!$A$4:$A$947,0),MATCH(Graphs!CU$4,Data!$P$3:$Z$3,0))="n.q.",NA(),INDEX(Data!$P$4:$Z$947,MATCH(Graphs!$CK239,Data!$A$4:$A$947,0),MATCH(Graphs!CU$4,Data!$P$3:$Z$3,0)))</f>
        <v>#ERROR!</v>
      </c>
      <c r="CV239" s="24" t="str">
        <f t="array" ref="CV239">IF(INDEX(Data!$P$4:$Z$947,MATCH(Graphs!$CK239,Data!$A$4:$A$947,0),MATCH(Graphs!CV$4,Data!$P$3:$Z$3,0))="n.q.",NA(),INDEX(Data!$P$4:$Z$947,MATCH(Graphs!$CK239,Data!$A$4:$A$947,0),MATCH(Graphs!CV$4,Data!$P$3:$Z$3,0)))</f>
        <v>#ERROR!</v>
      </c>
    </row>
    <row r="240" ht="14.25" customHeight="1"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5"/>
      <c r="CK240" s="22" t="str">
        <f>Data!#REF!</f>
        <v>#ERROR!</v>
      </c>
      <c r="CL240" s="24" t="str">
        <f t="array" ref="CL240">IF(INDEX(Data!$B$4:$L$947,MATCH(Graphs!$CK240,Data!$A$4:$A$947,0),MATCH(Graphs!CL$4,Data!$B$3:$L$3,0))="n.q.",NA(),INDEX(Data!$B$4:$L$947,MATCH(Graphs!$CK240,Data!$A$4:$A$947,0),MATCH(Graphs!CL$4,Data!$B$3:$L$3,0)))</f>
        <v>#ERROR!</v>
      </c>
      <c r="CM240" s="24" t="str">
        <f t="array" ref="CM240">IF(INDEX(Data!$B$4:$L$947,MATCH(Graphs!$CK240,Data!$A$4:$A$947,0),MATCH(Graphs!CM$4,Data!$B$3:$L$3,0))="n.q.",NA(),INDEX(Data!$B$4:$L$947,MATCH(Graphs!$CK240,Data!$A$4:$A$947,0),MATCH(Graphs!CM$4,Data!$B$3:$L$3,0)))</f>
        <v>#ERROR!</v>
      </c>
      <c r="CN240" s="24" t="str">
        <f t="array" ref="CN240">IF(INDEX(Data!$B$4:$L$947,MATCH(Graphs!$CK240,Data!$A$4:$A$947,0),MATCH(Graphs!CN$4,Data!$B$3:$L$3,0))="n.q.",NA(),INDEX(Data!$B$4:$L$947,MATCH(Graphs!$CK240,Data!$A$4:$A$947,0),MATCH(Graphs!CN$4,Data!$B$3:$L$3,0)))</f>
        <v>#ERROR!</v>
      </c>
      <c r="CO240" s="24" t="str">
        <f t="array" ref="CO240">IF(INDEX(Data!$B$4:$L$947,MATCH(Graphs!$CK240,Data!$A$4:$A$947,0),MATCH(Graphs!CO$4,Data!$B$3:$L$3,0))="n.q.",NA(),INDEX(Data!$B$4:$L$947,MATCH(Graphs!$CK240,Data!$A$4:$A$947,0),MATCH(Graphs!CO$4,Data!$B$3:$L$3,0)))</f>
        <v>#ERROR!</v>
      </c>
      <c r="CP240" s="24" t="str">
        <f t="array" ref="CP240">IF(INDEX(Data!$B$4:$L$947,MATCH(Graphs!$CK240,Data!$A$4:$A$947,0),MATCH(Graphs!CP$4,Data!$B$3:$L$3,0))="n.q.",NA(),INDEX(Data!$B$4:$L$947,MATCH(Graphs!$CK240,Data!$A$4:$A$947,0),MATCH(Graphs!CP$4,Data!$B$3:$L$3,0)))</f>
        <v>#ERROR!</v>
      </c>
      <c r="CQ240" s="5"/>
      <c r="CR240" s="24" t="str">
        <f t="array" ref="CR240">IF(INDEX(Data!$P$4:$Z$947,MATCH(Graphs!$CK240,Data!$A$4:$A$947,0),MATCH(Graphs!CR$4,Data!$P$3:$Z$3,0))="n.q.",NA(),INDEX(Data!$P$4:$Z$947,MATCH(Graphs!$CK240,Data!$A$4:$A$947,0),MATCH(Graphs!CR$4,Data!$P$3:$Z$3,0)))</f>
        <v>#ERROR!</v>
      </c>
      <c r="CS240" s="24" t="str">
        <f t="array" ref="CS240">IF(INDEX(Data!$P$4:$Z$947,MATCH(Graphs!$CK240,Data!$A$4:$A$947,0),MATCH(Graphs!CS$4,Data!$P$3:$Z$3,0))="n.q.",NA(),INDEX(Data!$P$4:$Z$947,MATCH(Graphs!$CK240,Data!$A$4:$A$947,0),MATCH(Graphs!CS$4,Data!$P$3:$Z$3,0)))</f>
        <v>#ERROR!</v>
      </c>
      <c r="CT240" s="24" t="str">
        <f t="array" ref="CT240">IF(INDEX(Data!$P$4:$Z$947,MATCH(Graphs!$CK240,Data!$A$4:$A$947,0),MATCH(Graphs!CT$4,Data!$P$3:$Z$3,0))="n.q.",NA(),INDEX(Data!$P$4:$Z$947,MATCH(Graphs!$CK240,Data!$A$4:$A$947,0),MATCH(Graphs!CT$4,Data!$P$3:$Z$3,0)))</f>
        <v>#ERROR!</v>
      </c>
      <c r="CU240" s="24" t="str">
        <f t="array" ref="CU240">IF(INDEX(Data!$P$4:$Z$947,MATCH(Graphs!$CK240,Data!$A$4:$A$947,0),MATCH(Graphs!CU$4,Data!$P$3:$Z$3,0))="n.q.",NA(),INDEX(Data!$P$4:$Z$947,MATCH(Graphs!$CK240,Data!$A$4:$A$947,0),MATCH(Graphs!CU$4,Data!$P$3:$Z$3,0)))</f>
        <v>#ERROR!</v>
      </c>
      <c r="CV240" s="24" t="str">
        <f t="array" ref="CV240">IF(INDEX(Data!$P$4:$Z$947,MATCH(Graphs!$CK240,Data!$A$4:$A$947,0),MATCH(Graphs!CV$4,Data!$P$3:$Z$3,0))="n.q.",NA(),INDEX(Data!$P$4:$Z$947,MATCH(Graphs!$CK240,Data!$A$4:$A$947,0),MATCH(Graphs!CV$4,Data!$P$3:$Z$3,0)))</f>
        <v>#ERROR!</v>
      </c>
    </row>
    <row r="241" ht="14.25" customHeight="1"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5"/>
      <c r="CK241" s="22" t="str">
        <f>Data!#REF!</f>
        <v>#ERROR!</v>
      </c>
      <c r="CL241" s="24" t="str">
        <f t="array" ref="CL241">IF(INDEX(Data!$B$4:$L$947,MATCH(Graphs!$CK241,Data!$A$4:$A$947,0),MATCH(Graphs!CL$4,Data!$B$3:$L$3,0))="n.q.",NA(),INDEX(Data!$B$4:$L$947,MATCH(Graphs!$CK241,Data!$A$4:$A$947,0),MATCH(Graphs!CL$4,Data!$B$3:$L$3,0)))</f>
        <v>#ERROR!</v>
      </c>
      <c r="CM241" s="24" t="str">
        <f t="array" ref="CM241">IF(INDEX(Data!$B$4:$L$947,MATCH(Graphs!$CK241,Data!$A$4:$A$947,0),MATCH(Graphs!CM$4,Data!$B$3:$L$3,0))="n.q.",NA(),INDEX(Data!$B$4:$L$947,MATCH(Graphs!$CK241,Data!$A$4:$A$947,0),MATCH(Graphs!CM$4,Data!$B$3:$L$3,0)))</f>
        <v>#ERROR!</v>
      </c>
      <c r="CN241" s="24" t="str">
        <f t="array" ref="CN241">IF(INDEX(Data!$B$4:$L$947,MATCH(Graphs!$CK241,Data!$A$4:$A$947,0),MATCH(Graphs!CN$4,Data!$B$3:$L$3,0))="n.q.",NA(),INDEX(Data!$B$4:$L$947,MATCH(Graphs!$CK241,Data!$A$4:$A$947,0),MATCH(Graphs!CN$4,Data!$B$3:$L$3,0)))</f>
        <v>#ERROR!</v>
      </c>
      <c r="CO241" s="24" t="str">
        <f t="array" ref="CO241">IF(INDEX(Data!$B$4:$L$947,MATCH(Graphs!$CK241,Data!$A$4:$A$947,0),MATCH(Graphs!CO$4,Data!$B$3:$L$3,0))="n.q.",NA(),INDEX(Data!$B$4:$L$947,MATCH(Graphs!$CK241,Data!$A$4:$A$947,0),MATCH(Graphs!CO$4,Data!$B$3:$L$3,0)))</f>
        <v>#ERROR!</v>
      </c>
      <c r="CP241" s="24" t="str">
        <f t="array" ref="CP241">IF(INDEX(Data!$B$4:$L$947,MATCH(Graphs!$CK241,Data!$A$4:$A$947,0),MATCH(Graphs!CP$4,Data!$B$3:$L$3,0))="n.q.",NA(),INDEX(Data!$B$4:$L$947,MATCH(Graphs!$CK241,Data!$A$4:$A$947,0),MATCH(Graphs!CP$4,Data!$B$3:$L$3,0)))</f>
        <v>#ERROR!</v>
      </c>
      <c r="CQ241" s="5"/>
      <c r="CR241" s="24" t="str">
        <f t="array" ref="CR241">IF(INDEX(Data!$P$4:$Z$947,MATCH(Graphs!$CK241,Data!$A$4:$A$947,0),MATCH(Graphs!CR$4,Data!$P$3:$Z$3,0))="n.q.",NA(),INDEX(Data!$P$4:$Z$947,MATCH(Graphs!$CK241,Data!$A$4:$A$947,0),MATCH(Graphs!CR$4,Data!$P$3:$Z$3,0)))</f>
        <v>#ERROR!</v>
      </c>
      <c r="CS241" s="24" t="str">
        <f t="array" ref="CS241">IF(INDEX(Data!$P$4:$Z$947,MATCH(Graphs!$CK241,Data!$A$4:$A$947,0),MATCH(Graphs!CS$4,Data!$P$3:$Z$3,0))="n.q.",NA(),INDEX(Data!$P$4:$Z$947,MATCH(Graphs!$CK241,Data!$A$4:$A$947,0),MATCH(Graphs!CS$4,Data!$P$3:$Z$3,0)))</f>
        <v>#ERROR!</v>
      </c>
      <c r="CT241" s="24" t="str">
        <f t="array" ref="CT241">IF(INDEX(Data!$P$4:$Z$947,MATCH(Graphs!$CK241,Data!$A$4:$A$947,0),MATCH(Graphs!CT$4,Data!$P$3:$Z$3,0))="n.q.",NA(),INDEX(Data!$P$4:$Z$947,MATCH(Graphs!$CK241,Data!$A$4:$A$947,0),MATCH(Graphs!CT$4,Data!$P$3:$Z$3,0)))</f>
        <v>#ERROR!</v>
      </c>
      <c r="CU241" s="24" t="str">
        <f t="array" ref="CU241">IF(INDEX(Data!$P$4:$Z$947,MATCH(Graphs!$CK241,Data!$A$4:$A$947,0),MATCH(Graphs!CU$4,Data!$P$3:$Z$3,0))="n.q.",NA(),INDEX(Data!$P$4:$Z$947,MATCH(Graphs!$CK241,Data!$A$4:$A$947,0),MATCH(Graphs!CU$4,Data!$P$3:$Z$3,0)))</f>
        <v>#ERROR!</v>
      </c>
      <c r="CV241" s="24" t="str">
        <f t="array" ref="CV241">IF(INDEX(Data!$P$4:$Z$947,MATCH(Graphs!$CK241,Data!$A$4:$A$947,0),MATCH(Graphs!CV$4,Data!$P$3:$Z$3,0))="n.q.",NA(),INDEX(Data!$P$4:$Z$947,MATCH(Graphs!$CK241,Data!$A$4:$A$947,0),MATCH(Graphs!CV$4,Data!$P$3:$Z$3,0)))</f>
        <v>#ERROR!</v>
      </c>
    </row>
    <row r="242" ht="14.25" customHeight="1"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5"/>
      <c r="CK242" s="22" t="str">
        <f>Data!#REF!</f>
        <v>#ERROR!</v>
      </c>
      <c r="CL242" s="24" t="str">
        <f t="array" ref="CL242">IF(INDEX(Data!$B$4:$L$947,MATCH(Graphs!$CK242,Data!$A$4:$A$947,0),MATCH(Graphs!CL$4,Data!$B$3:$L$3,0))="n.q.",NA(),INDEX(Data!$B$4:$L$947,MATCH(Graphs!$CK242,Data!$A$4:$A$947,0),MATCH(Graphs!CL$4,Data!$B$3:$L$3,0)))</f>
        <v>#ERROR!</v>
      </c>
      <c r="CM242" s="24" t="str">
        <f t="array" ref="CM242">IF(INDEX(Data!$B$4:$L$947,MATCH(Graphs!$CK242,Data!$A$4:$A$947,0),MATCH(Graphs!CM$4,Data!$B$3:$L$3,0))="n.q.",NA(),INDEX(Data!$B$4:$L$947,MATCH(Graphs!$CK242,Data!$A$4:$A$947,0),MATCH(Graphs!CM$4,Data!$B$3:$L$3,0)))</f>
        <v>#ERROR!</v>
      </c>
      <c r="CN242" s="24" t="str">
        <f t="array" ref="CN242">IF(INDEX(Data!$B$4:$L$947,MATCH(Graphs!$CK242,Data!$A$4:$A$947,0),MATCH(Graphs!CN$4,Data!$B$3:$L$3,0))="n.q.",NA(),INDEX(Data!$B$4:$L$947,MATCH(Graphs!$CK242,Data!$A$4:$A$947,0),MATCH(Graphs!CN$4,Data!$B$3:$L$3,0)))</f>
        <v>#ERROR!</v>
      </c>
      <c r="CO242" s="24" t="str">
        <f t="array" ref="CO242">IF(INDEX(Data!$B$4:$L$947,MATCH(Graphs!$CK242,Data!$A$4:$A$947,0),MATCH(Graphs!CO$4,Data!$B$3:$L$3,0))="n.q.",NA(),INDEX(Data!$B$4:$L$947,MATCH(Graphs!$CK242,Data!$A$4:$A$947,0),MATCH(Graphs!CO$4,Data!$B$3:$L$3,0)))</f>
        <v>#ERROR!</v>
      </c>
      <c r="CP242" s="24" t="str">
        <f t="array" ref="CP242">IF(INDEX(Data!$B$4:$L$947,MATCH(Graphs!$CK242,Data!$A$4:$A$947,0),MATCH(Graphs!CP$4,Data!$B$3:$L$3,0))="n.q.",NA(),INDEX(Data!$B$4:$L$947,MATCH(Graphs!$CK242,Data!$A$4:$A$947,0),MATCH(Graphs!CP$4,Data!$B$3:$L$3,0)))</f>
        <v>#ERROR!</v>
      </c>
      <c r="CQ242" s="5"/>
      <c r="CR242" s="24" t="str">
        <f t="array" ref="CR242">IF(INDEX(Data!$P$4:$Z$947,MATCH(Graphs!$CK242,Data!$A$4:$A$947,0),MATCH(Graphs!CR$4,Data!$P$3:$Z$3,0))="n.q.",NA(),INDEX(Data!$P$4:$Z$947,MATCH(Graphs!$CK242,Data!$A$4:$A$947,0),MATCH(Graphs!CR$4,Data!$P$3:$Z$3,0)))</f>
        <v>#ERROR!</v>
      </c>
      <c r="CS242" s="24" t="str">
        <f t="array" ref="CS242">IF(INDEX(Data!$P$4:$Z$947,MATCH(Graphs!$CK242,Data!$A$4:$A$947,0),MATCH(Graphs!CS$4,Data!$P$3:$Z$3,0))="n.q.",NA(),INDEX(Data!$P$4:$Z$947,MATCH(Graphs!$CK242,Data!$A$4:$A$947,0),MATCH(Graphs!CS$4,Data!$P$3:$Z$3,0)))</f>
        <v>#ERROR!</v>
      </c>
      <c r="CT242" s="24" t="str">
        <f t="array" ref="CT242">IF(INDEX(Data!$P$4:$Z$947,MATCH(Graphs!$CK242,Data!$A$4:$A$947,0),MATCH(Graphs!CT$4,Data!$P$3:$Z$3,0))="n.q.",NA(),INDEX(Data!$P$4:$Z$947,MATCH(Graphs!$CK242,Data!$A$4:$A$947,0),MATCH(Graphs!CT$4,Data!$P$3:$Z$3,0)))</f>
        <v>#ERROR!</v>
      </c>
      <c r="CU242" s="24" t="str">
        <f t="array" ref="CU242">IF(INDEX(Data!$P$4:$Z$947,MATCH(Graphs!$CK242,Data!$A$4:$A$947,0),MATCH(Graphs!CU$4,Data!$P$3:$Z$3,0))="n.q.",NA(),INDEX(Data!$P$4:$Z$947,MATCH(Graphs!$CK242,Data!$A$4:$A$947,0),MATCH(Graphs!CU$4,Data!$P$3:$Z$3,0)))</f>
        <v>#ERROR!</v>
      </c>
      <c r="CV242" s="24" t="str">
        <f t="array" ref="CV242">IF(INDEX(Data!$P$4:$Z$947,MATCH(Graphs!$CK242,Data!$A$4:$A$947,0),MATCH(Graphs!CV$4,Data!$P$3:$Z$3,0))="n.q.",NA(),INDEX(Data!$P$4:$Z$947,MATCH(Graphs!$CK242,Data!$A$4:$A$947,0),MATCH(Graphs!CV$4,Data!$P$3:$Z$3,0)))</f>
        <v>#ERROR!</v>
      </c>
    </row>
    <row r="243" ht="14.25" customHeight="1"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5"/>
      <c r="CK243" s="22" t="str">
        <f>Data!#REF!</f>
        <v>#ERROR!</v>
      </c>
      <c r="CL243" s="24" t="str">
        <f t="array" ref="CL243">IF(INDEX(Data!$B$4:$L$947,MATCH(Graphs!$CK243,Data!$A$4:$A$947,0),MATCH(Graphs!CL$4,Data!$B$3:$L$3,0))="n.q.",NA(),INDEX(Data!$B$4:$L$947,MATCH(Graphs!$CK243,Data!$A$4:$A$947,0),MATCH(Graphs!CL$4,Data!$B$3:$L$3,0)))</f>
        <v>#ERROR!</v>
      </c>
      <c r="CM243" s="24" t="str">
        <f t="array" ref="CM243">IF(INDEX(Data!$B$4:$L$947,MATCH(Graphs!$CK243,Data!$A$4:$A$947,0),MATCH(Graphs!CM$4,Data!$B$3:$L$3,0))="n.q.",NA(),INDEX(Data!$B$4:$L$947,MATCH(Graphs!$CK243,Data!$A$4:$A$947,0),MATCH(Graphs!CM$4,Data!$B$3:$L$3,0)))</f>
        <v>#ERROR!</v>
      </c>
      <c r="CN243" s="24" t="str">
        <f t="array" ref="CN243">IF(INDEX(Data!$B$4:$L$947,MATCH(Graphs!$CK243,Data!$A$4:$A$947,0),MATCH(Graphs!CN$4,Data!$B$3:$L$3,0))="n.q.",NA(),INDEX(Data!$B$4:$L$947,MATCH(Graphs!$CK243,Data!$A$4:$A$947,0),MATCH(Graphs!CN$4,Data!$B$3:$L$3,0)))</f>
        <v>#ERROR!</v>
      </c>
      <c r="CO243" s="24" t="str">
        <f t="array" ref="CO243">IF(INDEX(Data!$B$4:$L$947,MATCH(Graphs!$CK243,Data!$A$4:$A$947,0),MATCH(Graphs!CO$4,Data!$B$3:$L$3,0))="n.q.",NA(),INDEX(Data!$B$4:$L$947,MATCH(Graphs!$CK243,Data!$A$4:$A$947,0),MATCH(Graphs!CO$4,Data!$B$3:$L$3,0)))</f>
        <v>#ERROR!</v>
      </c>
      <c r="CP243" s="24" t="str">
        <f t="array" ref="CP243">IF(INDEX(Data!$B$4:$L$947,MATCH(Graphs!$CK243,Data!$A$4:$A$947,0),MATCH(Graphs!CP$4,Data!$B$3:$L$3,0))="n.q.",NA(),INDEX(Data!$B$4:$L$947,MATCH(Graphs!$CK243,Data!$A$4:$A$947,0),MATCH(Graphs!CP$4,Data!$B$3:$L$3,0)))</f>
        <v>#ERROR!</v>
      </c>
      <c r="CQ243" s="5"/>
      <c r="CR243" s="24" t="str">
        <f t="array" ref="CR243">IF(INDEX(Data!$P$4:$Z$947,MATCH(Graphs!$CK243,Data!$A$4:$A$947,0),MATCH(Graphs!CR$4,Data!$P$3:$Z$3,0))="n.q.",NA(),INDEX(Data!$P$4:$Z$947,MATCH(Graphs!$CK243,Data!$A$4:$A$947,0),MATCH(Graphs!CR$4,Data!$P$3:$Z$3,0)))</f>
        <v>#ERROR!</v>
      </c>
      <c r="CS243" s="24" t="str">
        <f t="array" ref="CS243">IF(INDEX(Data!$P$4:$Z$947,MATCH(Graphs!$CK243,Data!$A$4:$A$947,0),MATCH(Graphs!CS$4,Data!$P$3:$Z$3,0))="n.q.",NA(),INDEX(Data!$P$4:$Z$947,MATCH(Graphs!$CK243,Data!$A$4:$A$947,0),MATCH(Graphs!CS$4,Data!$P$3:$Z$3,0)))</f>
        <v>#ERROR!</v>
      </c>
      <c r="CT243" s="24" t="str">
        <f t="array" ref="CT243">IF(INDEX(Data!$P$4:$Z$947,MATCH(Graphs!$CK243,Data!$A$4:$A$947,0),MATCH(Graphs!CT$4,Data!$P$3:$Z$3,0))="n.q.",NA(),INDEX(Data!$P$4:$Z$947,MATCH(Graphs!$CK243,Data!$A$4:$A$947,0),MATCH(Graphs!CT$4,Data!$P$3:$Z$3,0)))</f>
        <v>#ERROR!</v>
      </c>
      <c r="CU243" s="24" t="str">
        <f t="array" ref="CU243">IF(INDEX(Data!$P$4:$Z$947,MATCH(Graphs!$CK243,Data!$A$4:$A$947,0),MATCH(Graphs!CU$4,Data!$P$3:$Z$3,0))="n.q.",NA(),INDEX(Data!$P$4:$Z$947,MATCH(Graphs!$CK243,Data!$A$4:$A$947,0),MATCH(Graphs!CU$4,Data!$P$3:$Z$3,0)))</f>
        <v>#ERROR!</v>
      </c>
      <c r="CV243" s="24" t="str">
        <f t="array" ref="CV243">IF(INDEX(Data!$P$4:$Z$947,MATCH(Graphs!$CK243,Data!$A$4:$A$947,0),MATCH(Graphs!CV$4,Data!$P$3:$Z$3,0))="n.q.",NA(),INDEX(Data!$P$4:$Z$947,MATCH(Graphs!$CK243,Data!$A$4:$A$947,0),MATCH(Graphs!CV$4,Data!$P$3:$Z$3,0)))</f>
        <v>#ERROR!</v>
      </c>
    </row>
    <row r="244" ht="14.25" customHeight="1"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5"/>
      <c r="CK244" s="22">
        <f>Data!A230</f>
        <v>44384</v>
      </c>
      <c r="CL244" s="24">
        <f t="array" ref="CL244">IF(INDEX(Data!$B$4:$L$947,MATCH(Graphs!$CK244,Data!$A$4:$A$947,0),MATCH(Graphs!CL$4,Data!$B$3:$L$3,0))="n.q.",NA(),INDEX(Data!$B$4:$L$947,MATCH(Graphs!$CK244,Data!$A$4:$A$947,0),MATCH(Graphs!CL$4,Data!$B$3:$L$3,0)))</f>
        <v>241.68</v>
      </c>
      <c r="CM244" s="24">
        <f t="array" ref="CM244">IF(INDEX(Data!$B$4:$L$947,MATCH(Graphs!$CK244,Data!$A$4:$A$947,0),MATCH(Graphs!CM$4,Data!$B$3:$L$3,0))="n.q.",NA(),INDEX(Data!$B$4:$L$947,MATCH(Graphs!$CK244,Data!$A$4:$A$947,0),MATCH(Graphs!CM$4,Data!$B$3:$L$3,0)))</f>
        <v>274.11</v>
      </c>
      <c r="CN244" s="24">
        <f t="array" ref="CN244">IF(INDEX(Data!$B$4:$L$947,MATCH(Graphs!$CK244,Data!$A$4:$A$947,0),MATCH(Graphs!CN$4,Data!$B$3:$L$3,0))="n.q.",NA(),INDEX(Data!$B$4:$L$947,MATCH(Graphs!$CK244,Data!$A$4:$A$947,0),MATCH(Graphs!CN$4,Data!$B$3:$L$3,0)))</f>
        <v>220</v>
      </c>
      <c r="CO244" s="24" t="str">
        <f t="array" ref="CO244">IF(INDEX(Data!$B$4:$L$947,MATCH(Graphs!$CK244,Data!$A$4:$A$947,0),MATCH(Graphs!CO$4,Data!$B$3:$L$3,0))="n.q.",NA(),INDEX(Data!$B$4:$L$947,MATCH(Graphs!$CK244,Data!$A$4:$A$947,0),MATCH(Graphs!CO$4,Data!$B$3:$L$3,0)))</f>
        <v>#N/A</v>
      </c>
      <c r="CP244" s="24" t="str">
        <f t="array" ref="CP244">IF(INDEX(Data!$B$4:$L$947,MATCH(Graphs!$CK244,Data!$A$4:$A$947,0),MATCH(Graphs!CP$4,Data!$B$3:$L$3,0))="n.q.",NA(),INDEX(Data!$B$4:$L$947,MATCH(Graphs!$CK244,Data!$A$4:$A$947,0),MATCH(Graphs!CP$4,Data!$B$3:$L$3,0)))</f>
        <v>#N/A</v>
      </c>
      <c r="CQ244" s="5"/>
      <c r="CR244" s="24">
        <f t="array" ref="CR244">IF(INDEX(Data!$P$4:$Z$947,MATCH(Graphs!$CK244,Data!$A$4:$A$947,0),MATCH(Graphs!CR$4,Data!$P$3:$Z$3,0))="n.q.",NA(),INDEX(Data!$P$4:$Z$947,MATCH(Graphs!$CK244,Data!$A$4:$A$947,0),MATCH(Graphs!CR$4,Data!$P$3:$Z$3,0)))</f>
        <v>240.4953089</v>
      </c>
      <c r="CS244" s="24">
        <f t="array" ref="CS244">IF(INDEX(Data!$P$4:$Z$947,MATCH(Graphs!$CK244,Data!$A$4:$A$947,0),MATCH(Graphs!CS$4,Data!$P$3:$Z$3,0))="n.q.",NA(),INDEX(Data!$P$4:$Z$947,MATCH(Graphs!$CK244,Data!$A$4:$A$947,0),MATCH(Graphs!CS$4,Data!$P$3:$Z$3,0)))</f>
        <v>251.16</v>
      </c>
      <c r="CT244" s="24">
        <f t="array" ref="CT244">IF(INDEX(Data!$P$4:$Z$947,MATCH(Graphs!$CK244,Data!$A$4:$A$947,0),MATCH(Graphs!CT$4,Data!$P$3:$Z$3,0))="n.q.",NA(),INDEX(Data!$P$4:$Z$947,MATCH(Graphs!$CK244,Data!$A$4:$A$947,0),MATCH(Graphs!CT$4,Data!$P$3:$Z$3,0)))</f>
        <v>231.5949624</v>
      </c>
      <c r="CU244" s="24" t="str">
        <f t="array" ref="CU244">IF(INDEX(Data!$P$4:$Z$947,MATCH(Graphs!$CK244,Data!$A$4:$A$947,0),MATCH(Graphs!CU$4,Data!$P$3:$Z$3,0))="n.q.",NA(),INDEX(Data!$P$4:$Z$947,MATCH(Graphs!$CK244,Data!$A$4:$A$947,0),MATCH(Graphs!CU$4,Data!$P$3:$Z$3,0)))</f>
        <v>#N/A</v>
      </c>
      <c r="CV244" s="24" t="str">
        <f t="array" ref="CV244">IF(INDEX(Data!$P$4:$Z$947,MATCH(Graphs!$CK244,Data!$A$4:$A$947,0),MATCH(Graphs!CV$4,Data!$P$3:$Z$3,0))="n.q.",NA(),INDEX(Data!$P$4:$Z$947,MATCH(Graphs!$CK244,Data!$A$4:$A$947,0),MATCH(Graphs!CV$4,Data!$P$3:$Z$3,0)))</f>
        <v>#N/A</v>
      </c>
    </row>
    <row r="245" ht="14.25" customHeight="1"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5"/>
      <c r="CK245" s="22">
        <f>Data!A231</f>
        <v>44377</v>
      </c>
      <c r="CL245" s="24">
        <f t="array" ref="CL245">IF(INDEX(Data!$B$4:$L$947,MATCH(Graphs!$CK245,Data!$A$4:$A$947,0),MATCH(Graphs!CL$4,Data!$B$3:$L$3,0))="n.q.",NA(),INDEX(Data!$B$4:$L$947,MATCH(Graphs!$CK245,Data!$A$4:$A$947,0),MATCH(Graphs!CL$4,Data!$B$3:$L$3,0)))</f>
        <v>250.92</v>
      </c>
      <c r="CM245" s="24">
        <f t="array" ref="CM245">IF(INDEX(Data!$B$4:$L$947,MATCH(Graphs!$CK245,Data!$A$4:$A$947,0),MATCH(Graphs!CM$4,Data!$B$3:$L$3,0))="n.q.",NA(),INDEX(Data!$B$4:$L$947,MATCH(Graphs!$CK245,Data!$A$4:$A$947,0),MATCH(Graphs!CM$4,Data!$B$3:$L$3,0)))</f>
        <v>295.88</v>
      </c>
      <c r="CN245" s="24">
        <f t="array" ref="CN245">IF(INDEX(Data!$B$4:$L$947,MATCH(Graphs!$CK245,Data!$A$4:$A$947,0),MATCH(Graphs!CN$4,Data!$B$3:$L$3,0))="n.q.",NA(),INDEX(Data!$B$4:$L$947,MATCH(Graphs!$CK245,Data!$A$4:$A$947,0),MATCH(Graphs!CN$4,Data!$B$3:$L$3,0)))</f>
        <v>235</v>
      </c>
      <c r="CO245" s="24" t="str">
        <f t="array" ref="CO245">IF(INDEX(Data!$B$4:$L$947,MATCH(Graphs!$CK245,Data!$A$4:$A$947,0),MATCH(Graphs!CO$4,Data!$B$3:$L$3,0))="n.q.",NA(),INDEX(Data!$B$4:$L$947,MATCH(Graphs!$CK245,Data!$A$4:$A$947,0),MATCH(Graphs!CO$4,Data!$B$3:$L$3,0)))</f>
        <v>#N/A</v>
      </c>
      <c r="CP245" s="24" t="str">
        <f t="array" ref="CP245">IF(INDEX(Data!$B$4:$L$947,MATCH(Graphs!$CK245,Data!$A$4:$A$947,0),MATCH(Graphs!CP$4,Data!$B$3:$L$3,0))="n.q.",NA(),INDEX(Data!$B$4:$L$947,MATCH(Graphs!$CK245,Data!$A$4:$A$947,0),MATCH(Graphs!CP$4,Data!$B$3:$L$3,0)))</f>
        <v>#N/A</v>
      </c>
      <c r="CQ245" s="5"/>
      <c r="CR245" s="24">
        <f t="array" ref="CR245">IF(INDEX(Data!$P$4:$Z$947,MATCH(Graphs!$CK245,Data!$A$4:$A$947,0),MATCH(Graphs!CR$4,Data!$P$3:$Z$3,0))="n.q.",NA(),INDEX(Data!$P$4:$Z$947,MATCH(Graphs!$CK245,Data!$A$4:$A$947,0),MATCH(Graphs!CR$4,Data!$P$3:$Z$3,0)))</f>
        <v>263.3625042</v>
      </c>
      <c r="CS245" s="24">
        <f t="array" ref="CS245">IF(INDEX(Data!$P$4:$Z$947,MATCH(Graphs!$CK245,Data!$A$4:$A$947,0),MATCH(Graphs!CS$4,Data!$P$3:$Z$3,0))="n.q.",NA(),INDEX(Data!$P$4:$Z$947,MATCH(Graphs!$CK245,Data!$A$4:$A$947,0),MATCH(Graphs!CS$4,Data!$P$3:$Z$3,0)))</f>
        <v>262.23</v>
      </c>
      <c r="CT245" s="24">
        <f t="array" ref="CT245">IF(INDEX(Data!$P$4:$Z$947,MATCH(Graphs!$CK245,Data!$A$4:$A$947,0),MATCH(Graphs!CT$4,Data!$P$3:$Z$3,0))="n.q.",NA(),INDEX(Data!$P$4:$Z$947,MATCH(Graphs!$CK245,Data!$A$4:$A$947,0),MATCH(Graphs!CT$4,Data!$P$3:$Z$3,0)))</f>
        <v>235.6109054</v>
      </c>
      <c r="CU245" s="24" t="str">
        <f t="array" ref="CU245">IF(INDEX(Data!$P$4:$Z$947,MATCH(Graphs!$CK245,Data!$A$4:$A$947,0),MATCH(Graphs!CU$4,Data!$P$3:$Z$3,0))="n.q.",NA(),INDEX(Data!$P$4:$Z$947,MATCH(Graphs!$CK245,Data!$A$4:$A$947,0),MATCH(Graphs!CU$4,Data!$P$3:$Z$3,0)))</f>
        <v>#N/A</v>
      </c>
      <c r="CV245" s="24" t="str">
        <f t="array" ref="CV245">IF(INDEX(Data!$P$4:$Z$947,MATCH(Graphs!$CK245,Data!$A$4:$A$947,0),MATCH(Graphs!CV$4,Data!$P$3:$Z$3,0))="n.q.",NA(),INDEX(Data!$P$4:$Z$947,MATCH(Graphs!$CK245,Data!$A$4:$A$947,0),MATCH(Graphs!CV$4,Data!$P$3:$Z$3,0)))</f>
        <v>#N/A</v>
      </c>
    </row>
    <row r="246" ht="14.25" customHeight="1"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5"/>
      <c r="CK246" s="22">
        <f>Data!A232</f>
        <v>44370</v>
      </c>
      <c r="CL246" s="24">
        <f t="array" ref="CL246">IF(INDEX(Data!$B$4:$L$947,MATCH(Graphs!$CK246,Data!$A$4:$A$947,0),MATCH(Graphs!CL$4,Data!$B$3:$L$3,0))="n.q.",NA(),INDEX(Data!$B$4:$L$947,MATCH(Graphs!$CK246,Data!$A$4:$A$947,0),MATCH(Graphs!CL$4,Data!$B$3:$L$3,0)))</f>
        <v>250.66</v>
      </c>
      <c r="CM246" s="24">
        <f t="array" ref="CM246">IF(INDEX(Data!$B$4:$L$947,MATCH(Graphs!$CK246,Data!$A$4:$A$947,0),MATCH(Graphs!CM$4,Data!$B$3:$L$3,0))="n.q.",NA(),INDEX(Data!$B$4:$L$947,MATCH(Graphs!$CK246,Data!$A$4:$A$947,0),MATCH(Graphs!CM$4,Data!$B$3:$L$3,0)))</f>
        <v>281.82</v>
      </c>
      <c r="CN246" s="24">
        <f t="array" ref="CN246">IF(INDEX(Data!$B$4:$L$947,MATCH(Graphs!$CK246,Data!$A$4:$A$947,0),MATCH(Graphs!CN$4,Data!$B$3:$L$3,0))="n.q.",NA(),INDEX(Data!$B$4:$L$947,MATCH(Graphs!$CK246,Data!$A$4:$A$947,0),MATCH(Graphs!CN$4,Data!$B$3:$L$3,0)))</f>
        <v>239</v>
      </c>
      <c r="CO246" s="24" t="str">
        <f t="array" ref="CO246">IF(INDEX(Data!$B$4:$L$947,MATCH(Graphs!$CK246,Data!$A$4:$A$947,0),MATCH(Graphs!CO$4,Data!$B$3:$L$3,0))="n.q.",NA(),INDEX(Data!$B$4:$L$947,MATCH(Graphs!$CK246,Data!$A$4:$A$947,0),MATCH(Graphs!CO$4,Data!$B$3:$L$3,0)))</f>
        <v>#N/A</v>
      </c>
      <c r="CP246" s="24" t="str">
        <f t="array" ref="CP246">IF(INDEX(Data!$B$4:$L$947,MATCH(Graphs!$CK246,Data!$A$4:$A$947,0),MATCH(Graphs!CP$4,Data!$B$3:$L$3,0))="n.q.",NA(),INDEX(Data!$B$4:$L$947,MATCH(Graphs!$CK246,Data!$A$4:$A$947,0),MATCH(Graphs!CP$4,Data!$B$3:$L$3,0)))</f>
        <v>#N/A</v>
      </c>
      <c r="CQ246" s="5"/>
      <c r="CR246" s="24">
        <f t="array" ref="CR246">IF(INDEX(Data!$P$4:$Z$947,MATCH(Graphs!$CK246,Data!$A$4:$A$947,0),MATCH(Graphs!CR$4,Data!$P$3:$Z$3,0))="n.q.",NA(),INDEX(Data!$P$4:$Z$947,MATCH(Graphs!$CK246,Data!$A$4:$A$947,0),MATCH(Graphs!CR$4,Data!$P$3:$Z$3,0)))</f>
        <v>243.5193708</v>
      </c>
      <c r="CS246" s="24">
        <f t="array" ref="CS246">IF(INDEX(Data!$P$4:$Z$947,MATCH(Graphs!$CK246,Data!$A$4:$A$947,0),MATCH(Graphs!CS$4,Data!$P$3:$Z$3,0))="n.q.",NA(),INDEX(Data!$P$4:$Z$947,MATCH(Graphs!$CK246,Data!$A$4:$A$947,0),MATCH(Graphs!CS$4,Data!$P$3:$Z$3,0)))</f>
        <v>275.23</v>
      </c>
      <c r="CT246" s="24">
        <f t="array" ref="CT246">IF(INDEX(Data!$P$4:$Z$947,MATCH(Graphs!$CK246,Data!$A$4:$A$947,0),MATCH(Graphs!CT$4,Data!$P$3:$Z$3,0))="n.q.",NA(),INDEX(Data!$P$4:$Z$947,MATCH(Graphs!$CK246,Data!$A$4:$A$947,0),MATCH(Graphs!CT$4,Data!$P$3:$Z$3,0)))</f>
        <v>235.9635177</v>
      </c>
      <c r="CU246" s="24" t="str">
        <f t="array" ref="CU246">IF(INDEX(Data!$P$4:$Z$947,MATCH(Graphs!$CK246,Data!$A$4:$A$947,0),MATCH(Graphs!CU$4,Data!$P$3:$Z$3,0))="n.q.",NA(),INDEX(Data!$P$4:$Z$947,MATCH(Graphs!$CK246,Data!$A$4:$A$947,0),MATCH(Graphs!CU$4,Data!$P$3:$Z$3,0)))</f>
        <v>#N/A</v>
      </c>
      <c r="CV246" s="24" t="str">
        <f t="array" ref="CV246">IF(INDEX(Data!$P$4:$Z$947,MATCH(Graphs!$CK246,Data!$A$4:$A$947,0),MATCH(Graphs!CV$4,Data!$P$3:$Z$3,0))="n.q.",NA(),INDEX(Data!$P$4:$Z$947,MATCH(Graphs!$CK246,Data!$A$4:$A$947,0),MATCH(Graphs!CV$4,Data!$P$3:$Z$3,0)))</f>
        <v>#N/A</v>
      </c>
    </row>
    <row r="247" ht="14.25" customHeight="1"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5"/>
      <c r="CK247" s="22">
        <f>Data!A233</f>
        <v>44363</v>
      </c>
      <c r="CL247" s="24">
        <f t="array" ref="CL247">IF(INDEX(Data!$B$4:$L$947,MATCH(Graphs!$CK247,Data!$A$4:$A$947,0),MATCH(Graphs!CL$4,Data!$B$3:$L$3,0))="n.q.",NA(),INDEX(Data!$B$4:$L$947,MATCH(Graphs!$CK247,Data!$A$4:$A$947,0),MATCH(Graphs!CL$4,Data!$B$3:$L$3,0)))</f>
        <v>255.42</v>
      </c>
      <c r="CM247" s="24">
        <f t="array" ref="CM247">IF(INDEX(Data!$B$4:$L$947,MATCH(Graphs!$CK247,Data!$A$4:$A$947,0),MATCH(Graphs!CM$4,Data!$B$3:$L$3,0))="n.q.",NA(),INDEX(Data!$B$4:$L$947,MATCH(Graphs!$CK247,Data!$A$4:$A$947,0),MATCH(Graphs!CM$4,Data!$B$3:$L$3,0)))</f>
        <v>283.2</v>
      </c>
      <c r="CN247" s="24">
        <f t="array" ref="CN247">IF(INDEX(Data!$B$4:$L$947,MATCH(Graphs!$CK247,Data!$A$4:$A$947,0),MATCH(Graphs!CN$4,Data!$B$3:$L$3,0))="n.q.",NA(),INDEX(Data!$B$4:$L$947,MATCH(Graphs!$CK247,Data!$A$4:$A$947,0),MATCH(Graphs!CN$4,Data!$B$3:$L$3,0)))</f>
        <v>248</v>
      </c>
      <c r="CO247" s="24" t="str">
        <f t="array" ref="CO247">IF(INDEX(Data!$B$4:$L$947,MATCH(Graphs!$CK247,Data!$A$4:$A$947,0),MATCH(Graphs!CO$4,Data!$B$3:$L$3,0))="n.q.",NA(),INDEX(Data!$B$4:$L$947,MATCH(Graphs!$CK247,Data!$A$4:$A$947,0),MATCH(Graphs!CO$4,Data!$B$3:$L$3,0)))</f>
        <v>#N/A</v>
      </c>
      <c r="CP247" s="24" t="str">
        <f t="array" ref="CP247">IF(INDEX(Data!$B$4:$L$947,MATCH(Graphs!$CK247,Data!$A$4:$A$947,0),MATCH(Graphs!CP$4,Data!$B$3:$L$3,0))="n.q.",NA(),INDEX(Data!$B$4:$L$947,MATCH(Graphs!$CK247,Data!$A$4:$A$947,0),MATCH(Graphs!CP$4,Data!$B$3:$L$3,0)))</f>
        <v>#N/A</v>
      </c>
      <c r="CQ247" s="5"/>
      <c r="CR247" s="24">
        <f t="array" ref="CR247">IF(INDEX(Data!$P$4:$Z$947,MATCH(Graphs!$CK247,Data!$A$4:$A$947,0),MATCH(Graphs!CR$4,Data!$P$3:$Z$3,0))="n.q.",NA(),INDEX(Data!$P$4:$Z$947,MATCH(Graphs!$CK247,Data!$A$4:$A$947,0),MATCH(Graphs!CR$4,Data!$P$3:$Z$3,0)))</f>
        <v>246.4533157</v>
      </c>
      <c r="CS247" s="24" t="str">
        <f t="array" ref="CS247">IF(INDEX(Data!$P$4:$Z$947,MATCH(Graphs!$CK247,Data!$A$4:$A$947,0),MATCH(Graphs!CS$4,Data!$P$3:$Z$3,0))="n.q.",NA(),INDEX(Data!$P$4:$Z$947,MATCH(Graphs!$CK247,Data!$A$4:$A$947,0),MATCH(Graphs!CS$4,Data!$P$3:$Z$3,0)))</f>
        <v>#N/A</v>
      </c>
      <c r="CT247" s="24">
        <f t="array" ref="CT247">IF(INDEX(Data!$P$4:$Z$947,MATCH(Graphs!$CK247,Data!$A$4:$A$947,0),MATCH(Graphs!CT$4,Data!$P$3:$Z$3,0))="n.q.",NA(),INDEX(Data!$P$4:$Z$947,MATCH(Graphs!$CK247,Data!$A$4:$A$947,0),MATCH(Graphs!CT$4,Data!$P$3:$Z$3,0)))</f>
        <v>238.3701749</v>
      </c>
      <c r="CU247" s="24" t="str">
        <f t="array" ref="CU247">IF(INDEX(Data!$P$4:$Z$947,MATCH(Graphs!$CK247,Data!$A$4:$A$947,0),MATCH(Graphs!CU$4,Data!$P$3:$Z$3,0))="n.q.",NA(),INDEX(Data!$P$4:$Z$947,MATCH(Graphs!$CK247,Data!$A$4:$A$947,0),MATCH(Graphs!CU$4,Data!$P$3:$Z$3,0)))</f>
        <v>#N/A</v>
      </c>
      <c r="CV247" s="24" t="str">
        <f t="array" ref="CV247">IF(INDEX(Data!$P$4:$Z$947,MATCH(Graphs!$CK247,Data!$A$4:$A$947,0),MATCH(Graphs!CV$4,Data!$P$3:$Z$3,0))="n.q.",NA(),INDEX(Data!$P$4:$Z$947,MATCH(Graphs!$CK247,Data!$A$4:$A$947,0),MATCH(Graphs!CV$4,Data!$P$3:$Z$3,0)))</f>
        <v>#N/A</v>
      </c>
    </row>
    <row r="248" ht="14.25" customHeight="1"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5"/>
      <c r="CK248" s="22">
        <f>Data!A234</f>
        <v>44356</v>
      </c>
      <c r="CL248" s="24">
        <f t="array" ref="CL248">IF(INDEX(Data!$B$4:$L$947,MATCH(Graphs!$CK248,Data!$A$4:$A$947,0),MATCH(Graphs!CL$4,Data!$B$3:$L$3,0))="n.q.",NA(),INDEX(Data!$B$4:$L$947,MATCH(Graphs!$CK248,Data!$A$4:$A$947,0),MATCH(Graphs!CL$4,Data!$B$3:$L$3,0)))</f>
        <v>286.31</v>
      </c>
      <c r="CM248" s="24">
        <f t="array" ref="CM248">IF(INDEX(Data!$B$4:$L$947,MATCH(Graphs!$CK248,Data!$A$4:$A$947,0),MATCH(Graphs!CM$4,Data!$B$3:$L$3,0))="n.q.",NA(),INDEX(Data!$B$4:$L$947,MATCH(Graphs!$CK248,Data!$A$4:$A$947,0),MATCH(Graphs!CM$4,Data!$B$3:$L$3,0)))</f>
        <v>292.39</v>
      </c>
      <c r="CN248" s="24">
        <f t="array" ref="CN248">IF(INDEX(Data!$B$4:$L$947,MATCH(Graphs!$CK248,Data!$A$4:$A$947,0),MATCH(Graphs!CN$4,Data!$B$3:$L$3,0))="n.q.",NA(),INDEX(Data!$B$4:$L$947,MATCH(Graphs!$CK248,Data!$A$4:$A$947,0),MATCH(Graphs!CN$4,Data!$B$3:$L$3,0)))</f>
        <v>260</v>
      </c>
      <c r="CO248" s="24" t="str">
        <f t="array" ref="CO248">IF(INDEX(Data!$B$4:$L$947,MATCH(Graphs!$CK248,Data!$A$4:$A$947,0),MATCH(Graphs!CO$4,Data!$B$3:$L$3,0))="n.q.",NA(),INDEX(Data!$B$4:$L$947,MATCH(Graphs!$CK248,Data!$A$4:$A$947,0),MATCH(Graphs!CO$4,Data!$B$3:$L$3,0)))</f>
        <v>#N/A</v>
      </c>
      <c r="CP248" s="24" t="str">
        <f t="array" ref="CP248">IF(INDEX(Data!$B$4:$L$947,MATCH(Graphs!$CK248,Data!$A$4:$A$947,0),MATCH(Graphs!CP$4,Data!$B$3:$L$3,0))="n.q.",NA(),INDEX(Data!$B$4:$L$947,MATCH(Graphs!$CK248,Data!$A$4:$A$947,0),MATCH(Graphs!CP$4,Data!$B$3:$L$3,0)))</f>
        <v>#N/A</v>
      </c>
      <c r="CQ248" s="5"/>
      <c r="CR248" s="24">
        <f t="array" ref="CR248">IF(INDEX(Data!$P$4:$Z$947,MATCH(Graphs!$CK248,Data!$A$4:$A$947,0),MATCH(Graphs!CR$4,Data!$P$3:$Z$3,0))="n.q.",NA(),INDEX(Data!$P$4:$Z$947,MATCH(Graphs!$CK248,Data!$A$4:$A$947,0),MATCH(Graphs!CR$4,Data!$P$3:$Z$3,0)))</f>
        <v>254.300943</v>
      </c>
      <c r="CS248" s="24" t="str">
        <f t="array" ref="CS248">IF(INDEX(Data!$P$4:$Z$947,MATCH(Graphs!$CK248,Data!$A$4:$A$947,0),MATCH(Graphs!CS$4,Data!$P$3:$Z$3,0))="n.q.",NA(),INDEX(Data!$P$4:$Z$947,MATCH(Graphs!$CK248,Data!$A$4:$A$947,0),MATCH(Graphs!CS$4,Data!$P$3:$Z$3,0)))</f>
        <v>#N/A</v>
      </c>
      <c r="CT248" s="24">
        <f t="array" ref="CT248">IF(INDEX(Data!$P$4:$Z$947,MATCH(Graphs!$CK248,Data!$A$4:$A$947,0),MATCH(Graphs!CT$4,Data!$P$3:$Z$3,0))="n.q.",NA(),INDEX(Data!$P$4:$Z$947,MATCH(Graphs!$CK248,Data!$A$4:$A$947,0),MATCH(Graphs!CT$4,Data!$P$3:$Z$3,0)))</f>
        <v>244.3624436</v>
      </c>
      <c r="CU248" s="24" t="str">
        <f t="array" ref="CU248">IF(INDEX(Data!$P$4:$Z$947,MATCH(Graphs!$CK248,Data!$A$4:$A$947,0),MATCH(Graphs!CU$4,Data!$P$3:$Z$3,0))="n.q.",NA(),INDEX(Data!$P$4:$Z$947,MATCH(Graphs!$CK248,Data!$A$4:$A$947,0),MATCH(Graphs!CU$4,Data!$P$3:$Z$3,0)))</f>
        <v>#N/A</v>
      </c>
      <c r="CV248" s="24" t="str">
        <f t="array" ref="CV248">IF(INDEX(Data!$P$4:$Z$947,MATCH(Graphs!$CK248,Data!$A$4:$A$947,0),MATCH(Graphs!CV$4,Data!$P$3:$Z$3,0))="n.q.",NA(),INDEX(Data!$P$4:$Z$947,MATCH(Graphs!$CK248,Data!$A$4:$A$947,0),MATCH(Graphs!CV$4,Data!$P$3:$Z$3,0)))</f>
        <v>#N/A</v>
      </c>
    </row>
    <row r="249" ht="14.25" customHeight="1"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5"/>
      <c r="CK249" s="22">
        <f>Data!A235</f>
        <v>44349</v>
      </c>
      <c r="CL249" s="24">
        <f t="array" ref="CL249">IF(INDEX(Data!$B$4:$L$947,MATCH(Graphs!$CK249,Data!$A$4:$A$947,0),MATCH(Graphs!CL$4,Data!$B$3:$L$3,0))="n.q.",NA(),INDEX(Data!$B$4:$L$947,MATCH(Graphs!$CK249,Data!$A$4:$A$947,0),MATCH(Graphs!CL$4,Data!$B$3:$L$3,0)))</f>
        <v>291.89</v>
      </c>
      <c r="CM249" s="24">
        <f t="array" ref="CM249">IF(INDEX(Data!$B$4:$L$947,MATCH(Graphs!$CK249,Data!$A$4:$A$947,0),MATCH(Graphs!CM$4,Data!$B$3:$L$3,0))="n.q.",NA(),INDEX(Data!$B$4:$L$947,MATCH(Graphs!$CK249,Data!$A$4:$A$947,0),MATCH(Graphs!CM$4,Data!$B$3:$L$3,0)))</f>
        <v>287.98</v>
      </c>
      <c r="CN249" s="24">
        <f t="array" ref="CN249">IF(INDEX(Data!$B$4:$L$947,MATCH(Graphs!$CK249,Data!$A$4:$A$947,0),MATCH(Graphs!CN$4,Data!$B$3:$L$3,0))="n.q.",NA(),INDEX(Data!$B$4:$L$947,MATCH(Graphs!$CK249,Data!$A$4:$A$947,0),MATCH(Graphs!CN$4,Data!$B$3:$L$3,0)))</f>
        <v>263</v>
      </c>
      <c r="CO249" s="24" t="str">
        <f t="array" ref="CO249">IF(INDEX(Data!$B$4:$L$947,MATCH(Graphs!$CK249,Data!$A$4:$A$947,0),MATCH(Graphs!CO$4,Data!$B$3:$L$3,0))="n.q.",NA(),INDEX(Data!$B$4:$L$947,MATCH(Graphs!$CK249,Data!$A$4:$A$947,0),MATCH(Graphs!CO$4,Data!$B$3:$L$3,0)))</f>
        <v>#N/A</v>
      </c>
      <c r="CP249" s="24" t="str">
        <f t="array" ref="CP249">IF(INDEX(Data!$B$4:$L$947,MATCH(Graphs!$CK249,Data!$A$4:$A$947,0),MATCH(Graphs!CP$4,Data!$B$3:$L$3,0))="n.q.",NA(),INDEX(Data!$B$4:$L$947,MATCH(Graphs!$CK249,Data!$A$4:$A$947,0),MATCH(Graphs!CP$4,Data!$B$3:$L$3,0)))</f>
        <v>#N/A</v>
      </c>
      <c r="CQ249" s="5"/>
      <c r="CR249" s="24">
        <f t="array" ref="CR249">IF(INDEX(Data!$P$4:$Z$947,MATCH(Graphs!$CK249,Data!$A$4:$A$947,0),MATCH(Graphs!CR$4,Data!$P$3:$Z$3,0))="n.q.",NA(),INDEX(Data!$P$4:$Z$947,MATCH(Graphs!$CK249,Data!$A$4:$A$947,0),MATCH(Graphs!CR$4,Data!$P$3:$Z$3,0)))</f>
        <v>253.6024947</v>
      </c>
      <c r="CS249" s="24" t="str">
        <f t="array" ref="CS249">IF(INDEX(Data!$P$4:$Z$947,MATCH(Graphs!$CK249,Data!$A$4:$A$947,0),MATCH(Graphs!CS$4,Data!$P$3:$Z$3,0))="n.q.",NA(),INDEX(Data!$P$4:$Z$947,MATCH(Graphs!$CK249,Data!$A$4:$A$947,0),MATCH(Graphs!CS$4,Data!$P$3:$Z$3,0)))</f>
        <v>#N/A</v>
      </c>
      <c r="CT249" s="24">
        <f t="array" ref="CT249">IF(INDEX(Data!$P$4:$Z$947,MATCH(Graphs!$CK249,Data!$A$4:$A$947,0),MATCH(Graphs!CT$4,Data!$P$3:$Z$3,0))="n.q.",NA(),INDEX(Data!$P$4:$Z$947,MATCH(Graphs!$CK249,Data!$A$4:$A$947,0),MATCH(Graphs!CT$4,Data!$P$3:$Z$3,0)))</f>
        <v>243.7223043</v>
      </c>
      <c r="CU249" s="24" t="str">
        <f t="array" ref="CU249">IF(INDEX(Data!$P$4:$Z$947,MATCH(Graphs!$CK249,Data!$A$4:$A$947,0),MATCH(Graphs!CU$4,Data!$P$3:$Z$3,0))="n.q.",NA(),INDEX(Data!$P$4:$Z$947,MATCH(Graphs!$CK249,Data!$A$4:$A$947,0),MATCH(Graphs!CU$4,Data!$P$3:$Z$3,0)))</f>
        <v>#N/A</v>
      </c>
      <c r="CV249" s="24" t="str">
        <f t="array" ref="CV249">IF(INDEX(Data!$P$4:$Z$947,MATCH(Graphs!$CK249,Data!$A$4:$A$947,0),MATCH(Graphs!CV$4,Data!$P$3:$Z$3,0))="n.q.",NA(),INDEX(Data!$P$4:$Z$947,MATCH(Graphs!$CK249,Data!$A$4:$A$947,0),MATCH(Graphs!CV$4,Data!$P$3:$Z$3,0)))</f>
        <v>#N/A</v>
      </c>
    </row>
    <row r="250" ht="14.25" customHeight="1"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5"/>
      <c r="CK250" s="22">
        <f>Data!A236</f>
        <v>44342</v>
      </c>
      <c r="CL250" s="24">
        <f t="array" ref="CL250">IF(INDEX(Data!$B$4:$L$947,MATCH(Graphs!$CK250,Data!$A$4:$A$947,0),MATCH(Graphs!CL$4,Data!$B$3:$L$3,0))="n.q.",NA(),INDEX(Data!$B$4:$L$947,MATCH(Graphs!$CK250,Data!$A$4:$A$947,0),MATCH(Graphs!CL$4,Data!$B$3:$L$3,0)))</f>
        <v>279.53</v>
      </c>
      <c r="CM250" s="24">
        <f t="array" ref="CM250">IF(INDEX(Data!$B$4:$L$947,MATCH(Graphs!$CK250,Data!$A$4:$A$947,0),MATCH(Graphs!CM$4,Data!$B$3:$L$3,0))="n.q.",NA(),INDEX(Data!$B$4:$L$947,MATCH(Graphs!$CK250,Data!$A$4:$A$947,0),MATCH(Graphs!CM$4,Data!$B$3:$L$3,0)))</f>
        <v>275.12</v>
      </c>
      <c r="CN250" s="24">
        <f t="array" ref="CN250">IF(INDEX(Data!$B$4:$L$947,MATCH(Graphs!$CK250,Data!$A$4:$A$947,0),MATCH(Graphs!CN$4,Data!$B$3:$L$3,0))="n.q.",NA(),INDEX(Data!$B$4:$L$947,MATCH(Graphs!$CK250,Data!$A$4:$A$947,0),MATCH(Graphs!CN$4,Data!$B$3:$L$3,0)))</f>
        <v>261</v>
      </c>
      <c r="CO250" s="24" t="str">
        <f t="array" ref="CO250">IF(INDEX(Data!$B$4:$L$947,MATCH(Graphs!$CK250,Data!$A$4:$A$947,0),MATCH(Graphs!CO$4,Data!$B$3:$L$3,0))="n.q.",NA(),INDEX(Data!$B$4:$L$947,MATCH(Graphs!$CK250,Data!$A$4:$A$947,0),MATCH(Graphs!CO$4,Data!$B$3:$L$3,0)))</f>
        <v>#N/A</v>
      </c>
      <c r="CP250" s="24" t="str">
        <f t="array" ref="CP250">IF(INDEX(Data!$B$4:$L$947,MATCH(Graphs!$CK250,Data!$A$4:$A$947,0),MATCH(Graphs!CP$4,Data!$B$3:$L$3,0))="n.q.",NA(),INDEX(Data!$B$4:$L$947,MATCH(Graphs!$CK250,Data!$A$4:$A$947,0),MATCH(Graphs!CP$4,Data!$B$3:$L$3,0)))</f>
        <v>#N/A</v>
      </c>
      <c r="CQ250" s="5"/>
      <c r="CR250" s="24">
        <f t="array" ref="CR250">IF(INDEX(Data!$P$4:$Z$947,MATCH(Graphs!$CK250,Data!$A$4:$A$947,0),MATCH(Graphs!CR$4,Data!$P$3:$Z$3,0))="n.q.",NA(),INDEX(Data!$P$4:$Z$947,MATCH(Graphs!$CK250,Data!$A$4:$A$947,0),MATCH(Graphs!CR$4,Data!$P$3:$Z$3,0)))</f>
        <v>238.7112601</v>
      </c>
      <c r="CS250" s="24" t="str">
        <f t="array" ref="CS250">IF(INDEX(Data!$P$4:$Z$947,MATCH(Graphs!$CK250,Data!$A$4:$A$947,0),MATCH(Graphs!CS$4,Data!$P$3:$Z$3,0))="n.q.",NA(),INDEX(Data!$P$4:$Z$947,MATCH(Graphs!$CK250,Data!$A$4:$A$947,0),MATCH(Graphs!CS$4,Data!$P$3:$Z$3,0)))</f>
        <v>#N/A</v>
      </c>
      <c r="CT250" s="24">
        <f t="array" ref="CT250">IF(INDEX(Data!$P$4:$Z$947,MATCH(Graphs!$CK250,Data!$A$4:$A$947,0),MATCH(Graphs!CT$4,Data!$P$3:$Z$3,0))="n.q.",NA(),INDEX(Data!$P$4:$Z$947,MATCH(Graphs!$CK250,Data!$A$4:$A$947,0),MATCH(Graphs!CT$4,Data!$P$3:$Z$3,0)))</f>
        <v>237.1412217</v>
      </c>
      <c r="CU250" s="24" t="str">
        <f t="array" ref="CU250">IF(INDEX(Data!$P$4:$Z$947,MATCH(Graphs!$CK250,Data!$A$4:$A$947,0),MATCH(Graphs!CU$4,Data!$P$3:$Z$3,0))="n.q.",NA(),INDEX(Data!$P$4:$Z$947,MATCH(Graphs!$CK250,Data!$A$4:$A$947,0),MATCH(Graphs!CU$4,Data!$P$3:$Z$3,0)))</f>
        <v>#N/A</v>
      </c>
      <c r="CV250" s="24" t="str">
        <f t="array" ref="CV250">IF(INDEX(Data!$P$4:$Z$947,MATCH(Graphs!$CK250,Data!$A$4:$A$947,0),MATCH(Graphs!CV$4,Data!$P$3:$Z$3,0))="n.q.",NA(),INDEX(Data!$P$4:$Z$947,MATCH(Graphs!$CK250,Data!$A$4:$A$947,0),MATCH(Graphs!CV$4,Data!$P$3:$Z$3,0)))</f>
        <v>#N/A</v>
      </c>
    </row>
    <row r="251" ht="14.25" customHeight="1"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5"/>
      <c r="CK251" s="22" t="str">
        <f>Data!#REF!</f>
        <v>#ERROR!</v>
      </c>
      <c r="CL251" s="24" t="str">
        <f t="array" ref="CL251">IF(INDEX(Data!$B$4:$L$947,MATCH(Graphs!$CK251,Data!$A$4:$A$947,0),MATCH(Graphs!CL$4,Data!$B$3:$L$3,0))="n.q.",NA(),INDEX(Data!$B$4:$L$947,MATCH(Graphs!$CK251,Data!$A$4:$A$947,0),MATCH(Graphs!CL$4,Data!$B$3:$L$3,0)))</f>
        <v>#ERROR!</v>
      </c>
      <c r="CM251" s="24" t="str">
        <f t="array" ref="CM251">IF(INDEX(Data!$B$4:$L$947,MATCH(Graphs!$CK251,Data!$A$4:$A$947,0),MATCH(Graphs!CM$4,Data!$B$3:$L$3,0))="n.q.",NA(),INDEX(Data!$B$4:$L$947,MATCH(Graphs!$CK251,Data!$A$4:$A$947,0),MATCH(Graphs!CM$4,Data!$B$3:$L$3,0)))</f>
        <v>#ERROR!</v>
      </c>
      <c r="CN251" s="24" t="str">
        <f t="array" ref="CN251">IF(INDEX(Data!$B$4:$L$947,MATCH(Graphs!$CK251,Data!$A$4:$A$947,0),MATCH(Graphs!CN$4,Data!$B$3:$L$3,0))="n.q.",NA(),INDEX(Data!$B$4:$L$947,MATCH(Graphs!$CK251,Data!$A$4:$A$947,0),MATCH(Graphs!CN$4,Data!$B$3:$L$3,0)))</f>
        <v>#ERROR!</v>
      </c>
      <c r="CO251" s="24" t="str">
        <f t="array" ref="CO251">IF(INDEX(Data!$B$4:$L$947,MATCH(Graphs!$CK251,Data!$A$4:$A$947,0),MATCH(Graphs!CO$4,Data!$B$3:$L$3,0))="n.q.",NA(),INDEX(Data!$B$4:$L$947,MATCH(Graphs!$CK251,Data!$A$4:$A$947,0),MATCH(Graphs!CO$4,Data!$B$3:$L$3,0)))</f>
        <v>#ERROR!</v>
      </c>
      <c r="CP251" s="24" t="str">
        <f t="array" ref="CP251">IF(INDEX(Data!$B$4:$L$947,MATCH(Graphs!$CK251,Data!$A$4:$A$947,0),MATCH(Graphs!CP$4,Data!$B$3:$L$3,0))="n.q.",NA(),INDEX(Data!$B$4:$L$947,MATCH(Graphs!$CK251,Data!$A$4:$A$947,0),MATCH(Graphs!CP$4,Data!$B$3:$L$3,0)))</f>
        <v>#ERROR!</v>
      </c>
      <c r="CQ251" s="5"/>
      <c r="CR251" s="24" t="str">
        <f t="array" ref="CR251">IF(INDEX(Data!$P$4:$Z$947,MATCH(Graphs!$CK251,Data!$A$4:$A$947,0),MATCH(Graphs!CR$4,Data!$P$3:$Z$3,0))="n.q.",NA(),INDEX(Data!$P$4:$Z$947,MATCH(Graphs!$CK251,Data!$A$4:$A$947,0),MATCH(Graphs!CR$4,Data!$P$3:$Z$3,0)))</f>
        <v>#ERROR!</v>
      </c>
      <c r="CS251" s="24" t="str">
        <f t="array" ref="CS251">IF(INDEX(Data!$P$4:$Z$947,MATCH(Graphs!$CK251,Data!$A$4:$A$947,0),MATCH(Graphs!CS$4,Data!$P$3:$Z$3,0))="n.q.",NA(),INDEX(Data!$P$4:$Z$947,MATCH(Graphs!$CK251,Data!$A$4:$A$947,0),MATCH(Graphs!CS$4,Data!$P$3:$Z$3,0)))</f>
        <v>#ERROR!</v>
      </c>
      <c r="CT251" s="24" t="str">
        <f t="array" ref="CT251">IF(INDEX(Data!$P$4:$Z$947,MATCH(Graphs!$CK251,Data!$A$4:$A$947,0),MATCH(Graphs!CT$4,Data!$P$3:$Z$3,0))="n.q.",NA(),INDEX(Data!$P$4:$Z$947,MATCH(Graphs!$CK251,Data!$A$4:$A$947,0),MATCH(Graphs!CT$4,Data!$P$3:$Z$3,0)))</f>
        <v>#ERROR!</v>
      </c>
      <c r="CU251" s="24" t="str">
        <f t="array" ref="CU251">IF(INDEX(Data!$P$4:$Z$947,MATCH(Graphs!$CK251,Data!$A$4:$A$947,0),MATCH(Graphs!CU$4,Data!$P$3:$Z$3,0))="n.q.",NA(),INDEX(Data!$P$4:$Z$947,MATCH(Graphs!$CK251,Data!$A$4:$A$947,0),MATCH(Graphs!CU$4,Data!$P$3:$Z$3,0)))</f>
        <v>#ERROR!</v>
      </c>
      <c r="CV251" s="24" t="str">
        <f t="array" ref="CV251">IF(INDEX(Data!$P$4:$Z$947,MATCH(Graphs!$CK251,Data!$A$4:$A$947,0),MATCH(Graphs!CV$4,Data!$P$3:$Z$3,0))="n.q.",NA(),INDEX(Data!$P$4:$Z$947,MATCH(Graphs!$CK251,Data!$A$4:$A$947,0),MATCH(Graphs!CV$4,Data!$P$3:$Z$3,0)))</f>
        <v>#ERROR!</v>
      </c>
    </row>
    <row r="252" ht="14.25" customHeight="1"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5"/>
      <c r="CK252" s="22" t="str">
        <f>Data!#REF!</f>
        <v>#ERROR!</v>
      </c>
      <c r="CL252" s="24" t="str">
        <f t="array" ref="CL252">IF(INDEX(Data!$B$4:$L$947,MATCH(Graphs!$CK252,Data!$A$4:$A$947,0),MATCH(Graphs!CL$4,Data!$B$3:$L$3,0))="n.q.",NA(),INDEX(Data!$B$4:$L$947,MATCH(Graphs!$CK252,Data!$A$4:$A$947,0),MATCH(Graphs!CL$4,Data!$B$3:$L$3,0)))</f>
        <v>#ERROR!</v>
      </c>
      <c r="CM252" s="24" t="str">
        <f t="array" ref="CM252">IF(INDEX(Data!$B$4:$L$947,MATCH(Graphs!$CK252,Data!$A$4:$A$947,0),MATCH(Graphs!CM$4,Data!$B$3:$L$3,0))="n.q.",NA(),INDEX(Data!$B$4:$L$947,MATCH(Graphs!$CK252,Data!$A$4:$A$947,0),MATCH(Graphs!CM$4,Data!$B$3:$L$3,0)))</f>
        <v>#ERROR!</v>
      </c>
      <c r="CN252" s="24" t="str">
        <f t="array" ref="CN252">IF(INDEX(Data!$B$4:$L$947,MATCH(Graphs!$CK252,Data!$A$4:$A$947,0),MATCH(Graphs!CN$4,Data!$B$3:$L$3,0))="n.q.",NA(),INDEX(Data!$B$4:$L$947,MATCH(Graphs!$CK252,Data!$A$4:$A$947,0),MATCH(Graphs!CN$4,Data!$B$3:$L$3,0)))</f>
        <v>#ERROR!</v>
      </c>
      <c r="CO252" s="24" t="str">
        <f t="array" ref="CO252">IF(INDEX(Data!$B$4:$L$947,MATCH(Graphs!$CK252,Data!$A$4:$A$947,0),MATCH(Graphs!CO$4,Data!$B$3:$L$3,0))="n.q.",NA(),INDEX(Data!$B$4:$L$947,MATCH(Graphs!$CK252,Data!$A$4:$A$947,0),MATCH(Graphs!CO$4,Data!$B$3:$L$3,0)))</f>
        <v>#ERROR!</v>
      </c>
      <c r="CP252" s="24" t="str">
        <f t="array" ref="CP252">IF(INDEX(Data!$B$4:$L$947,MATCH(Graphs!$CK252,Data!$A$4:$A$947,0),MATCH(Graphs!CP$4,Data!$B$3:$L$3,0))="n.q.",NA(),INDEX(Data!$B$4:$L$947,MATCH(Graphs!$CK252,Data!$A$4:$A$947,0),MATCH(Graphs!CP$4,Data!$B$3:$L$3,0)))</f>
        <v>#ERROR!</v>
      </c>
      <c r="CQ252" s="5"/>
      <c r="CR252" s="24" t="str">
        <f t="array" ref="CR252">IF(INDEX(Data!$P$4:$Z$947,MATCH(Graphs!$CK252,Data!$A$4:$A$947,0),MATCH(Graphs!CR$4,Data!$P$3:$Z$3,0))="n.q.",NA(),INDEX(Data!$P$4:$Z$947,MATCH(Graphs!$CK252,Data!$A$4:$A$947,0),MATCH(Graphs!CR$4,Data!$P$3:$Z$3,0)))</f>
        <v>#ERROR!</v>
      </c>
      <c r="CS252" s="24" t="str">
        <f t="array" ref="CS252">IF(INDEX(Data!$P$4:$Z$947,MATCH(Graphs!$CK252,Data!$A$4:$A$947,0),MATCH(Graphs!CS$4,Data!$P$3:$Z$3,0))="n.q.",NA(),INDEX(Data!$P$4:$Z$947,MATCH(Graphs!$CK252,Data!$A$4:$A$947,0),MATCH(Graphs!CS$4,Data!$P$3:$Z$3,0)))</f>
        <v>#ERROR!</v>
      </c>
      <c r="CT252" s="24" t="str">
        <f t="array" ref="CT252">IF(INDEX(Data!$P$4:$Z$947,MATCH(Graphs!$CK252,Data!$A$4:$A$947,0),MATCH(Graphs!CT$4,Data!$P$3:$Z$3,0))="n.q.",NA(),INDEX(Data!$P$4:$Z$947,MATCH(Graphs!$CK252,Data!$A$4:$A$947,0),MATCH(Graphs!CT$4,Data!$P$3:$Z$3,0)))</f>
        <v>#ERROR!</v>
      </c>
      <c r="CU252" s="24" t="str">
        <f t="array" ref="CU252">IF(INDEX(Data!$P$4:$Z$947,MATCH(Graphs!$CK252,Data!$A$4:$A$947,0),MATCH(Graphs!CU$4,Data!$P$3:$Z$3,0))="n.q.",NA(),INDEX(Data!$P$4:$Z$947,MATCH(Graphs!$CK252,Data!$A$4:$A$947,0),MATCH(Graphs!CU$4,Data!$P$3:$Z$3,0)))</f>
        <v>#ERROR!</v>
      </c>
      <c r="CV252" s="24" t="str">
        <f t="array" ref="CV252">IF(INDEX(Data!$P$4:$Z$947,MATCH(Graphs!$CK252,Data!$A$4:$A$947,0),MATCH(Graphs!CV$4,Data!$P$3:$Z$3,0))="n.q.",NA(),INDEX(Data!$P$4:$Z$947,MATCH(Graphs!$CK252,Data!$A$4:$A$947,0),MATCH(Graphs!CV$4,Data!$P$3:$Z$3,0)))</f>
        <v>#ERROR!</v>
      </c>
    </row>
    <row r="253" ht="14.25" customHeight="1"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5"/>
      <c r="CK253" s="22">
        <f>Data!A237</f>
        <v>44335</v>
      </c>
      <c r="CL253" s="24">
        <f t="array" ref="CL253">IF(INDEX(Data!$B$4:$L$947,MATCH(Graphs!$CK253,Data!$A$4:$A$947,0),MATCH(Graphs!CL$4,Data!$B$3:$L$3,0))="n.q.",NA(),INDEX(Data!$B$4:$L$947,MATCH(Graphs!$CK253,Data!$A$4:$A$947,0),MATCH(Graphs!CL$4,Data!$B$3:$L$3,0)))</f>
        <v>300.6</v>
      </c>
      <c r="CM253" s="24">
        <f t="array" ref="CM253">IF(INDEX(Data!$B$4:$L$947,MATCH(Graphs!$CK253,Data!$A$4:$A$947,0),MATCH(Graphs!CM$4,Data!$B$3:$L$3,0))="n.q.",NA(),INDEX(Data!$B$4:$L$947,MATCH(Graphs!$CK253,Data!$A$4:$A$947,0),MATCH(Graphs!CM$4,Data!$B$3:$L$3,0)))</f>
        <v>287.98</v>
      </c>
      <c r="CN253" s="24">
        <f t="array" ref="CN253">IF(INDEX(Data!$B$4:$L$947,MATCH(Graphs!$CK253,Data!$A$4:$A$947,0),MATCH(Graphs!CN$4,Data!$B$3:$L$3,0))="n.q.",NA(),INDEX(Data!$B$4:$L$947,MATCH(Graphs!$CK253,Data!$A$4:$A$947,0),MATCH(Graphs!CN$4,Data!$B$3:$L$3,0)))</f>
        <v>267</v>
      </c>
      <c r="CO253" s="24" t="str">
        <f t="array" ref="CO253">IF(INDEX(Data!$B$4:$L$947,MATCH(Graphs!$CK253,Data!$A$4:$A$947,0),MATCH(Graphs!CO$4,Data!$B$3:$L$3,0))="n.q.",NA(),INDEX(Data!$B$4:$L$947,MATCH(Graphs!$CK253,Data!$A$4:$A$947,0),MATCH(Graphs!CO$4,Data!$B$3:$L$3,0)))</f>
        <v>#N/A</v>
      </c>
      <c r="CP253" s="24" t="str">
        <f t="array" ref="CP253">IF(INDEX(Data!$B$4:$L$947,MATCH(Graphs!$CK253,Data!$A$4:$A$947,0),MATCH(Graphs!CP$4,Data!$B$3:$L$3,0))="n.q.",NA(),INDEX(Data!$B$4:$L$947,MATCH(Graphs!$CK253,Data!$A$4:$A$947,0),MATCH(Graphs!CP$4,Data!$B$3:$L$3,0)))</f>
        <v>#N/A</v>
      </c>
      <c r="CQ253" s="5"/>
      <c r="CR253" s="24">
        <f t="array" ref="CR253">IF(INDEX(Data!$P$4:$Z$947,MATCH(Graphs!$CK253,Data!$A$4:$A$947,0),MATCH(Graphs!CR$4,Data!$P$3:$Z$3,0))="n.q.",NA(),INDEX(Data!$P$4:$Z$947,MATCH(Graphs!$CK253,Data!$A$4:$A$947,0),MATCH(Graphs!CR$4,Data!$P$3:$Z$3,0)))</f>
        <v>248.9518506</v>
      </c>
      <c r="CS253" s="24">
        <f t="array" ref="CS253">IF(INDEX(Data!$P$4:$Z$947,MATCH(Graphs!$CK253,Data!$A$4:$A$947,0),MATCH(Graphs!CS$4,Data!$P$3:$Z$3,0))="n.q.",NA(),INDEX(Data!$P$4:$Z$947,MATCH(Graphs!$CK253,Data!$A$4:$A$947,0),MATCH(Graphs!CS$4,Data!$P$3:$Z$3,0)))</f>
        <v>267.8</v>
      </c>
      <c r="CT253" s="24">
        <f t="array" ref="CT253">IF(INDEX(Data!$P$4:$Z$947,MATCH(Graphs!$CK253,Data!$A$4:$A$947,0),MATCH(Graphs!CT$4,Data!$P$3:$Z$3,0))="n.q.",NA(),INDEX(Data!$P$4:$Z$947,MATCH(Graphs!$CK253,Data!$A$4:$A$947,0),MATCH(Graphs!CT$4,Data!$P$3:$Z$3,0)))</f>
        <v>241.5656731</v>
      </c>
      <c r="CU253" s="24" t="str">
        <f t="array" ref="CU253">IF(INDEX(Data!$P$4:$Z$947,MATCH(Graphs!$CK253,Data!$A$4:$A$947,0),MATCH(Graphs!CU$4,Data!$P$3:$Z$3,0))="n.q.",NA(),INDEX(Data!$P$4:$Z$947,MATCH(Graphs!$CK253,Data!$A$4:$A$947,0),MATCH(Graphs!CU$4,Data!$P$3:$Z$3,0)))</f>
        <v>#N/A</v>
      </c>
      <c r="CV253" s="24" t="str">
        <f t="array" ref="CV253">IF(INDEX(Data!$P$4:$Z$947,MATCH(Graphs!$CK253,Data!$A$4:$A$947,0),MATCH(Graphs!CV$4,Data!$P$3:$Z$3,0))="n.q.",NA(),INDEX(Data!$P$4:$Z$947,MATCH(Graphs!$CK253,Data!$A$4:$A$947,0),MATCH(Graphs!CV$4,Data!$P$3:$Z$3,0)))</f>
        <v>#N/A</v>
      </c>
    </row>
    <row r="254" ht="14.25" customHeight="1"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5"/>
      <c r="CK254" s="22">
        <f>Data!A238</f>
        <v>44328</v>
      </c>
      <c r="CL254" s="24">
        <f t="array" ref="CL254">IF(INDEX(Data!$B$4:$L$947,MATCH(Graphs!$CK254,Data!$A$4:$A$947,0),MATCH(Graphs!CL$4,Data!$B$3:$L$3,0))="n.q.",NA(),INDEX(Data!$B$4:$L$947,MATCH(Graphs!$CK254,Data!$A$4:$A$947,0),MATCH(Graphs!CL$4,Data!$B$3:$L$3,0)))</f>
        <v>295.87</v>
      </c>
      <c r="CM254" s="24">
        <f t="array" ref="CM254">IF(INDEX(Data!$B$4:$L$947,MATCH(Graphs!$CK254,Data!$A$4:$A$947,0),MATCH(Graphs!CM$4,Data!$B$3:$L$3,0))="n.q.",NA(),INDEX(Data!$B$4:$L$947,MATCH(Graphs!$CK254,Data!$A$4:$A$947,0),MATCH(Graphs!CM$4,Data!$B$3:$L$3,0)))</f>
        <v>306.72</v>
      </c>
      <c r="CN254" s="24">
        <f t="array" ref="CN254">IF(INDEX(Data!$B$4:$L$947,MATCH(Graphs!$CK254,Data!$A$4:$A$947,0),MATCH(Graphs!CN$4,Data!$B$3:$L$3,0))="n.q.",NA(),INDEX(Data!$B$4:$L$947,MATCH(Graphs!$CK254,Data!$A$4:$A$947,0),MATCH(Graphs!CN$4,Data!$B$3:$L$3,0)))</f>
        <v>271</v>
      </c>
      <c r="CO254" s="24" t="str">
        <f t="array" ref="CO254">IF(INDEX(Data!$B$4:$L$947,MATCH(Graphs!$CK254,Data!$A$4:$A$947,0),MATCH(Graphs!CO$4,Data!$B$3:$L$3,0))="n.q.",NA(),INDEX(Data!$B$4:$L$947,MATCH(Graphs!$CK254,Data!$A$4:$A$947,0),MATCH(Graphs!CO$4,Data!$B$3:$L$3,0)))</f>
        <v>#N/A</v>
      </c>
      <c r="CP254" s="24" t="str">
        <f t="array" ref="CP254">IF(INDEX(Data!$B$4:$L$947,MATCH(Graphs!$CK254,Data!$A$4:$A$947,0),MATCH(Graphs!CP$4,Data!$B$3:$L$3,0))="n.q.",NA(),INDEX(Data!$B$4:$L$947,MATCH(Graphs!$CK254,Data!$A$4:$A$947,0),MATCH(Graphs!CP$4,Data!$B$3:$L$3,0)))</f>
        <v>#N/A</v>
      </c>
      <c r="CQ254" s="5"/>
      <c r="CR254" s="24">
        <f t="array" ref="CR254">IF(INDEX(Data!$P$4:$Z$947,MATCH(Graphs!$CK254,Data!$A$4:$A$947,0),MATCH(Graphs!CR$4,Data!$P$3:$Z$3,0))="n.q.",NA(),INDEX(Data!$P$4:$Z$947,MATCH(Graphs!$CK254,Data!$A$4:$A$947,0),MATCH(Graphs!CR$4,Data!$P$3:$Z$3,0)))</f>
        <v>268.8314903</v>
      </c>
      <c r="CS254" s="24">
        <f t="array" ref="CS254">IF(INDEX(Data!$P$4:$Z$947,MATCH(Graphs!$CK254,Data!$A$4:$A$947,0),MATCH(Graphs!CS$4,Data!$P$3:$Z$3,0))="n.q.",NA(),INDEX(Data!$P$4:$Z$947,MATCH(Graphs!$CK254,Data!$A$4:$A$947,0),MATCH(Graphs!CS$4,Data!$P$3:$Z$3,0)))</f>
        <v>269.3</v>
      </c>
      <c r="CT254" s="24">
        <f t="array" ref="CT254">IF(INDEX(Data!$P$4:$Z$947,MATCH(Graphs!$CK254,Data!$A$4:$A$947,0),MATCH(Graphs!CT$4,Data!$P$3:$Z$3,0))="n.q.",NA(),INDEX(Data!$P$4:$Z$947,MATCH(Graphs!$CK254,Data!$A$4:$A$947,0),MATCH(Graphs!CT$4,Data!$P$3:$Z$3,0)))</f>
        <v>245.9151675</v>
      </c>
      <c r="CU254" s="24" t="str">
        <f t="array" ref="CU254">IF(INDEX(Data!$P$4:$Z$947,MATCH(Graphs!$CK254,Data!$A$4:$A$947,0),MATCH(Graphs!CU$4,Data!$P$3:$Z$3,0))="n.q.",NA(),INDEX(Data!$P$4:$Z$947,MATCH(Graphs!$CK254,Data!$A$4:$A$947,0),MATCH(Graphs!CU$4,Data!$P$3:$Z$3,0)))</f>
        <v>#N/A</v>
      </c>
      <c r="CV254" s="24" t="str">
        <f t="array" ref="CV254">IF(INDEX(Data!$P$4:$Z$947,MATCH(Graphs!$CK254,Data!$A$4:$A$947,0),MATCH(Graphs!CV$4,Data!$P$3:$Z$3,0))="n.q.",NA(),INDEX(Data!$P$4:$Z$947,MATCH(Graphs!$CK254,Data!$A$4:$A$947,0),MATCH(Graphs!CV$4,Data!$P$3:$Z$3,0)))</f>
        <v>#N/A</v>
      </c>
    </row>
    <row r="255" ht="14.25" customHeight="1"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5"/>
      <c r="CK255" s="22">
        <f>Data!A239</f>
        <v>44321</v>
      </c>
      <c r="CL255" s="24">
        <f t="array" ref="CL255">IF(INDEX(Data!$B$4:$L$947,MATCH(Graphs!$CK255,Data!$A$4:$A$947,0),MATCH(Graphs!CL$4,Data!$B$3:$L$3,0))="n.q.",NA(),INDEX(Data!$B$4:$L$947,MATCH(Graphs!$CK255,Data!$A$4:$A$947,0),MATCH(Graphs!CL$4,Data!$B$3:$L$3,0)))</f>
        <v>295.93</v>
      </c>
      <c r="CM255" s="24">
        <f t="array" ref="CM255">IF(INDEX(Data!$B$4:$L$947,MATCH(Graphs!$CK255,Data!$A$4:$A$947,0),MATCH(Graphs!CM$4,Data!$B$3:$L$3,0))="n.q.",NA(),INDEX(Data!$B$4:$L$947,MATCH(Graphs!$CK255,Data!$A$4:$A$947,0),MATCH(Graphs!CM$4,Data!$B$3:$L$3,0)))</f>
        <v>316.64</v>
      </c>
      <c r="CN255" s="24">
        <f t="array" ref="CN255">IF(INDEX(Data!$B$4:$L$947,MATCH(Graphs!$CK255,Data!$A$4:$A$947,0),MATCH(Graphs!CN$4,Data!$B$3:$L$3,0))="n.q.",NA(),INDEX(Data!$B$4:$L$947,MATCH(Graphs!$CK255,Data!$A$4:$A$947,0),MATCH(Graphs!CN$4,Data!$B$3:$L$3,0)))</f>
        <v>267.5</v>
      </c>
      <c r="CO255" s="24" t="str">
        <f t="array" ref="CO255">IF(INDEX(Data!$B$4:$L$947,MATCH(Graphs!$CK255,Data!$A$4:$A$947,0),MATCH(Graphs!CO$4,Data!$B$3:$L$3,0))="n.q.",NA(),INDEX(Data!$B$4:$L$947,MATCH(Graphs!$CK255,Data!$A$4:$A$947,0),MATCH(Graphs!CO$4,Data!$B$3:$L$3,0)))</f>
        <v>#N/A</v>
      </c>
      <c r="CP255" s="24" t="str">
        <f t="array" ref="CP255">IF(INDEX(Data!$B$4:$L$947,MATCH(Graphs!$CK255,Data!$A$4:$A$947,0),MATCH(Graphs!CP$4,Data!$B$3:$L$3,0))="n.q.",NA(),INDEX(Data!$B$4:$L$947,MATCH(Graphs!$CK255,Data!$A$4:$A$947,0),MATCH(Graphs!CP$4,Data!$B$3:$L$3,0)))</f>
        <v>#N/A</v>
      </c>
      <c r="CQ255" s="5"/>
      <c r="CR255" s="24">
        <f t="array" ref="CR255">IF(INDEX(Data!$P$4:$Z$947,MATCH(Graphs!$CK255,Data!$A$4:$A$947,0),MATCH(Graphs!CR$4,Data!$P$3:$Z$3,0))="n.q.",NA(),INDEX(Data!$P$4:$Z$947,MATCH(Graphs!$CK255,Data!$A$4:$A$947,0),MATCH(Graphs!CR$4,Data!$P$3:$Z$3,0)))</f>
        <v>270.2957101</v>
      </c>
      <c r="CS255" s="24">
        <f t="array" ref="CS255">IF(INDEX(Data!$P$4:$Z$947,MATCH(Graphs!$CK255,Data!$A$4:$A$947,0),MATCH(Graphs!CS$4,Data!$P$3:$Z$3,0))="n.q.",NA(),INDEX(Data!$P$4:$Z$947,MATCH(Graphs!$CK255,Data!$A$4:$A$947,0),MATCH(Graphs!CS$4,Data!$P$3:$Z$3,0)))</f>
        <v>261.3</v>
      </c>
      <c r="CT255" s="24">
        <f t="array" ref="CT255">IF(INDEX(Data!$P$4:$Z$947,MATCH(Graphs!$CK255,Data!$A$4:$A$947,0),MATCH(Graphs!CT$4,Data!$P$3:$Z$3,0))="n.q.",NA(),INDEX(Data!$P$4:$Z$947,MATCH(Graphs!$CK255,Data!$A$4:$A$947,0),MATCH(Graphs!CT$4,Data!$P$3:$Z$3,0)))</f>
        <v>242.3990004</v>
      </c>
      <c r="CU255" s="24" t="str">
        <f t="array" ref="CU255">IF(INDEX(Data!$P$4:$Z$947,MATCH(Graphs!$CK255,Data!$A$4:$A$947,0),MATCH(Graphs!CU$4,Data!$P$3:$Z$3,0))="n.q.",NA(),INDEX(Data!$P$4:$Z$947,MATCH(Graphs!$CK255,Data!$A$4:$A$947,0),MATCH(Graphs!CU$4,Data!$P$3:$Z$3,0)))</f>
        <v>#N/A</v>
      </c>
      <c r="CV255" s="24" t="str">
        <f t="array" ref="CV255">IF(INDEX(Data!$P$4:$Z$947,MATCH(Graphs!$CK255,Data!$A$4:$A$947,0),MATCH(Graphs!CV$4,Data!$P$3:$Z$3,0))="n.q.",NA(),INDEX(Data!$P$4:$Z$947,MATCH(Graphs!$CK255,Data!$A$4:$A$947,0),MATCH(Graphs!CV$4,Data!$P$3:$Z$3,0)))</f>
        <v>#N/A</v>
      </c>
    </row>
    <row r="256" ht="14.25" customHeight="1"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5"/>
      <c r="CK256" s="22">
        <f>Data!A240</f>
        <v>44314</v>
      </c>
      <c r="CL256" s="24">
        <f t="array" ref="CL256">IF(INDEX(Data!$B$4:$L$947,MATCH(Graphs!$CK256,Data!$A$4:$A$947,0),MATCH(Graphs!CL$4,Data!$B$3:$L$3,0))="n.q.",NA(),INDEX(Data!$B$4:$L$947,MATCH(Graphs!$CK256,Data!$A$4:$A$947,0),MATCH(Graphs!CL$4,Data!$B$3:$L$3,0)))</f>
        <v>301.4</v>
      </c>
      <c r="CM256" s="24">
        <f t="array" ref="CM256">IF(INDEX(Data!$B$4:$L$947,MATCH(Graphs!$CK256,Data!$A$4:$A$947,0),MATCH(Graphs!CM$4,Data!$B$3:$L$3,0))="n.q.",NA(),INDEX(Data!$B$4:$L$947,MATCH(Graphs!$CK256,Data!$A$4:$A$947,0),MATCH(Graphs!CM$4,Data!$B$3:$L$3,0)))</f>
        <v>310.21</v>
      </c>
      <c r="CN256" s="24">
        <f t="array" ref="CN256">IF(INDEX(Data!$B$4:$L$947,MATCH(Graphs!$CK256,Data!$A$4:$A$947,0),MATCH(Graphs!CN$4,Data!$B$3:$L$3,0))="n.q.",NA(),INDEX(Data!$B$4:$L$947,MATCH(Graphs!$CK256,Data!$A$4:$A$947,0),MATCH(Graphs!CN$4,Data!$B$3:$L$3,0)))</f>
        <v>263</v>
      </c>
      <c r="CO256" s="24" t="str">
        <f t="array" ref="CO256">IF(INDEX(Data!$B$4:$L$947,MATCH(Graphs!$CK256,Data!$A$4:$A$947,0),MATCH(Graphs!CO$4,Data!$B$3:$L$3,0))="n.q.",NA(),INDEX(Data!$B$4:$L$947,MATCH(Graphs!$CK256,Data!$A$4:$A$947,0),MATCH(Graphs!CO$4,Data!$B$3:$L$3,0)))</f>
        <v>#N/A</v>
      </c>
      <c r="CP256" s="24" t="str">
        <f t="array" ref="CP256">IF(INDEX(Data!$B$4:$L$947,MATCH(Graphs!$CK256,Data!$A$4:$A$947,0),MATCH(Graphs!CP$4,Data!$B$3:$L$3,0))="n.q.",NA(),INDEX(Data!$B$4:$L$947,MATCH(Graphs!$CK256,Data!$A$4:$A$947,0),MATCH(Graphs!CP$4,Data!$B$3:$L$3,0)))</f>
        <v>#N/A</v>
      </c>
      <c r="CQ256" s="5"/>
      <c r="CR256" s="24">
        <f t="array" ref="CR256">IF(INDEX(Data!$P$4:$Z$947,MATCH(Graphs!$CK256,Data!$A$4:$A$947,0),MATCH(Graphs!CR$4,Data!$P$3:$Z$3,0))="n.q.",NA(),INDEX(Data!$P$4:$Z$947,MATCH(Graphs!$CK256,Data!$A$4:$A$947,0),MATCH(Graphs!CR$4,Data!$P$3:$Z$3,0)))</f>
        <v>245.0289975</v>
      </c>
      <c r="CS256" s="24">
        <f t="array" ref="CS256">IF(INDEX(Data!$P$4:$Z$947,MATCH(Graphs!$CK256,Data!$A$4:$A$947,0),MATCH(Graphs!CS$4,Data!$P$3:$Z$3,0))="n.q.",NA(),INDEX(Data!$P$4:$Z$947,MATCH(Graphs!$CK256,Data!$A$4:$A$947,0),MATCH(Graphs!CS$4,Data!$P$3:$Z$3,0)))</f>
        <v>246.87</v>
      </c>
      <c r="CT256" s="24">
        <f t="array" ref="CT256">IF(INDEX(Data!$P$4:$Z$947,MATCH(Graphs!$CK256,Data!$A$4:$A$947,0),MATCH(Graphs!CT$4,Data!$P$3:$Z$3,0))="n.q.",NA(),INDEX(Data!$P$4:$Z$947,MATCH(Graphs!$CK256,Data!$A$4:$A$947,0),MATCH(Graphs!CT$4,Data!$P$3:$Z$3,0)))</f>
        <v>233.6371168</v>
      </c>
      <c r="CU256" s="24" t="str">
        <f t="array" ref="CU256">IF(INDEX(Data!$P$4:$Z$947,MATCH(Graphs!$CK256,Data!$A$4:$A$947,0),MATCH(Graphs!CU$4,Data!$P$3:$Z$3,0))="n.q.",NA(),INDEX(Data!$P$4:$Z$947,MATCH(Graphs!$CK256,Data!$A$4:$A$947,0),MATCH(Graphs!CU$4,Data!$P$3:$Z$3,0)))</f>
        <v>#N/A</v>
      </c>
      <c r="CV256" s="24" t="str">
        <f t="array" ref="CV256">IF(INDEX(Data!$P$4:$Z$947,MATCH(Graphs!$CK256,Data!$A$4:$A$947,0),MATCH(Graphs!CV$4,Data!$P$3:$Z$3,0))="n.q.",NA(),INDEX(Data!$P$4:$Z$947,MATCH(Graphs!$CK256,Data!$A$4:$A$947,0),MATCH(Graphs!CV$4,Data!$P$3:$Z$3,0)))</f>
        <v>#N/A</v>
      </c>
    </row>
    <row r="257" ht="14.25" customHeight="1"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5"/>
      <c r="CK257" s="22" t="str">
        <f>Data!#REF!</f>
        <v>#ERROR!</v>
      </c>
      <c r="CL257" s="24" t="str">
        <f t="array" ref="CL257">IF(INDEX(Data!$B$4:$L$947,MATCH(Graphs!$CK257,Data!$A$4:$A$947,0),MATCH(Graphs!CL$4,Data!$B$3:$L$3,0))="n.q.",NA(),INDEX(Data!$B$4:$L$947,MATCH(Graphs!$CK257,Data!$A$4:$A$947,0),MATCH(Graphs!CL$4,Data!$B$3:$L$3,0)))</f>
        <v>#ERROR!</v>
      </c>
      <c r="CM257" s="24" t="str">
        <f t="array" ref="CM257">IF(INDEX(Data!$B$4:$L$947,MATCH(Graphs!$CK257,Data!$A$4:$A$947,0),MATCH(Graphs!CM$4,Data!$B$3:$L$3,0))="n.q.",NA(),INDEX(Data!$B$4:$L$947,MATCH(Graphs!$CK257,Data!$A$4:$A$947,0),MATCH(Graphs!CM$4,Data!$B$3:$L$3,0)))</f>
        <v>#ERROR!</v>
      </c>
      <c r="CN257" s="24" t="str">
        <f t="array" ref="CN257">IF(INDEX(Data!$B$4:$L$947,MATCH(Graphs!$CK257,Data!$A$4:$A$947,0),MATCH(Graphs!CN$4,Data!$B$3:$L$3,0))="n.q.",NA(),INDEX(Data!$B$4:$L$947,MATCH(Graphs!$CK257,Data!$A$4:$A$947,0),MATCH(Graphs!CN$4,Data!$B$3:$L$3,0)))</f>
        <v>#ERROR!</v>
      </c>
      <c r="CO257" s="24" t="str">
        <f t="array" ref="CO257">IF(INDEX(Data!$B$4:$L$947,MATCH(Graphs!$CK257,Data!$A$4:$A$947,0),MATCH(Graphs!CO$4,Data!$B$3:$L$3,0))="n.q.",NA(),INDEX(Data!$B$4:$L$947,MATCH(Graphs!$CK257,Data!$A$4:$A$947,0),MATCH(Graphs!CO$4,Data!$B$3:$L$3,0)))</f>
        <v>#ERROR!</v>
      </c>
      <c r="CP257" s="24" t="str">
        <f t="array" ref="CP257">IF(INDEX(Data!$B$4:$L$947,MATCH(Graphs!$CK257,Data!$A$4:$A$947,0),MATCH(Graphs!CP$4,Data!$B$3:$L$3,0))="n.q.",NA(),INDEX(Data!$B$4:$L$947,MATCH(Graphs!$CK257,Data!$A$4:$A$947,0),MATCH(Graphs!CP$4,Data!$B$3:$L$3,0)))</f>
        <v>#ERROR!</v>
      </c>
      <c r="CQ257" s="5"/>
      <c r="CR257" s="24" t="str">
        <f t="array" ref="CR257">IF(INDEX(Data!$P$4:$Z$947,MATCH(Graphs!$CK257,Data!$A$4:$A$947,0),MATCH(Graphs!CR$4,Data!$P$3:$Z$3,0))="n.q.",NA(),INDEX(Data!$P$4:$Z$947,MATCH(Graphs!$CK257,Data!$A$4:$A$947,0),MATCH(Graphs!CR$4,Data!$P$3:$Z$3,0)))</f>
        <v>#ERROR!</v>
      </c>
      <c r="CS257" s="24" t="str">
        <f t="array" ref="CS257">IF(INDEX(Data!$P$4:$Z$947,MATCH(Graphs!$CK257,Data!$A$4:$A$947,0),MATCH(Graphs!CS$4,Data!$P$3:$Z$3,0))="n.q.",NA(),INDEX(Data!$P$4:$Z$947,MATCH(Graphs!$CK257,Data!$A$4:$A$947,0),MATCH(Graphs!CS$4,Data!$P$3:$Z$3,0)))</f>
        <v>#ERROR!</v>
      </c>
      <c r="CT257" s="24" t="str">
        <f t="array" ref="CT257">IF(INDEX(Data!$P$4:$Z$947,MATCH(Graphs!$CK257,Data!$A$4:$A$947,0),MATCH(Graphs!CT$4,Data!$P$3:$Z$3,0))="n.q.",NA(),INDEX(Data!$P$4:$Z$947,MATCH(Graphs!$CK257,Data!$A$4:$A$947,0),MATCH(Graphs!CT$4,Data!$P$3:$Z$3,0)))</f>
        <v>#ERROR!</v>
      </c>
      <c r="CU257" s="24" t="str">
        <f t="array" ref="CU257">IF(INDEX(Data!$P$4:$Z$947,MATCH(Graphs!$CK257,Data!$A$4:$A$947,0),MATCH(Graphs!CU$4,Data!$P$3:$Z$3,0))="n.q.",NA(),INDEX(Data!$P$4:$Z$947,MATCH(Graphs!$CK257,Data!$A$4:$A$947,0),MATCH(Graphs!CU$4,Data!$P$3:$Z$3,0)))</f>
        <v>#ERROR!</v>
      </c>
      <c r="CV257" s="24" t="str">
        <f t="array" ref="CV257">IF(INDEX(Data!$P$4:$Z$947,MATCH(Graphs!$CK257,Data!$A$4:$A$947,0),MATCH(Graphs!CV$4,Data!$P$3:$Z$3,0))="n.q.",NA(),INDEX(Data!$P$4:$Z$947,MATCH(Graphs!$CK257,Data!$A$4:$A$947,0),MATCH(Graphs!CV$4,Data!$P$3:$Z$3,0)))</f>
        <v>#ERROR!</v>
      </c>
    </row>
    <row r="258" ht="14.25" customHeight="1"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5"/>
      <c r="CK258" s="22" t="str">
        <f>Data!#REF!</f>
        <v>#ERROR!</v>
      </c>
      <c r="CL258" s="24" t="str">
        <f t="array" ref="CL258">IF(INDEX(Data!$B$4:$L$947,MATCH(Graphs!$CK258,Data!$A$4:$A$947,0),MATCH(Graphs!CL$4,Data!$B$3:$L$3,0))="n.q.",NA(),INDEX(Data!$B$4:$L$947,MATCH(Graphs!$CK258,Data!$A$4:$A$947,0),MATCH(Graphs!CL$4,Data!$B$3:$L$3,0)))</f>
        <v>#ERROR!</v>
      </c>
      <c r="CM258" s="24" t="str">
        <f t="array" ref="CM258">IF(INDEX(Data!$B$4:$L$947,MATCH(Graphs!$CK258,Data!$A$4:$A$947,0),MATCH(Graphs!CM$4,Data!$B$3:$L$3,0))="n.q.",NA(),INDEX(Data!$B$4:$L$947,MATCH(Graphs!$CK258,Data!$A$4:$A$947,0),MATCH(Graphs!CM$4,Data!$B$3:$L$3,0)))</f>
        <v>#ERROR!</v>
      </c>
      <c r="CN258" s="24" t="str">
        <f t="array" ref="CN258">IF(INDEX(Data!$B$4:$L$947,MATCH(Graphs!$CK258,Data!$A$4:$A$947,0),MATCH(Graphs!CN$4,Data!$B$3:$L$3,0))="n.q.",NA(),INDEX(Data!$B$4:$L$947,MATCH(Graphs!$CK258,Data!$A$4:$A$947,0),MATCH(Graphs!CN$4,Data!$B$3:$L$3,0)))</f>
        <v>#ERROR!</v>
      </c>
      <c r="CO258" s="24" t="str">
        <f t="array" ref="CO258">IF(INDEX(Data!$B$4:$L$947,MATCH(Graphs!$CK258,Data!$A$4:$A$947,0),MATCH(Graphs!CO$4,Data!$B$3:$L$3,0))="n.q.",NA(),INDEX(Data!$B$4:$L$947,MATCH(Graphs!$CK258,Data!$A$4:$A$947,0),MATCH(Graphs!CO$4,Data!$B$3:$L$3,0)))</f>
        <v>#ERROR!</v>
      </c>
      <c r="CP258" s="24" t="str">
        <f t="array" ref="CP258">IF(INDEX(Data!$B$4:$L$947,MATCH(Graphs!$CK258,Data!$A$4:$A$947,0),MATCH(Graphs!CP$4,Data!$B$3:$L$3,0))="n.q.",NA(),INDEX(Data!$B$4:$L$947,MATCH(Graphs!$CK258,Data!$A$4:$A$947,0),MATCH(Graphs!CP$4,Data!$B$3:$L$3,0)))</f>
        <v>#ERROR!</v>
      </c>
      <c r="CQ258" s="5"/>
      <c r="CR258" s="24" t="str">
        <f t="array" ref="CR258">IF(INDEX(Data!$P$4:$Z$947,MATCH(Graphs!$CK258,Data!$A$4:$A$947,0),MATCH(Graphs!CR$4,Data!$P$3:$Z$3,0))="n.q.",NA(),INDEX(Data!$P$4:$Z$947,MATCH(Graphs!$CK258,Data!$A$4:$A$947,0),MATCH(Graphs!CR$4,Data!$P$3:$Z$3,0)))</f>
        <v>#ERROR!</v>
      </c>
      <c r="CS258" s="24" t="str">
        <f t="array" ref="CS258">IF(INDEX(Data!$P$4:$Z$947,MATCH(Graphs!$CK258,Data!$A$4:$A$947,0),MATCH(Graphs!CS$4,Data!$P$3:$Z$3,0))="n.q.",NA(),INDEX(Data!$P$4:$Z$947,MATCH(Graphs!$CK258,Data!$A$4:$A$947,0),MATCH(Graphs!CS$4,Data!$P$3:$Z$3,0)))</f>
        <v>#ERROR!</v>
      </c>
      <c r="CT258" s="24" t="str">
        <f t="array" ref="CT258">IF(INDEX(Data!$P$4:$Z$947,MATCH(Graphs!$CK258,Data!$A$4:$A$947,0),MATCH(Graphs!CT$4,Data!$P$3:$Z$3,0))="n.q.",NA(),INDEX(Data!$P$4:$Z$947,MATCH(Graphs!$CK258,Data!$A$4:$A$947,0),MATCH(Graphs!CT$4,Data!$P$3:$Z$3,0)))</f>
        <v>#ERROR!</v>
      </c>
      <c r="CU258" s="24" t="str">
        <f t="array" ref="CU258">IF(INDEX(Data!$P$4:$Z$947,MATCH(Graphs!$CK258,Data!$A$4:$A$947,0),MATCH(Graphs!CU$4,Data!$P$3:$Z$3,0))="n.q.",NA(),INDEX(Data!$P$4:$Z$947,MATCH(Graphs!$CK258,Data!$A$4:$A$947,0),MATCH(Graphs!CU$4,Data!$P$3:$Z$3,0)))</f>
        <v>#ERROR!</v>
      </c>
      <c r="CV258" s="24" t="str">
        <f t="array" ref="CV258">IF(INDEX(Data!$P$4:$Z$947,MATCH(Graphs!$CK258,Data!$A$4:$A$947,0),MATCH(Graphs!CV$4,Data!$P$3:$Z$3,0))="n.q.",NA(),INDEX(Data!$P$4:$Z$947,MATCH(Graphs!$CK258,Data!$A$4:$A$947,0),MATCH(Graphs!CV$4,Data!$P$3:$Z$3,0)))</f>
        <v>#ERROR!</v>
      </c>
    </row>
    <row r="259" ht="14.25" customHeight="1"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5"/>
      <c r="CK259" s="22" t="str">
        <f>Data!#REF!</f>
        <v>#ERROR!</v>
      </c>
      <c r="CL259" s="24" t="str">
        <f t="array" ref="CL259">IF(INDEX(Data!$B$4:$L$947,MATCH(Graphs!$CK259,Data!$A$4:$A$947,0),MATCH(Graphs!CL$4,Data!$B$3:$L$3,0))="n.q.",NA(),INDEX(Data!$B$4:$L$947,MATCH(Graphs!$CK259,Data!$A$4:$A$947,0),MATCH(Graphs!CL$4,Data!$B$3:$L$3,0)))</f>
        <v>#ERROR!</v>
      </c>
      <c r="CM259" s="24" t="str">
        <f t="array" ref="CM259">IF(INDEX(Data!$B$4:$L$947,MATCH(Graphs!$CK259,Data!$A$4:$A$947,0),MATCH(Graphs!CM$4,Data!$B$3:$L$3,0))="n.q.",NA(),INDEX(Data!$B$4:$L$947,MATCH(Graphs!$CK259,Data!$A$4:$A$947,0),MATCH(Graphs!CM$4,Data!$B$3:$L$3,0)))</f>
        <v>#ERROR!</v>
      </c>
      <c r="CN259" s="24" t="str">
        <f t="array" ref="CN259">IF(INDEX(Data!$B$4:$L$947,MATCH(Graphs!$CK259,Data!$A$4:$A$947,0),MATCH(Graphs!CN$4,Data!$B$3:$L$3,0))="n.q.",NA(),INDEX(Data!$B$4:$L$947,MATCH(Graphs!$CK259,Data!$A$4:$A$947,0),MATCH(Graphs!CN$4,Data!$B$3:$L$3,0)))</f>
        <v>#ERROR!</v>
      </c>
      <c r="CO259" s="24" t="str">
        <f t="array" ref="CO259">IF(INDEX(Data!$B$4:$L$947,MATCH(Graphs!$CK259,Data!$A$4:$A$947,0),MATCH(Graphs!CO$4,Data!$B$3:$L$3,0))="n.q.",NA(),INDEX(Data!$B$4:$L$947,MATCH(Graphs!$CK259,Data!$A$4:$A$947,0),MATCH(Graphs!CO$4,Data!$B$3:$L$3,0)))</f>
        <v>#ERROR!</v>
      </c>
      <c r="CP259" s="24" t="str">
        <f t="array" ref="CP259">IF(INDEX(Data!$B$4:$L$947,MATCH(Graphs!$CK259,Data!$A$4:$A$947,0),MATCH(Graphs!CP$4,Data!$B$3:$L$3,0))="n.q.",NA(),INDEX(Data!$B$4:$L$947,MATCH(Graphs!$CK259,Data!$A$4:$A$947,0),MATCH(Graphs!CP$4,Data!$B$3:$L$3,0)))</f>
        <v>#ERROR!</v>
      </c>
      <c r="CQ259" s="5"/>
      <c r="CR259" s="24" t="str">
        <f t="array" ref="CR259">IF(INDEX(Data!$P$4:$Z$947,MATCH(Graphs!$CK259,Data!$A$4:$A$947,0),MATCH(Graphs!CR$4,Data!$P$3:$Z$3,0))="n.q.",NA(),INDEX(Data!$P$4:$Z$947,MATCH(Graphs!$CK259,Data!$A$4:$A$947,0),MATCH(Graphs!CR$4,Data!$P$3:$Z$3,0)))</f>
        <v>#ERROR!</v>
      </c>
      <c r="CS259" s="24" t="str">
        <f t="array" ref="CS259">IF(INDEX(Data!$P$4:$Z$947,MATCH(Graphs!$CK259,Data!$A$4:$A$947,0),MATCH(Graphs!CS$4,Data!$P$3:$Z$3,0))="n.q.",NA(),INDEX(Data!$P$4:$Z$947,MATCH(Graphs!$CK259,Data!$A$4:$A$947,0),MATCH(Graphs!CS$4,Data!$P$3:$Z$3,0)))</f>
        <v>#ERROR!</v>
      </c>
      <c r="CT259" s="24" t="str">
        <f t="array" ref="CT259">IF(INDEX(Data!$P$4:$Z$947,MATCH(Graphs!$CK259,Data!$A$4:$A$947,0),MATCH(Graphs!CT$4,Data!$P$3:$Z$3,0))="n.q.",NA(),INDEX(Data!$P$4:$Z$947,MATCH(Graphs!$CK259,Data!$A$4:$A$947,0),MATCH(Graphs!CT$4,Data!$P$3:$Z$3,0)))</f>
        <v>#ERROR!</v>
      </c>
      <c r="CU259" s="24" t="str">
        <f t="array" ref="CU259">IF(INDEX(Data!$P$4:$Z$947,MATCH(Graphs!$CK259,Data!$A$4:$A$947,0),MATCH(Graphs!CU$4,Data!$P$3:$Z$3,0))="n.q.",NA(),INDEX(Data!$P$4:$Z$947,MATCH(Graphs!$CK259,Data!$A$4:$A$947,0),MATCH(Graphs!CU$4,Data!$P$3:$Z$3,0)))</f>
        <v>#ERROR!</v>
      </c>
      <c r="CV259" s="24" t="str">
        <f t="array" ref="CV259">IF(INDEX(Data!$P$4:$Z$947,MATCH(Graphs!$CK259,Data!$A$4:$A$947,0),MATCH(Graphs!CV$4,Data!$P$3:$Z$3,0))="n.q.",NA(),INDEX(Data!$P$4:$Z$947,MATCH(Graphs!$CK259,Data!$A$4:$A$947,0),MATCH(Graphs!CV$4,Data!$P$3:$Z$3,0)))</f>
        <v>#ERROR!</v>
      </c>
    </row>
    <row r="260" ht="14.25" customHeight="1"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5"/>
      <c r="CK260" s="22">
        <f>Data!A241</f>
        <v>44307</v>
      </c>
      <c r="CL260" s="24">
        <f t="array" ref="CL260">IF(INDEX(Data!$B$4:$L$947,MATCH(Graphs!$CK260,Data!$A$4:$A$947,0),MATCH(Graphs!CL$4,Data!$B$3:$L$3,0))="n.q.",NA(),INDEX(Data!$B$4:$L$947,MATCH(Graphs!$CK260,Data!$A$4:$A$947,0),MATCH(Graphs!CL$4,Data!$B$3:$L$3,0)))</f>
        <v>282.93</v>
      </c>
      <c r="CM260" s="24">
        <f t="array" ref="CM260">IF(INDEX(Data!$B$4:$L$947,MATCH(Graphs!$CK260,Data!$A$4:$A$947,0),MATCH(Graphs!CM$4,Data!$B$3:$L$3,0))="n.q.",NA(),INDEX(Data!$B$4:$L$947,MATCH(Graphs!$CK260,Data!$A$4:$A$947,0),MATCH(Graphs!CM$4,Data!$B$3:$L$3,0)))</f>
        <v>288.71</v>
      </c>
      <c r="CN260" s="24">
        <f t="array" ref="CN260">IF(INDEX(Data!$B$4:$L$947,MATCH(Graphs!$CK260,Data!$A$4:$A$947,0),MATCH(Graphs!CN$4,Data!$B$3:$L$3,0))="n.q.",NA(),INDEX(Data!$B$4:$L$947,MATCH(Graphs!$CK260,Data!$A$4:$A$947,0),MATCH(Graphs!CN$4,Data!$B$3:$L$3,0)))</f>
        <v>248</v>
      </c>
      <c r="CO260" s="24" t="str">
        <f t="array" ref="CO260">IF(INDEX(Data!$B$4:$L$947,MATCH(Graphs!$CK260,Data!$A$4:$A$947,0),MATCH(Graphs!CO$4,Data!$B$3:$L$3,0))="n.q.",NA(),INDEX(Data!$B$4:$L$947,MATCH(Graphs!$CK260,Data!$A$4:$A$947,0),MATCH(Graphs!CO$4,Data!$B$3:$L$3,0)))</f>
        <v>#N/A</v>
      </c>
      <c r="CP260" s="24" t="str">
        <f t="array" ref="CP260">IF(INDEX(Data!$B$4:$L$947,MATCH(Graphs!$CK260,Data!$A$4:$A$947,0),MATCH(Graphs!CP$4,Data!$B$3:$L$3,0))="n.q.",NA(),INDEX(Data!$B$4:$L$947,MATCH(Graphs!$CK260,Data!$A$4:$A$947,0),MATCH(Graphs!CP$4,Data!$B$3:$L$3,0)))</f>
        <v>#N/A</v>
      </c>
      <c r="CQ260" s="5"/>
      <c r="CR260" s="24">
        <f t="array" ref="CR260">IF(INDEX(Data!$P$4:$Z$947,MATCH(Graphs!$CK260,Data!$A$4:$A$947,0),MATCH(Graphs!CR$4,Data!$P$3:$Z$3,0))="n.q.",NA(),INDEX(Data!$P$4:$Z$947,MATCH(Graphs!$CK260,Data!$A$4:$A$947,0),MATCH(Graphs!CR$4,Data!$P$3:$Z$3,0)))</f>
        <v>230.3323062</v>
      </c>
      <c r="CS260" s="24">
        <f t="array" ref="CS260">IF(INDEX(Data!$P$4:$Z$947,MATCH(Graphs!$CK260,Data!$A$4:$A$947,0),MATCH(Graphs!CS$4,Data!$P$3:$Z$3,0))="n.q.",NA(),INDEX(Data!$P$4:$Z$947,MATCH(Graphs!$CK260,Data!$A$4:$A$947,0),MATCH(Graphs!CS$4,Data!$P$3:$Z$3,0)))</f>
        <v>243.62</v>
      </c>
      <c r="CT260" s="24">
        <f t="array" ref="CT260">IF(INDEX(Data!$P$4:$Z$947,MATCH(Graphs!$CK260,Data!$A$4:$A$947,0),MATCH(Graphs!CT$4,Data!$P$3:$Z$3,0))="n.q.",NA(),INDEX(Data!$P$4:$Z$947,MATCH(Graphs!$CK260,Data!$A$4:$A$947,0),MATCH(Graphs!CT$4,Data!$P$3:$Z$3,0)))</f>
        <v>224.035979</v>
      </c>
      <c r="CU260" s="24" t="str">
        <f t="array" ref="CU260">IF(INDEX(Data!$P$4:$Z$947,MATCH(Graphs!$CK260,Data!$A$4:$A$947,0),MATCH(Graphs!CU$4,Data!$P$3:$Z$3,0))="n.q.",NA(),INDEX(Data!$P$4:$Z$947,MATCH(Graphs!$CK260,Data!$A$4:$A$947,0),MATCH(Graphs!CU$4,Data!$P$3:$Z$3,0)))</f>
        <v>#N/A</v>
      </c>
      <c r="CV260" s="24" t="str">
        <f t="array" ref="CV260">IF(INDEX(Data!$P$4:$Z$947,MATCH(Graphs!$CK260,Data!$A$4:$A$947,0),MATCH(Graphs!CV$4,Data!$P$3:$Z$3,0))="n.q.",NA(),INDEX(Data!$P$4:$Z$947,MATCH(Graphs!$CK260,Data!$A$4:$A$947,0),MATCH(Graphs!CV$4,Data!$P$3:$Z$3,0)))</f>
        <v>#N/A</v>
      </c>
    </row>
    <row r="261" ht="14.25" customHeight="1"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5"/>
      <c r="CK261" s="22">
        <f>Data!A242</f>
        <v>44300</v>
      </c>
      <c r="CL261" s="24">
        <f t="array" ref="CL261">IF(INDEX(Data!$B$4:$L$947,MATCH(Graphs!$CK261,Data!$A$4:$A$947,0),MATCH(Graphs!CL$4,Data!$B$3:$L$3,0))="n.q.",NA(),INDEX(Data!$B$4:$L$947,MATCH(Graphs!$CK261,Data!$A$4:$A$947,0),MATCH(Graphs!CL$4,Data!$B$3:$L$3,0)))</f>
        <v>268.4</v>
      </c>
      <c r="CM261" s="24">
        <f t="array" ref="CM261">IF(INDEX(Data!$B$4:$L$947,MATCH(Graphs!$CK261,Data!$A$4:$A$947,0),MATCH(Graphs!CM$4,Data!$B$3:$L$3,0))="n.q.",NA(),INDEX(Data!$B$4:$L$947,MATCH(Graphs!$CK261,Data!$A$4:$A$947,0),MATCH(Graphs!CM$4,Data!$B$3:$L$3,0)))</f>
        <v>275.03</v>
      </c>
      <c r="CN261" s="24">
        <f t="array" ref="CN261">IF(INDEX(Data!$B$4:$L$947,MATCH(Graphs!$CK261,Data!$A$4:$A$947,0),MATCH(Graphs!CN$4,Data!$B$3:$L$3,0))="n.q.",NA(),INDEX(Data!$B$4:$L$947,MATCH(Graphs!$CK261,Data!$A$4:$A$947,0),MATCH(Graphs!CN$4,Data!$B$3:$L$3,0)))</f>
        <v>240</v>
      </c>
      <c r="CO261" s="24" t="str">
        <f t="array" ref="CO261">IF(INDEX(Data!$B$4:$L$947,MATCH(Graphs!$CK261,Data!$A$4:$A$947,0),MATCH(Graphs!CO$4,Data!$B$3:$L$3,0))="n.q.",NA(),INDEX(Data!$B$4:$L$947,MATCH(Graphs!$CK261,Data!$A$4:$A$947,0),MATCH(Graphs!CO$4,Data!$B$3:$L$3,0)))</f>
        <v>#N/A</v>
      </c>
      <c r="CP261" s="24" t="str">
        <f t="array" ref="CP261">IF(INDEX(Data!$B$4:$L$947,MATCH(Graphs!$CK261,Data!$A$4:$A$947,0),MATCH(Graphs!CP$4,Data!$B$3:$L$3,0))="n.q.",NA(),INDEX(Data!$B$4:$L$947,MATCH(Graphs!$CK261,Data!$A$4:$A$947,0),MATCH(Graphs!CP$4,Data!$B$3:$L$3,0)))</f>
        <v>#N/A</v>
      </c>
      <c r="CQ261" s="5"/>
      <c r="CR261" s="24">
        <f t="array" ref="CR261">IF(INDEX(Data!$P$4:$Z$947,MATCH(Graphs!$CK261,Data!$A$4:$A$947,0),MATCH(Graphs!CR$4,Data!$P$3:$Z$3,0))="n.q.",NA(),INDEX(Data!$P$4:$Z$947,MATCH(Graphs!$CK261,Data!$A$4:$A$947,0),MATCH(Graphs!CR$4,Data!$P$3:$Z$3,0)))</f>
        <v>222.442327</v>
      </c>
      <c r="CS261" s="24">
        <f t="array" ref="CS261">IF(INDEX(Data!$P$4:$Z$947,MATCH(Graphs!$CK261,Data!$A$4:$A$947,0),MATCH(Graphs!CS$4,Data!$P$3:$Z$3,0))="n.q.",NA(),INDEX(Data!$P$4:$Z$947,MATCH(Graphs!$CK261,Data!$A$4:$A$947,0),MATCH(Graphs!CS$4,Data!$P$3:$Z$3,0)))</f>
        <v>232.37</v>
      </c>
      <c r="CT261" s="24">
        <f t="array" ref="CT261">IF(INDEX(Data!$P$4:$Z$947,MATCH(Graphs!$CK261,Data!$A$4:$A$947,0),MATCH(Graphs!CT$4,Data!$P$3:$Z$3,0))="n.q.",NA(),INDEX(Data!$P$4:$Z$947,MATCH(Graphs!$CK261,Data!$A$4:$A$947,0),MATCH(Graphs!CT$4,Data!$P$3:$Z$3,0)))</f>
        <v>217.3186225</v>
      </c>
      <c r="CU261" s="24" t="str">
        <f t="array" ref="CU261">IF(INDEX(Data!$P$4:$Z$947,MATCH(Graphs!$CK261,Data!$A$4:$A$947,0),MATCH(Graphs!CU$4,Data!$P$3:$Z$3,0))="n.q.",NA(),INDEX(Data!$P$4:$Z$947,MATCH(Graphs!$CK261,Data!$A$4:$A$947,0),MATCH(Graphs!CU$4,Data!$P$3:$Z$3,0)))</f>
        <v>#N/A</v>
      </c>
      <c r="CV261" s="24" t="str">
        <f t="array" ref="CV261">IF(INDEX(Data!$P$4:$Z$947,MATCH(Graphs!$CK261,Data!$A$4:$A$947,0),MATCH(Graphs!CV$4,Data!$P$3:$Z$3,0))="n.q.",NA(),INDEX(Data!$P$4:$Z$947,MATCH(Graphs!$CK261,Data!$A$4:$A$947,0),MATCH(Graphs!CV$4,Data!$P$3:$Z$3,0)))</f>
        <v>#N/A</v>
      </c>
    </row>
    <row r="262" ht="14.25" customHeight="1"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5"/>
      <c r="CK262" s="22">
        <f>Data!A243</f>
        <v>44293</v>
      </c>
      <c r="CL262" s="24">
        <f t="array" ref="CL262">IF(INDEX(Data!$B$4:$L$947,MATCH(Graphs!$CK262,Data!$A$4:$A$947,0),MATCH(Graphs!CL$4,Data!$B$3:$L$3,0))="n.q.",NA(),INDEX(Data!$B$4:$L$947,MATCH(Graphs!$CK262,Data!$A$4:$A$947,0),MATCH(Graphs!CL$4,Data!$B$3:$L$3,0)))</f>
        <v>255.79</v>
      </c>
      <c r="CM262" s="24">
        <f t="array" ref="CM262">IF(INDEX(Data!$B$4:$L$947,MATCH(Graphs!$CK262,Data!$A$4:$A$947,0),MATCH(Graphs!CM$4,Data!$B$3:$L$3,0))="n.q.",NA(),INDEX(Data!$B$4:$L$947,MATCH(Graphs!$CK262,Data!$A$4:$A$947,0),MATCH(Graphs!CM$4,Data!$B$3:$L$3,0)))</f>
        <v>258.4</v>
      </c>
      <c r="CN262" s="24">
        <f t="array" ref="CN262">IF(INDEX(Data!$B$4:$L$947,MATCH(Graphs!$CK262,Data!$A$4:$A$947,0),MATCH(Graphs!CN$4,Data!$B$3:$L$3,0))="n.q.",NA(),INDEX(Data!$B$4:$L$947,MATCH(Graphs!$CK262,Data!$A$4:$A$947,0),MATCH(Graphs!CN$4,Data!$B$3:$L$3,0)))</f>
        <v>242</v>
      </c>
      <c r="CO262" s="24" t="str">
        <f t="array" ref="CO262">IF(INDEX(Data!$B$4:$L$947,MATCH(Graphs!$CK262,Data!$A$4:$A$947,0),MATCH(Graphs!CO$4,Data!$B$3:$L$3,0))="n.q.",NA(),INDEX(Data!$B$4:$L$947,MATCH(Graphs!$CK262,Data!$A$4:$A$947,0),MATCH(Graphs!CO$4,Data!$B$3:$L$3,0)))</f>
        <v>#N/A</v>
      </c>
      <c r="CP262" s="24" t="str">
        <f t="array" ref="CP262">IF(INDEX(Data!$B$4:$L$947,MATCH(Graphs!$CK262,Data!$A$4:$A$947,0),MATCH(Graphs!CP$4,Data!$B$3:$L$3,0))="n.q.",NA(),INDEX(Data!$B$4:$L$947,MATCH(Graphs!$CK262,Data!$A$4:$A$947,0),MATCH(Graphs!CP$4,Data!$B$3:$L$3,0)))</f>
        <v>#N/A</v>
      </c>
      <c r="CQ262" s="5"/>
      <c r="CR262" s="24">
        <f t="array" ref="CR262">IF(INDEX(Data!$P$4:$Z$947,MATCH(Graphs!$CK262,Data!$A$4:$A$947,0),MATCH(Graphs!CR$4,Data!$P$3:$Z$3,0))="n.q.",NA(),INDEX(Data!$P$4:$Z$947,MATCH(Graphs!$CK262,Data!$A$4:$A$947,0),MATCH(Graphs!CR$4,Data!$P$3:$Z$3,0)))</f>
        <v>213.1689667</v>
      </c>
      <c r="CS262" s="24" t="str">
        <f t="array" ref="CS262">IF(INDEX(Data!$P$4:$Z$947,MATCH(Graphs!$CK262,Data!$A$4:$A$947,0),MATCH(Graphs!CS$4,Data!$P$3:$Z$3,0))="n.q.",NA(),INDEX(Data!$P$4:$Z$947,MATCH(Graphs!$CK262,Data!$A$4:$A$947,0),MATCH(Graphs!CS$4,Data!$P$3:$Z$3,0)))</f>
        <v>#N/A</v>
      </c>
      <c r="CT262" s="24">
        <f t="array" ref="CT262">IF(INDEX(Data!$P$4:$Z$947,MATCH(Graphs!$CK262,Data!$A$4:$A$947,0),MATCH(Graphs!CT$4,Data!$P$3:$Z$3,0))="n.q.",NA(),INDEX(Data!$P$4:$Z$947,MATCH(Graphs!$CK262,Data!$A$4:$A$947,0),MATCH(Graphs!CT$4,Data!$P$3:$Z$3,0)))</f>
        <v>220.4644901</v>
      </c>
      <c r="CU262" s="24" t="str">
        <f t="array" ref="CU262">IF(INDEX(Data!$P$4:$Z$947,MATCH(Graphs!$CK262,Data!$A$4:$A$947,0),MATCH(Graphs!CU$4,Data!$P$3:$Z$3,0))="n.q.",NA(),INDEX(Data!$P$4:$Z$947,MATCH(Graphs!$CK262,Data!$A$4:$A$947,0),MATCH(Graphs!CU$4,Data!$P$3:$Z$3,0)))</f>
        <v>#N/A</v>
      </c>
      <c r="CV262" s="24" t="str">
        <f t="array" ref="CV262">IF(INDEX(Data!$P$4:$Z$947,MATCH(Graphs!$CK262,Data!$A$4:$A$947,0),MATCH(Graphs!CV$4,Data!$P$3:$Z$3,0))="n.q.",NA(),INDEX(Data!$P$4:$Z$947,MATCH(Graphs!$CK262,Data!$A$4:$A$947,0),MATCH(Graphs!CV$4,Data!$P$3:$Z$3,0)))</f>
        <v>#N/A</v>
      </c>
    </row>
    <row r="263" ht="14.25" customHeight="1"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5"/>
      <c r="CK263" s="22">
        <f>Data!A244</f>
        <v>44286</v>
      </c>
      <c r="CL263" s="24">
        <f t="array" ref="CL263">IF(INDEX(Data!$B$4:$L$947,MATCH(Graphs!$CK263,Data!$A$4:$A$947,0),MATCH(Graphs!CL$4,Data!$B$3:$L$3,0))="n.q.",NA(),INDEX(Data!$B$4:$L$947,MATCH(Graphs!$CK263,Data!$A$4:$A$947,0),MATCH(Graphs!CL$4,Data!$B$3:$L$3,0)))</f>
        <v>259.73</v>
      </c>
      <c r="CM263" s="24">
        <f t="array" ref="CM263">IF(INDEX(Data!$B$4:$L$947,MATCH(Graphs!$CK263,Data!$A$4:$A$947,0),MATCH(Graphs!CM$4,Data!$B$3:$L$3,0))="n.q.",NA(),INDEX(Data!$B$4:$L$947,MATCH(Graphs!$CK263,Data!$A$4:$A$947,0),MATCH(Graphs!CM$4,Data!$B$3:$L$3,0)))</f>
        <v>262.99</v>
      </c>
      <c r="CN263" s="24">
        <f t="array" ref="CN263">IF(INDEX(Data!$B$4:$L$947,MATCH(Graphs!$CK263,Data!$A$4:$A$947,0),MATCH(Graphs!CN$4,Data!$B$3:$L$3,0))="n.q.",NA(),INDEX(Data!$B$4:$L$947,MATCH(Graphs!$CK263,Data!$A$4:$A$947,0),MATCH(Graphs!CN$4,Data!$B$3:$L$3,0)))</f>
        <v>243</v>
      </c>
      <c r="CO263" s="24" t="str">
        <f t="array" ref="CO263">IF(INDEX(Data!$B$4:$L$947,MATCH(Graphs!$CK263,Data!$A$4:$A$947,0),MATCH(Graphs!CO$4,Data!$B$3:$L$3,0))="n.q.",NA(),INDEX(Data!$B$4:$L$947,MATCH(Graphs!$CK263,Data!$A$4:$A$947,0),MATCH(Graphs!CO$4,Data!$B$3:$L$3,0)))</f>
        <v>#N/A</v>
      </c>
      <c r="CP263" s="24" t="str">
        <f t="array" ref="CP263">IF(INDEX(Data!$B$4:$L$947,MATCH(Graphs!$CK263,Data!$A$4:$A$947,0),MATCH(Graphs!CP$4,Data!$B$3:$L$3,0))="n.q.",NA(),INDEX(Data!$B$4:$L$947,MATCH(Graphs!$CK263,Data!$A$4:$A$947,0),MATCH(Graphs!CP$4,Data!$B$3:$L$3,0)))</f>
        <v>#N/A</v>
      </c>
      <c r="CQ263" s="5"/>
      <c r="CR263" s="24">
        <f t="array" ref="CR263">IF(INDEX(Data!$P$4:$Z$947,MATCH(Graphs!$CK263,Data!$A$4:$A$947,0),MATCH(Graphs!CR$4,Data!$P$3:$Z$3,0))="n.q.",NA(),INDEX(Data!$P$4:$Z$947,MATCH(Graphs!$CK263,Data!$A$4:$A$947,0),MATCH(Graphs!CR$4,Data!$P$3:$Z$3,0)))</f>
        <v>217.3219616</v>
      </c>
      <c r="CS263" s="24" t="str">
        <f t="array" ref="CS263">IF(INDEX(Data!$P$4:$Z$947,MATCH(Graphs!$CK263,Data!$A$4:$A$947,0),MATCH(Graphs!CS$4,Data!$P$3:$Z$3,0))="n.q.",NA(),INDEX(Data!$P$4:$Z$947,MATCH(Graphs!$CK263,Data!$A$4:$A$947,0),MATCH(Graphs!CS$4,Data!$P$3:$Z$3,0)))</f>
        <v>#N/A</v>
      </c>
      <c r="CT263" s="24">
        <f t="array" ref="CT263">IF(INDEX(Data!$P$4:$Z$947,MATCH(Graphs!$CK263,Data!$A$4:$A$947,0),MATCH(Graphs!CT$4,Data!$P$3:$Z$3,0))="n.q.",NA(),INDEX(Data!$P$4:$Z$947,MATCH(Graphs!$CK263,Data!$A$4:$A$947,0),MATCH(Graphs!CT$4,Data!$P$3:$Z$3,0)))</f>
        <v>223.4541578</v>
      </c>
      <c r="CU263" s="24" t="str">
        <f t="array" ref="CU263">IF(INDEX(Data!$P$4:$Z$947,MATCH(Graphs!$CK263,Data!$A$4:$A$947,0),MATCH(Graphs!CU$4,Data!$P$3:$Z$3,0))="n.q.",NA(),INDEX(Data!$P$4:$Z$947,MATCH(Graphs!$CK263,Data!$A$4:$A$947,0),MATCH(Graphs!CU$4,Data!$P$3:$Z$3,0)))</f>
        <v>#N/A</v>
      </c>
      <c r="CV263" s="24" t="str">
        <f t="array" ref="CV263">IF(INDEX(Data!$P$4:$Z$947,MATCH(Graphs!$CK263,Data!$A$4:$A$947,0),MATCH(Graphs!CV$4,Data!$P$3:$Z$3,0))="n.q.",NA(),INDEX(Data!$P$4:$Z$947,MATCH(Graphs!$CK263,Data!$A$4:$A$947,0),MATCH(Graphs!CV$4,Data!$P$3:$Z$3,0)))</f>
        <v>#N/A</v>
      </c>
    </row>
    <row r="264" ht="14.25" customHeight="1"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5"/>
      <c r="CK264" s="22">
        <f>Data!A245</f>
        <v>44279</v>
      </c>
      <c r="CL264" s="24">
        <f t="array" ref="CL264">IF(INDEX(Data!$B$4:$L$947,MATCH(Graphs!$CK264,Data!$A$4:$A$947,0),MATCH(Graphs!CL$4,Data!$B$3:$L$3,0))="n.q.",NA(),INDEX(Data!$B$4:$L$947,MATCH(Graphs!$CK264,Data!$A$4:$A$947,0),MATCH(Graphs!CL$4,Data!$B$3:$L$3,0)))</f>
        <v>270.41</v>
      </c>
      <c r="CM264" s="24">
        <f t="array" ref="CM264">IF(INDEX(Data!$B$4:$L$947,MATCH(Graphs!$CK264,Data!$A$4:$A$947,0),MATCH(Graphs!CM$4,Data!$B$3:$L$3,0))="n.q.",NA(),INDEX(Data!$B$4:$L$947,MATCH(Graphs!$CK264,Data!$A$4:$A$947,0),MATCH(Graphs!CM$4,Data!$B$3:$L$3,0)))</f>
        <v>263.18</v>
      </c>
      <c r="CN264" s="24">
        <f t="array" ref="CN264">IF(INDEX(Data!$B$4:$L$947,MATCH(Graphs!$CK264,Data!$A$4:$A$947,0),MATCH(Graphs!CN$4,Data!$B$3:$L$3,0))="n.q.",NA(),INDEX(Data!$B$4:$L$947,MATCH(Graphs!$CK264,Data!$A$4:$A$947,0),MATCH(Graphs!CN$4,Data!$B$3:$L$3,0)))</f>
        <v>261</v>
      </c>
      <c r="CO264" s="24" t="str">
        <f t="array" ref="CO264">IF(INDEX(Data!$B$4:$L$947,MATCH(Graphs!$CK264,Data!$A$4:$A$947,0),MATCH(Graphs!CO$4,Data!$B$3:$L$3,0))="n.q.",NA(),INDEX(Data!$B$4:$L$947,MATCH(Graphs!$CK264,Data!$A$4:$A$947,0),MATCH(Graphs!CO$4,Data!$B$3:$L$3,0)))</f>
        <v>#N/A</v>
      </c>
      <c r="CP264" s="24" t="str">
        <f t="array" ref="CP264">IF(INDEX(Data!$B$4:$L$947,MATCH(Graphs!$CK264,Data!$A$4:$A$947,0),MATCH(Graphs!CP$4,Data!$B$3:$L$3,0))="n.q.",NA(),INDEX(Data!$B$4:$L$947,MATCH(Graphs!$CK264,Data!$A$4:$A$947,0),MATCH(Graphs!CP$4,Data!$B$3:$L$3,0)))</f>
        <v>#N/A</v>
      </c>
      <c r="CQ264" s="5"/>
      <c r="CR264" s="24">
        <f t="array" ref="CR264">IF(INDEX(Data!$P$4:$Z$947,MATCH(Graphs!$CK264,Data!$A$4:$A$947,0),MATCH(Graphs!CR$4,Data!$P$3:$Z$3,0))="n.q.",NA(),INDEX(Data!$P$4:$Z$947,MATCH(Graphs!$CK264,Data!$A$4:$A$947,0),MATCH(Graphs!CR$4,Data!$P$3:$Z$3,0)))</f>
        <v>212.820296</v>
      </c>
      <c r="CS264" s="24">
        <f t="array" ref="CS264">IF(INDEX(Data!$P$4:$Z$947,MATCH(Graphs!$CK264,Data!$A$4:$A$947,0),MATCH(Graphs!CS$4,Data!$P$3:$Z$3,0))="n.q.",NA(),INDEX(Data!$P$4:$Z$947,MATCH(Graphs!$CK264,Data!$A$4:$A$947,0),MATCH(Graphs!CS$4,Data!$P$3:$Z$3,0)))</f>
        <v>227.44</v>
      </c>
      <c r="CT264" s="24">
        <f t="array" ref="CT264">IF(INDEX(Data!$P$4:$Z$947,MATCH(Graphs!$CK264,Data!$A$4:$A$947,0),MATCH(Graphs!CT$4,Data!$P$3:$Z$3,0))="n.q.",NA(),INDEX(Data!$P$4:$Z$947,MATCH(Graphs!$CK264,Data!$A$4:$A$947,0),MATCH(Graphs!CT$4,Data!$P$3:$Z$3,0)))</f>
        <v>222.832981</v>
      </c>
      <c r="CU264" s="24" t="str">
        <f t="array" ref="CU264">IF(INDEX(Data!$P$4:$Z$947,MATCH(Graphs!$CK264,Data!$A$4:$A$947,0),MATCH(Graphs!CU$4,Data!$P$3:$Z$3,0))="n.q.",NA(),INDEX(Data!$P$4:$Z$947,MATCH(Graphs!$CK264,Data!$A$4:$A$947,0),MATCH(Graphs!CU$4,Data!$P$3:$Z$3,0)))</f>
        <v>#N/A</v>
      </c>
      <c r="CV264" s="24" t="str">
        <f t="array" ref="CV264">IF(INDEX(Data!$P$4:$Z$947,MATCH(Graphs!$CK264,Data!$A$4:$A$947,0),MATCH(Graphs!CV$4,Data!$P$3:$Z$3,0))="n.q.",NA(),INDEX(Data!$P$4:$Z$947,MATCH(Graphs!$CK264,Data!$A$4:$A$947,0),MATCH(Graphs!CV$4,Data!$P$3:$Z$3,0)))</f>
        <v>#N/A</v>
      </c>
    </row>
    <row r="265" ht="14.25" customHeight="1"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5"/>
      <c r="CK265" s="22">
        <f>Data!A246</f>
        <v>44272</v>
      </c>
      <c r="CL265" s="24">
        <f t="array" ref="CL265">IF(INDEX(Data!$B$4:$L$947,MATCH(Graphs!$CK265,Data!$A$4:$A$947,0),MATCH(Graphs!CL$4,Data!$B$3:$L$3,0))="n.q.",NA(),INDEX(Data!$B$4:$L$947,MATCH(Graphs!$CK265,Data!$A$4:$A$947,0),MATCH(Graphs!CL$4,Data!$B$3:$L$3,0)))</f>
        <v>275.19</v>
      </c>
      <c r="CM265" s="24">
        <f t="array" ref="CM265">IF(INDEX(Data!$B$4:$L$947,MATCH(Graphs!$CK265,Data!$A$4:$A$947,0),MATCH(Graphs!CM$4,Data!$B$3:$L$3,0))="n.q.",NA(),INDEX(Data!$B$4:$L$947,MATCH(Graphs!$CK265,Data!$A$4:$A$947,0),MATCH(Graphs!CM$4,Data!$B$3:$L$3,0)))</f>
        <v>275.21</v>
      </c>
      <c r="CN265" s="24">
        <f t="array" ref="CN265">IF(INDEX(Data!$B$4:$L$947,MATCH(Graphs!$CK265,Data!$A$4:$A$947,0),MATCH(Graphs!CN$4,Data!$B$3:$L$3,0))="n.q.",NA(),INDEX(Data!$B$4:$L$947,MATCH(Graphs!$CK265,Data!$A$4:$A$947,0),MATCH(Graphs!CN$4,Data!$B$3:$L$3,0)))</f>
        <v>271</v>
      </c>
      <c r="CO265" s="24" t="str">
        <f t="array" ref="CO265">IF(INDEX(Data!$B$4:$L$947,MATCH(Graphs!$CK265,Data!$A$4:$A$947,0),MATCH(Graphs!CO$4,Data!$B$3:$L$3,0))="n.q.",NA(),INDEX(Data!$B$4:$L$947,MATCH(Graphs!$CK265,Data!$A$4:$A$947,0),MATCH(Graphs!CO$4,Data!$B$3:$L$3,0)))</f>
        <v>#N/A</v>
      </c>
      <c r="CP265" s="24" t="str">
        <f t="array" ref="CP265">IF(INDEX(Data!$B$4:$L$947,MATCH(Graphs!$CK265,Data!$A$4:$A$947,0),MATCH(Graphs!CP$4,Data!$B$3:$L$3,0))="n.q.",NA(),INDEX(Data!$B$4:$L$947,MATCH(Graphs!$CK265,Data!$A$4:$A$947,0),MATCH(Graphs!CP$4,Data!$B$3:$L$3,0)))</f>
        <v>#N/A</v>
      </c>
      <c r="CQ265" s="5"/>
      <c r="CR265" s="24">
        <f t="array" ref="CR265">IF(INDEX(Data!$P$4:$Z$947,MATCH(Graphs!$CK265,Data!$A$4:$A$947,0),MATCH(Graphs!CR$4,Data!$P$3:$Z$3,0))="n.q.",NA(),INDEX(Data!$P$4:$Z$947,MATCH(Graphs!$CK265,Data!$A$4:$A$947,0),MATCH(Graphs!CR$4,Data!$P$3:$Z$3,0)))</f>
        <v>212.2616948</v>
      </c>
      <c r="CS265" s="24">
        <f t="array" ref="CS265">IF(INDEX(Data!$P$4:$Z$947,MATCH(Graphs!$CK265,Data!$A$4:$A$947,0),MATCH(Graphs!CS$4,Data!$P$3:$Z$3,0))="n.q.",NA(),INDEX(Data!$P$4:$Z$947,MATCH(Graphs!$CK265,Data!$A$4:$A$947,0),MATCH(Graphs!CS$4,Data!$P$3:$Z$3,0)))</f>
        <v>229.44</v>
      </c>
      <c r="CT265" s="24">
        <f t="array" ref="CT265">IF(INDEX(Data!$P$4:$Z$947,MATCH(Graphs!$CK265,Data!$A$4:$A$947,0),MATCH(Graphs!CT$4,Data!$P$3:$Z$3,0))="n.q.",NA(),INDEX(Data!$P$4:$Z$947,MATCH(Graphs!$CK265,Data!$A$4:$A$947,0),MATCH(Graphs!CT$4,Data!$P$3:$Z$3,0)))</f>
        <v>222.5581591</v>
      </c>
      <c r="CU265" s="24" t="str">
        <f t="array" ref="CU265">IF(INDEX(Data!$P$4:$Z$947,MATCH(Graphs!$CK265,Data!$A$4:$A$947,0),MATCH(Graphs!CU$4,Data!$P$3:$Z$3,0))="n.q.",NA(),INDEX(Data!$P$4:$Z$947,MATCH(Graphs!$CK265,Data!$A$4:$A$947,0),MATCH(Graphs!CU$4,Data!$P$3:$Z$3,0)))</f>
        <v>#N/A</v>
      </c>
      <c r="CV265" s="24" t="str">
        <f t="array" ref="CV265">IF(INDEX(Data!$P$4:$Z$947,MATCH(Graphs!$CK265,Data!$A$4:$A$947,0),MATCH(Graphs!CV$4,Data!$P$3:$Z$3,0))="n.q.",NA(),INDEX(Data!$P$4:$Z$947,MATCH(Graphs!$CK265,Data!$A$4:$A$947,0),MATCH(Graphs!CV$4,Data!$P$3:$Z$3,0)))</f>
        <v>#N/A</v>
      </c>
    </row>
    <row r="266" ht="14.25" customHeight="1"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5"/>
      <c r="CK266" s="22">
        <f>Data!A247</f>
        <v>44265</v>
      </c>
      <c r="CL266" s="24">
        <f t="array" ref="CL266">IF(INDEX(Data!$B$4:$L$947,MATCH(Graphs!$CK266,Data!$A$4:$A$947,0),MATCH(Graphs!CL$4,Data!$B$3:$L$3,0))="n.q.",NA(),INDEX(Data!$B$4:$L$947,MATCH(Graphs!$CK266,Data!$A$4:$A$947,0),MATCH(Graphs!CL$4,Data!$B$3:$L$3,0)))</f>
        <v>288.21</v>
      </c>
      <c r="CM266" s="24">
        <f t="array" ref="CM266">IF(INDEX(Data!$B$4:$L$947,MATCH(Graphs!$CK266,Data!$A$4:$A$947,0),MATCH(Graphs!CM$4,Data!$B$3:$L$3,0))="n.q.",NA(),INDEX(Data!$B$4:$L$947,MATCH(Graphs!$CK266,Data!$A$4:$A$947,0),MATCH(Graphs!CM$4,Data!$B$3:$L$3,0)))</f>
        <v>280.91</v>
      </c>
      <c r="CN266" s="24">
        <f t="array" ref="CN266">IF(INDEX(Data!$B$4:$L$947,MATCH(Graphs!$CK266,Data!$A$4:$A$947,0),MATCH(Graphs!CN$4,Data!$B$3:$L$3,0))="n.q.",NA(),INDEX(Data!$B$4:$L$947,MATCH(Graphs!$CK266,Data!$A$4:$A$947,0),MATCH(Graphs!CN$4,Data!$B$3:$L$3,0)))</f>
        <v>280</v>
      </c>
      <c r="CO266" s="24" t="str">
        <f t="array" ref="CO266">IF(INDEX(Data!$B$4:$L$947,MATCH(Graphs!$CK266,Data!$A$4:$A$947,0),MATCH(Graphs!CO$4,Data!$B$3:$L$3,0))="n.q.",NA(),INDEX(Data!$B$4:$L$947,MATCH(Graphs!$CK266,Data!$A$4:$A$947,0),MATCH(Graphs!CO$4,Data!$B$3:$L$3,0)))</f>
        <v>#N/A</v>
      </c>
      <c r="CP266" s="24" t="str">
        <f t="array" ref="CP266">IF(INDEX(Data!$B$4:$L$947,MATCH(Graphs!$CK266,Data!$A$4:$A$947,0),MATCH(Graphs!CP$4,Data!$B$3:$L$3,0))="n.q.",NA(),INDEX(Data!$B$4:$L$947,MATCH(Graphs!$CK266,Data!$A$4:$A$947,0),MATCH(Graphs!CP$4,Data!$B$3:$L$3,0)))</f>
        <v>#N/A</v>
      </c>
      <c r="CQ266" s="5"/>
      <c r="CR266" s="24">
        <f t="array" ref="CR266">IF(INDEX(Data!$P$4:$Z$947,MATCH(Graphs!$CK266,Data!$A$4:$A$947,0),MATCH(Graphs!CR$4,Data!$P$3:$Z$3,0))="n.q.",NA(),INDEX(Data!$P$4:$Z$947,MATCH(Graphs!$CK266,Data!$A$4:$A$947,0),MATCH(Graphs!CR$4,Data!$P$3:$Z$3,0)))</f>
        <v>207.8119744</v>
      </c>
      <c r="CS266" s="24">
        <f t="array" ref="CS266">IF(INDEX(Data!$P$4:$Z$947,MATCH(Graphs!$CK266,Data!$A$4:$A$947,0),MATCH(Graphs!CS$4,Data!$P$3:$Z$3,0))="n.q.",NA(),INDEX(Data!$P$4:$Z$947,MATCH(Graphs!$CK266,Data!$A$4:$A$947,0),MATCH(Graphs!CS$4,Data!$P$3:$Z$3,0)))</f>
        <v>230.94</v>
      </c>
      <c r="CT266" s="24">
        <f t="array" ref="CT266">IF(INDEX(Data!$P$4:$Z$947,MATCH(Graphs!$CK266,Data!$A$4:$A$947,0),MATCH(Graphs!CT$4,Data!$P$3:$Z$3,0))="n.q.",NA(),INDEX(Data!$P$4:$Z$947,MATCH(Graphs!$CK266,Data!$A$4:$A$947,0),MATCH(Graphs!CT$4,Data!$P$3:$Z$3,0)))</f>
        <v>220.3161789</v>
      </c>
      <c r="CU266" s="24" t="str">
        <f t="array" ref="CU266">IF(INDEX(Data!$P$4:$Z$947,MATCH(Graphs!$CK266,Data!$A$4:$A$947,0),MATCH(Graphs!CU$4,Data!$P$3:$Z$3,0))="n.q.",NA(),INDEX(Data!$P$4:$Z$947,MATCH(Graphs!$CK266,Data!$A$4:$A$947,0),MATCH(Graphs!CU$4,Data!$P$3:$Z$3,0)))</f>
        <v>#N/A</v>
      </c>
      <c r="CV266" s="24" t="str">
        <f t="array" ref="CV266">IF(INDEX(Data!$P$4:$Z$947,MATCH(Graphs!$CK266,Data!$A$4:$A$947,0),MATCH(Graphs!CV$4,Data!$P$3:$Z$3,0))="n.q.",NA(),INDEX(Data!$P$4:$Z$947,MATCH(Graphs!$CK266,Data!$A$4:$A$947,0),MATCH(Graphs!CV$4,Data!$P$3:$Z$3,0)))</f>
        <v>#N/A</v>
      </c>
    </row>
    <row r="267" ht="14.25" customHeight="1"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5"/>
      <c r="CK267" s="22">
        <f>Data!A248</f>
        <v>44258</v>
      </c>
      <c r="CL267" s="24">
        <f t="array" ref="CL267">IF(INDEX(Data!$B$4:$L$947,MATCH(Graphs!$CK267,Data!$A$4:$A$947,0),MATCH(Graphs!CL$4,Data!$B$3:$L$3,0))="n.q.",NA(),INDEX(Data!$B$4:$L$947,MATCH(Graphs!$CK267,Data!$A$4:$A$947,0),MATCH(Graphs!CL$4,Data!$B$3:$L$3,0)))</f>
        <v>296.04</v>
      </c>
      <c r="CM267" s="24">
        <f t="array" ref="CM267">IF(INDEX(Data!$B$4:$L$947,MATCH(Graphs!$CK267,Data!$A$4:$A$947,0),MATCH(Graphs!CM$4,Data!$B$3:$L$3,0))="n.q.",NA(),INDEX(Data!$B$4:$L$947,MATCH(Graphs!$CK267,Data!$A$4:$A$947,0),MATCH(Graphs!CM$4,Data!$B$3:$L$3,0)))</f>
        <v>283.85</v>
      </c>
      <c r="CN267" s="24">
        <f t="array" ref="CN267">IF(INDEX(Data!$B$4:$L$947,MATCH(Graphs!$CK267,Data!$A$4:$A$947,0),MATCH(Graphs!CN$4,Data!$B$3:$L$3,0))="n.q.",NA(),INDEX(Data!$B$4:$L$947,MATCH(Graphs!$CK267,Data!$A$4:$A$947,0),MATCH(Graphs!CN$4,Data!$B$3:$L$3,0)))</f>
        <v>284</v>
      </c>
      <c r="CO267" s="24" t="str">
        <f t="array" ref="CO267">IF(INDEX(Data!$B$4:$L$947,MATCH(Graphs!$CK267,Data!$A$4:$A$947,0),MATCH(Graphs!CO$4,Data!$B$3:$L$3,0))="n.q.",NA(),INDEX(Data!$B$4:$L$947,MATCH(Graphs!$CK267,Data!$A$4:$A$947,0),MATCH(Graphs!CO$4,Data!$B$3:$L$3,0)))</f>
        <v>#N/A</v>
      </c>
      <c r="CP267" s="24" t="str">
        <f t="array" ref="CP267">IF(INDEX(Data!$B$4:$L$947,MATCH(Graphs!$CK267,Data!$A$4:$A$947,0),MATCH(Graphs!CP$4,Data!$B$3:$L$3,0))="n.q.",NA(),INDEX(Data!$B$4:$L$947,MATCH(Graphs!$CK267,Data!$A$4:$A$947,0),MATCH(Graphs!CP$4,Data!$B$3:$L$3,0)))</f>
        <v>#N/A</v>
      </c>
      <c r="CQ267" s="5"/>
      <c r="CR267" s="24">
        <f t="array" ref="CR267">IF(INDEX(Data!$P$4:$Z$947,MATCH(Graphs!$CK267,Data!$A$4:$A$947,0),MATCH(Graphs!CR$4,Data!$P$3:$Z$3,0))="n.q.",NA(),INDEX(Data!$P$4:$Z$947,MATCH(Graphs!$CK267,Data!$A$4:$A$947,0),MATCH(Graphs!CR$4,Data!$P$3:$Z$3,0)))</f>
        <v>207.9017264</v>
      </c>
      <c r="CS267" s="24" t="str">
        <f t="array" ref="CS267">IF(INDEX(Data!$P$4:$Z$947,MATCH(Graphs!$CK267,Data!$A$4:$A$947,0),MATCH(Graphs!CS$4,Data!$P$3:$Z$3,0))="n.q.",NA(),INDEX(Data!$P$4:$Z$947,MATCH(Graphs!$CK267,Data!$A$4:$A$947,0),MATCH(Graphs!CS$4,Data!$P$3:$Z$3,0)))</f>
        <v>#N/A</v>
      </c>
      <c r="CT267" s="24">
        <f t="array" ref="CT267">IF(INDEX(Data!$P$4:$Z$947,MATCH(Graphs!$CK267,Data!$A$4:$A$947,0),MATCH(Graphs!CT$4,Data!$P$3:$Z$3,0))="n.q.",NA(),INDEX(Data!$P$4:$Z$947,MATCH(Graphs!$CK267,Data!$A$4:$A$947,0),MATCH(Graphs!CT$4,Data!$P$3:$Z$3,0)))</f>
        <v>219.123506</v>
      </c>
      <c r="CU267" s="24" t="str">
        <f t="array" ref="CU267">IF(INDEX(Data!$P$4:$Z$947,MATCH(Graphs!$CK267,Data!$A$4:$A$947,0),MATCH(Graphs!CU$4,Data!$P$3:$Z$3,0))="n.q.",NA(),INDEX(Data!$P$4:$Z$947,MATCH(Graphs!$CK267,Data!$A$4:$A$947,0),MATCH(Graphs!CU$4,Data!$P$3:$Z$3,0)))</f>
        <v>#N/A</v>
      </c>
      <c r="CV267" s="24" t="str">
        <f t="array" ref="CV267">IF(INDEX(Data!$P$4:$Z$947,MATCH(Graphs!$CK267,Data!$A$4:$A$947,0),MATCH(Graphs!CV$4,Data!$P$3:$Z$3,0))="n.q.",NA(),INDEX(Data!$P$4:$Z$947,MATCH(Graphs!$CK267,Data!$A$4:$A$947,0),MATCH(Graphs!CV$4,Data!$P$3:$Z$3,0)))</f>
        <v>#N/A</v>
      </c>
    </row>
    <row r="268" ht="14.25" customHeight="1"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5"/>
      <c r="CK268" s="22">
        <f>Data!A249</f>
        <v>44251</v>
      </c>
      <c r="CL268" s="24">
        <f t="array" ref="CL268">IF(INDEX(Data!$B$4:$L$947,MATCH(Graphs!$CK268,Data!$A$4:$A$947,0),MATCH(Graphs!CL$4,Data!$B$3:$L$3,0))="n.q.",NA(),INDEX(Data!$B$4:$L$947,MATCH(Graphs!$CK268,Data!$A$4:$A$947,0),MATCH(Graphs!CL$4,Data!$B$3:$L$3,0)))</f>
        <v>300.24</v>
      </c>
      <c r="CM268" s="24">
        <f t="array" ref="CM268">IF(INDEX(Data!$B$4:$L$947,MATCH(Graphs!$CK268,Data!$A$4:$A$947,0),MATCH(Graphs!CM$4,Data!$B$3:$L$3,0))="n.q.",NA(),INDEX(Data!$B$4:$L$947,MATCH(Graphs!$CK268,Data!$A$4:$A$947,0),MATCH(Graphs!CM$4,Data!$B$3:$L$3,0)))</f>
        <v>297.99</v>
      </c>
      <c r="CN268" s="24">
        <f t="array" ref="CN268">IF(INDEX(Data!$B$4:$L$947,MATCH(Graphs!$CK268,Data!$A$4:$A$947,0),MATCH(Graphs!CN$4,Data!$B$3:$L$3,0))="n.q.",NA(),INDEX(Data!$B$4:$L$947,MATCH(Graphs!$CK268,Data!$A$4:$A$947,0),MATCH(Graphs!CN$4,Data!$B$3:$L$3,0)))</f>
        <v>282</v>
      </c>
      <c r="CO268" s="24" t="str">
        <f t="array" ref="CO268">IF(INDEX(Data!$B$4:$L$947,MATCH(Graphs!$CK268,Data!$A$4:$A$947,0),MATCH(Graphs!CO$4,Data!$B$3:$L$3,0))="n.q.",NA(),INDEX(Data!$B$4:$L$947,MATCH(Graphs!$CK268,Data!$A$4:$A$947,0),MATCH(Graphs!CO$4,Data!$B$3:$L$3,0)))</f>
        <v>#N/A</v>
      </c>
      <c r="CP268" s="24" t="str">
        <f t="array" ref="CP268">IF(INDEX(Data!$B$4:$L$947,MATCH(Graphs!$CK268,Data!$A$4:$A$947,0),MATCH(Graphs!CP$4,Data!$B$3:$L$3,0))="n.q.",NA(),INDEX(Data!$B$4:$L$947,MATCH(Graphs!$CK268,Data!$A$4:$A$947,0),MATCH(Graphs!CP$4,Data!$B$3:$L$3,0)))</f>
        <v>#N/A</v>
      </c>
      <c r="CQ268" s="5"/>
      <c r="CR268" s="24">
        <f t="array" ref="CR268">IF(INDEX(Data!$P$4:$Z$947,MATCH(Graphs!$CK268,Data!$A$4:$A$947,0),MATCH(Graphs!CR$4,Data!$P$3:$Z$3,0))="n.q.",NA(),INDEX(Data!$P$4:$Z$947,MATCH(Graphs!$CK268,Data!$A$4:$A$947,0),MATCH(Graphs!CR$4,Data!$P$3:$Z$3,0)))</f>
        <v>209.4681377</v>
      </c>
      <c r="CS268" s="24">
        <f t="array" ref="CS268">IF(INDEX(Data!$P$4:$Z$947,MATCH(Graphs!$CK268,Data!$A$4:$A$947,0),MATCH(Graphs!CS$4,Data!$P$3:$Z$3,0))="n.q.",NA(),INDEX(Data!$P$4:$Z$947,MATCH(Graphs!$CK268,Data!$A$4:$A$947,0),MATCH(Graphs!CS$4,Data!$P$3:$Z$3,0)))</f>
        <v>234.01</v>
      </c>
      <c r="CT268" s="24">
        <f t="array" ref="CT268">IF(INDEX(Data!$P$4:$Z$947,MATCH(Graphs!$CK268,Data!$A$4:$A$947,0),MATCH(Graphs!CT$4,Data!$P$3:$Z$3,0))="n.q.",NA(),INDEX(Data!$P$4:$Z$947,MATCH(Graphs!$CK268,Data!$A$4:$A$947,0),MATCH(Graphs!CT$4,Data!$P$3:$Z$3,0)))</f>
        <v>217.355508</v>
      </c>
      <c r="CU268" s="24" t="str">
        <f t="array" ref="CU268">IF(INDEX(Data!$P$4:$Z$947,MATCH(Graphs!$CK268,Data!$A$4:$A$947,0),MATCH(Graphs!CU$4,Data!$P$3:$Z$3,0))="n.q.",NA(),INDEX(Data!$P$4:$Z$947,MATCH(Graphs!$CK268,Data!$A$4:$A$947,0),MATCH(Graphs!CU$4,Data!$P$3:$Z$3,0)))</f>
        <v>#N/A</v>
      </c>
      <c r="CV268" s="24" t="str">
        <f t="array" ref="CV268">IF(INDEX(Data!$P$4:$Z$947,MATCH(Graphs!$CK268,Data!$A$4:$A$947,0),MATCH(Graphs!CV$4,Data!$P$3:$Z$3,0))="n.q.",NA(),INDEX(Data!$P$4:$Z$947,MATCH(Graphs!$CK268,Data!$A$4:$A$947,0),MATCH(Graphs!CV$4,Data!$P$3:$Z$3,0)))</f>
        <v>#N/A</v>
      </c>
    </row>
    <row r="269" ht="14.25" customHeight="1"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5"/>
      <c r="CK269" s="22">
        <f>Data!A250</f>
        <v>44244</v>
      </c>
      <c r="CL269" s="24">
        <f t="array" ref="CL269">IF(INDEX(Data!$B$4:$L$947,MATCH(Graphs!$CK269,Data!$A$4:$A$947,0),MATCH(Graphs!CL$4,Data!$B$3:$L$3,0))="n.q.",NA(),INDEX(Data!$B$4:$L$947,MATCH(Graphs!$CK269,Data!$A$4:$A$947,0),MATCH(Graphs!CL$4,Data!$B$3:$L$3,0)))</f>
        <v>284.51</v>
      </c>
      <c r="CM269" s="24">
        <f t="array" ref="CM269">IF(INDEX(Data!$B$4:$L$947,MATCH(Graphs!$CK269,Data!$A$4:$A$947,0),MATCH(Graphs!CM$4,Data!$B$3:$L$3,0))="n.q.",NA(),INDEX(Data!$B$4:$L$947,MATCH(Graphs!$CK269,Data!$A$4:$A$947,0),MATCH(Graphs!CM$4,Data!$B$3:$L$3,0)))</f>
        <v>286.42</v>
      </c>
      <c r="CN269" s="24">
        <f t="array" ref="CN269">IF(INDEX(Data!$B$4:$L$947,MATCH(Graphs!$CK269,Data!$A$4:$A$947,0),MATCH(Graphs!CN$4,Data!$B$3:$L$3,0))="n.q.",NA(),INDEX(Data!$B$4:$L$947,MATCH(Graphs!$CK269,Data!$A$4:$A$947,0),MATCH(Graphs!CN$4,Data!$B$3:$L$3,0)))</f>
        <v>276</v>
      </c>
      <c r="CO269" s="24" t="str">
        <f t="array" ref="CO269">IF(INDEX(Data!$B$4:$L$947,MATCH(Graphs!$CK269,Data!$A$4:$A$947,0),MATCH(Graphs!CO$4,Data!$B$3:$L$3,0))="n.q.",NA(),INDEX(Data!$B$4:$L$947,MATCH(Graphs!$CK269,Data!$A$4:$A$947,0),MATCH(Graphs!CO$4,Data!$B$3:$L$3,0)))</f>
        <v>#N/A</v>
      </c>
      <c r="CP269" s="24" t="str">
        <f t="array" ref="CP269">IF(INDEX(Data!$B$4:$L$947,MATCH(Graphs!$CK269,Data!$A$4:$A$947,0),MATCH(Graphs!CP$4,Data!$B$3:$L$3,0))="n.q.",NA(),INDEX(Data!$B$4:$L$947,MATCH(Graphs!$CK269,Data!$A$4:$A$947,0),MATCH(Graphs!CP$4,Data!$B$3:$L$3,0)))</f>
        <v>#N/A</v>
      </c>
      <c r="CQ269" s="5"/>
      <c r="CR269" s="24">
        <f t="array" ref="CR269">IF(INDEX(Data!$P$4:$Z$947,MATCH(Graphs!$CK269,Data!$A$4:$A$947,0),MATCH(Graphs!CR$4,Data!$P$3:$Z$3,0))="n.q.",NA(),INDEX(Data!$P$4:$Z$947,MATCH(Graphs!$CK269,Data!$A$4:$A$947,0),MATCH(Graphs!CR$4,Data!$P$3:$Z$3,0)))</f>
        <v>208.9220564</v>
      </c>
      <c r="CS269" s="24">
        <f t="array" ref="CS269">IF(INDEX(Data!$P$4:$Z$947,MATCH(Graphs!$CK269,Data!$A$4:$A$947,0),MATCH(Graphs!CS$4,Data!$P$3:$Z$3,0))="n.q.",NA(),INDEX(Data!$P$4:$Z$947,MATCH(Graphs!$CK269,Data!$A$4:$A$947,0),MATCH(Graphs!CS$4,Data!$P$3:$Z$3,0)))</f>
        <v>227.76</v>
      </c>
      <c r="CT269" s="24">
        <f t="array" ref="CT269">IF(INDEX(Data!$P$4:$Z$947,MATCH(Graphs!$CK269,Data!$A$4:$A$947,0),MATCH(Graphs!CT$4,Data!$P$3:$Z$3,0))="n.q.",NA(),INDEX(Data!$P$4:$Z$947,MATCH(Graphs!$CK269,Data!$A$4:$A$947,0),MATCH(Graphs!CT$4,Data!$P$3:$Z$3,0)))</f>
        <v>214.7595357</v>
      </c>
      <c r="CU269" s="24" t="str">
        <f t="array" ref="CU269">IF(INDEX(Data!$P$4:$Z$947,MATCH(Graphs!$CK269,Data!$A$4:$A$947,0),MATCH(Graphs!CU$4,Data!$P$3:$Z$3,0))="n.q.",NA(),INDEX(Data!$P$4:$Z$947,MATCH(Graphs!$CK269,Data!$A$4:$A$947,0),MATCH(Graphs!CU$4,Data!$P$3:$Z$3,0)))</f>
        <v>#N/A</v>
      </c>
      <c r="CV269" s="24" t="str">
        <f t="array" ref="CV269">IF(INDEX(Data!$P$4:$Z$947,MATCH(Graphs!$CK269,Data!$A$4:$A$947,0),MATCH(Graphs!CV$4,Data!$P$3:$Z$3,0))="n.q.",NA(),INDEX(Data!$P$4:$Z$947,MATCH(Graphs!$CK269,Data!$A$4:$A$947,0),MATCH(Graphs!CV$4,Data!$P$3:$Z$3,0)))</f>
        <v>#N/A</v>
      </c>
    </row>
    <row r="270" ht="14.25" customHeight="1"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5"/>
      <c r="CK270" s="22">
        <f>Data!A251</f>
        <v>44237</v>
      </c>
      <c r="CL270" s="24">
        <f t="array" ref="CL270">IF(INDEX(Data!$B$4:$L$947,MATCH(Graphs!$CK270,Data!$A$4:$A$947,0),MATCH(Graphs!CL$4,Data!$B$3:$L$3,0))="n.q.",NA(),INDEX(Data!$B$4:$L$947,MATCH(Graphs!$CK270,Data!$A$4:$A$947,0),MATCH(Graphs!CL$4,Data!$B$3:$L$3,0)))</f>
        <v>279.4</v>
      </c>
      <c r="CM270" s="24">
        <f t="array" ref="CM270">IF(INDEX(Data!$B$4:$L$947,MATCH(Graphs!$CK270,Data!$A$4:$A$947,0),MATCH(Graphs!CM$4,Data!$B$3:$L$3,0))="n.q.",NA(),INDEX(Data!$B$4:$L$947,MATCH(Graphs!$CK270,Data!$A$4:$A$947,0),MATCH(Graphs!CM$4,Data!$B$3:$L$3,0)))</f>
        <v>284.4</v>
      </c>
      <c r="CN270" s="24">
        <f t="array" ref="CN270">IF(INDEX(Data!$B$4:$L$947,MATCH(Graphs!$CK270,Data!$A$4:$A$947,0),MATCH(Graphs!CN$4,Data!$B$3:$L$3,0))="n.q.",NA(),INDEX(Data!$B$4:$L$947,MATCH(Graphs!$CK270,Data!$A$4:$A$947,0),MATCH(Graphs!CN$4,Data!$B$3:$L$3,0)))</f>
        <v>278</v>
      </c>
      <c r="CO270" s="24" t="str">
        <f t="array" ref="CO270">IF(INDEX(Data!$B$4:$L$947,MATCH(Graphs!$CK270,Data!$A$4:$A$947,0),MATCH(Graphs!CO$4,Data!$B$3:$L$3,0))="n.q.",NA(),INDEX(Data!$B$4:$L$947,MATCH(Graphs!$CK270,Data!$A$4:$A$947,0),MATCH(Graphs!CO$4,Data!$B$3:$L$3,0)))</f>
        <v>#N/A</v>
      </c>
      <c r="CP270" s="24" t="str">
        <f t="array" ref="CP270">IF(INDEX(Data!$B$4:$L$947,MATCH(Graphs!$CK270,Data!$A$4:$A$947,0),MATCH(Graphs!CP$4,Data!$B$3:$L$3,0))="n.q.",NA(),INDEX(Data!$B$4:$L$947,MATCH(Graphs!$CK270,Data!$A$4:$A$947,0),MATCH(Graphs!CP$4,Data!$B$3:$L$3,0)))</f>
        <v>#N/A</v>
      </c>
      <c r="CQ270" s="5"/>
      <c r="CR270" s="24">
        <f t="array" ref="CR270">IF(INDEX(Data!$P$4:$Z$947,MATCH(Graphs!$CK270,Data!$A$4:$A$947,0),MATCH(Graphs!CR$4,Data!$P$3:$Z$3,0))="n.q.",NA(),INDEX(Data!$P$4:$Z$947,MATCH(Graphs!$CK270,Data!$A$4:$A$947,0),MATCH(Graphs!CR$4,Data!$P$3:$Z$3,0)))</f>
        <v>201.7564113</v>
      </c>
      <c r="CS270" s="24">
        <f t="array" ref="CS270">IF(INDEX(Data!$P$4:$Z$947,MATCH(Graphs!$CK270,Data!$A$4:$A$947,0),MATCH(Graphs!CS$4,Data!$P$3:$Z$3,0))="n.q.",NA(),INDEX(Data!$P$4:$Z$947,MATCH(Graphs!$CK270,Data!$A$4:$A$947,0),MATCH(Graphs!CS$4,Data!$P$3:$Z$3,0)))</f>
        <v>226.51</v>
      </c>
      <c r="CT270" s="24">
        <f t="array" ref="CT270">IF(INDEX(Data!$P$4:$Z$947,MATCH(Graphs!$CK270,Data!$A$4:$A$947,0),MATCH(Graphs!CT$4,Data!$P$3:$Z$3,0))="n.q.",NA(),INDEX(Data!$P$4:$Z$947,MATCH(Graphs!$CK270,Data!$A$4:$A$947,0),MATCH(Graphs!CT$4,Data!$P$3:$Z$3,0)))</f>
        <v>216.0468376</v>
      </c>
      <c r="CU270" s="24" t="str">
        <f t="array" ref="CU270">IF(INDEX(Data!$P$4:$Z$947,MATCH(Graphs!$CK270,Data!$A$4:$A$947,0),MATCH(Graphs!CU$4,Data!$P$3:$Z$3,0))="n.q.",NA(),INDEX(Data!$P$4:$Z$947,MATCH(Graphs!$CK270,Data!$A$4:$A$947,0),MATCH(Graphs!CU$4,Data!$P$3:$Z$3,0)))</f>
        <v>#N/A</v>
      </c>
      <c r="CV270" s="24" t="str">
        <f t="array" ref="CV270">IF(INDEX(Data!$P$4:$Z$947,MATCH(Graphs!$CK270,Data!$A$4:$A$947,0),MATCH(Graphs!CV$4,Data!$P$3:$Z$3,0))="n.q.",NA(),INDEX(Data!$P$4:$Z$947,MATCH(Graphs!$CK270,Data!$A$4:$A$947,0),MATCH(Graphs!CV$4,Data!$P$3:$Z$3,0)))</f>
        <v>#N/A</v>
      </c>
    </row>
    <row r="271" ht="14.25" customHeight="1"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5"/>
      <c r="CK271" s="22">
        <f>Data!A252</f>
        <v>44230</v>
      </c>
      <c r="CL271" s="24">
        <f t="array" ref="CL271">IF(INDEX(Data!$B$4:$L$947,MATCH(Graphs!$CK271,Data!$A$4:$A$947,0),MATCH(Graphs!CL$4,Data!$B$3:$L$3,0))="n.q.",NA(),INDEX(Data!$B$4:$L$947,MATCH(Graphs!$CK271,Data!$A$4:$A$947,0),MATCH(Graphs!CL$4,Data!$B$3:$L$3,0)))</f>
        <v>279.29</v>
      </c>
      <c r="CM271" s="24">
        <f t="array" ref="CM271">IF(INDEX(Data!$B$4:$L$947,MATCH(Graphs!$CK271,Data!$A$4:$A$947,0),MATCH(Graphs!CM$4,Data!$B$3:$L$3,0))="n.q.",NA(),INDEX(Data!$B$4:$L$947,MATCH(Graphs!$CK271,Data!$A$4:$A$947,0),MATCH(Graphs!CM$4,Data!$B$3:$L$3,0)))</f>
        <v>290.46</v>
      </c>
      <c r="CN271" s="24">
        <f t="array" ref="CN271">IF(INDEX(Data!$B$4:$L$947,MATCH(Graphs!$CK271,Data!$A$4:$A$947,0),MATCH(Graphs!CN$4,Data!$B$3:$L$3,0))="n.q.",NA(),INDEX(Data!$B$4:$L$947,MATCH(Graphs!$CK271,Data!$A$4:$A$947,0),MATCH(Graphs!CN$4,Data!$B$3:$L$3,0)))</f>
        <v>284</v>
      </c>
      <c r="CO271" s="24" t="str">
        <f t="array" ref="CO271">IF(INDEX(Data!$B$4:$L$947,MATCH(Graphs!$CK271,Data!$A$4:$A$947,0),MATCH(Graphs!CO$4,Data!$B$3:$L$3,0))="n.q.",NA(),INDEX(Data!$B$4:$L$947,MATCH(Graphs!$CK271,Data!$A$4:$A$947,0),MATCH(Graphs!CO$4,Data!$B$3:$L$3,0)))</f>
        <v>#N/A</v>
      </c>
      <c r="CP271" s="24" t="str">
        <f t="array" ref="CP271">IF(INDEX(Data!$B$4:$L$947,MATCH(Graphs!$CK271,Data!$A$4:$A$947,0),MATCH(Graphs!CP$4,Data!$B$3:$L$3,0))="n.q.",NA(),INDEX(Data!$B$4:$L$947,MATCH(Graphs!$CK271,Data!$A$4:$A$947,0),MATCH(Graphs!CP$4,Data!$B$3:$L$3,0)))</f>
        <v>#N/A</v>
      </c>
      <c r="CQ271" s="5"/>
      <c r="CR271" s="24">
        <f t="array" ref="CR271">IF(INDEX(Data!$P$4:$Z$947,MATCH(Graphs!$CK271,Data!$A$4:$A$947,0),MATCH(Graphs!CR$4,Data!$P$3:$Z$3,0))="n.q.",NA(),INDEX(Data!$P$4:$Z$947,MATCH(Graphs!$CK271,Data!$A$4:$A$947,0),MATCH(Graphs!CR$4,Data!$P$3:$Z$3,0)))</f>
        <v>210.9761172</v>
      </c>
      <c r="CS271" s="24" t="str">
        <f t="array" ref="CS271">IF(INDEX(Data!$P$4:$Z$947,MATCH(Graphs!$CK271,Data!$A$4:$A$947,0),MATCH(Graphs!CS$4,Data!$P$3:$Z$3,0))="n.q.",NA(),INDEX(Data!$P$4:$Z$947,MATCH(Graphs!$CK271,Data!$A$4:$A$947,0),MATCH(Graphs!CS$4,Data!$P$3:$Z$3,0)))</f>
        <v>#N/A</v>
      </c>
      <c r="CT271" s="24">
        <f t="array" ref="CT271">IF(INDEX(Data!$P$4:$Z$947,MATCH(Graphs!$CK271,Data!$A$4:$A$947,0),MATCH(Graphs!CT$4,Data!$P$3:$Z$3,0))="n.q.",NA(),INDEX(Data!$P$4:$Z$947,MATCH(Graphs!$CK271,Data!$A$4:$A$947,0),MATCH(Graphs!CT$4,Data!$P$3:$Z$3,0)))</f>
        <v>219.6887742</v>
      </c>
      <c r="CU271" s="24" t="str">
        <f t="array" ref="CU271">IF(INDEX(Data!$P$4:$Z$947,MATCH(Graphs!$CK271,Data!$A$4:$A$947,0),MATCH(Graphs!CU$4,Data!$P$3:$Z$3,0))="n.q.",NA(),INDEX(Data!$P$4:$Z$947,MATCH(Graphs!$CK271,Data!$A$4:$A$947,0),MATCH(Graphs!CU$4,Data!$P$3:$Z$3,0)))</f>
        <v>#N/A</v>
      </c>
      <c r="CV271" s="24" t="str">
        <f t="array" ref="CV271">IF(INDEX(Data!$P$4:$Z$947,MATCH(Graphs!$CK271,Data!$A$4:$A$947,0),MATCH(Graphs!CV$4,Data!$P$3:$Z$3,0))="n.q.",NA(),INDEX(Data!$P$4:$Z$947,MATCH(Graphs!$CK271,Data!$A$4:$A$947,0),MATCH(Graphs!CV$4,Data!$P$3:$Z$3,0)))</f>
        <v>#N/A</v>
      </c>
    </row>
    <row r="272" ht="14.25" customHeight="1"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5"/>
      <c r="CK272" s="22">
        <f>Data!A253</f>
        <v>44223</v>
      </c>
      <c r="CL272" s="24">
        <f t="array" ref="CL272">IF(INDEX(Data!$B$4:$L$947,MATCH(Graphs!$CK272,Data!$A$4:$A$947,0),MATCH(Graphs!CL$4,Data!$B$3:$L$3,0))="n.q.",NA(),INDEX(Data!$B$4:$L$947,MATCH(Graphs!$CK272,Data!$A$4:$A$947,0),MATCH(Graphs!CL$4,Data!$B$3:$L$3,0)))</f>
        <v>289.63</v>
      </c>
      <c r="CM272" s="24">
        <f t="array" ref="CM272">IF(INDEX(Data!$B$4:$L$947,MATCH(Graphs!$CK272,Data!$A$4:$A$947,0),MATCH(Graphs!CM$4,Data!$B$3:$L$3,0))="n.q.",NA(),INDEX(Data!$B$4:$L$947,MATCH(Graphs!$CK272,Data!$A$4:$A$947,0),MATCH(Graphs!CM$4,Data!$B$3:$L$3,0)))</f>
        <v>294.59</v>
      </c>
      <c r="CN272" s="24">
        <f t="array" ref="CN272">IF(INDEX(Data!$B$4:$L$947,MATCH(Graphs!$CK272,Data!$A$4:$A$947,0),MATCH(Graphs!CN$4,Data!$B$3:$L$3,0))="n.q.",NA(),INDEX(Data!$B$4:$L$947,MATCH(Graphs!$CK272,Data!$A$4:$A$947,0),MATCH(Graphs!CN$4,Data!$B$3:$L$3,0)))</f>
        <v>287</v>
      </c>
      <c r="CO272" s="24" t="str">
        <f t="array" ref="CO272">IF(INDEX(Data!$B$4:$L$947,MATCH(Graphs!$CK272,Data!$A$4:$A$947,0),MATCH(Graphs!CO$4,Data!$B$3:$L$3,0))="n.q.",NA(),INDEX(Data!$B$4:$L$947,MATCH(Graphs!$CK272,Data!$A$4:$A$947,0),MATCH(Graphs!CO$4,Data!$B$3:$L$3,0)))</f>
        <v>#N/A</v>
      </c>
      <c r="CP272" s="24" t="str">
        <f t="array" ref="CP272">IF(INDEX(Data!$B$4:$L$947,MATCH(Graphs!$CK272,Data!$A$4:$A$947,0),MATCH(Graphs!CP$4,Data!$B$3:$L$3,0))="n.q.",NA(),INDEX(Data!$B$4:$L$947,MATCH(Graphs!$CK272,Data!$A$4:$A$947,0),MATCH(Graphs!CP$4,Data!$B$3:$L$3,0)))</f>
        <v>#N/A</v>
      </c>
      <c r="CQ272" s="5"/>
      <c r="CR272" s="24">
        <f t="array" ref="CR272">IF(INDEX(Data!$P$4:$Z$947,MATCH(Graphs!$CK272,Data!$A$4:$A$947,0),MATCH(Graphs!CR$4,Data!$P$3:$Z$3,0))="n.q.",NA(),INDEX(Data!$P$4:$Z$947,MATCH(Graphs!$CK272,Data!$A$4:$A$947,0),MATCH(Graphs!CR$4,Data!$P$3:$Z$3,0)))</f>
        <v>203.1121017</v>
      </c>
      <c r="CS272" s="24">
        <f t="array" ref="CS272">IF(INDEX(Data!$P$4:$Z$947,MATCH(Graphs!$CK272,Data!$A$4:$A$947,0),MATCH(Graphs!CS$4,Data!$P$3:$Z$3,0))="n.q.",NA(),INDEX(Data!$P$4:$Z$947,MATCH(Graphs!$CK272,Data!$A$4:$A$947,0),MATCH(Graphs!CS$4,Data!$P$3:$Z$3,0)))</f>
        <v>225.58</v>
      </c>
      <c r="CT272" s="24">
        <f t="array" ref="CT272">IF(INDEX(Data!$P$4:$Z$947,MATCH(Graphs!$CK272,Data!$A$4:$A$947,0),MATCH(Graphs!CT$4,Data!$P$3:$Z$3,0))="n.q.",NA(),INDEX(Data!$P$4:$Z$947,MATCH(Graphs!$CK272,Data!$A$4:$A$947,0),MATCH(Graphs!CT$4,Data!$P$3:$Z$3,0)))</f>
        <v>216.2786858</v>
      </c>
      <c r="CU272" s="24" t="str">
        <f t="array" ref="CU272">IF(INDEX(Data!$P$4:$Z$947,MATCH(Graphs!$CK272,Data!$A$4:$A$947,0),MATCH(Graphs!CU$4,Data!$P$3:$Z$3,0))="n.q.",NA(),INDEX(Data!$P$4:$Z$947,MATCH(Graphs!$CK272,Data!$A$4:$A$947,0),MATCH(Graphs!CU$4,Data!$P$3:$Z$3,0)))</f>
        <v>#N/A</v>
      </c>
      <c r="CV272" s="24" t="str">
        <f t="array" ref="CV272">IF(INDEX(Data!$P$4:$Z$947,MATCH(Graphs!$CK272,Data!$A$4:$A$947,0),MATCH(Graphs!CV$4,Data!$P$3:$Z$3,0))="n.q.",NA(),INDEX(Data!$P$4:$Z$947,MATCH(Graphs!$CK272,Data!$A$4:$A$947,0),MATCH(Graphs!CV$4,Data!$P$3:$Z$3,0)))</f>
        <v>#N/A</v>
      </c>
    </row>
    <row r="273" ht="14.25" customHeight="1"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5"/>
      <c r="CK273" s="22">
        <f>Data!A254</f>
        <v>44216</v>
      </c>
      <c r="CL273" s="24">
        <f t="array" ref="CL273">IF(INDEX(Data!$B$4:$L$947,MATCH(Graphs!$CK273,Data!$A$4:$A$947,0),MATCH(Graphs!CL$4,Data!$B$3:$L$3,0))="n.q.",NA(),INDEX(Data!$B$4:$L$947,MATCH(Graphs!$CK273,Data!$A$4:$A$947,0),MATCH(Graphs!CL$4,Data!$B$3:$L$3,0)))</f>
        <v>293.47</v>
      </c>
      <c r="CM273" s="24">
        <f t="array" ref="CM273">IF(INDEX(Data!$B$4:$L$947,MATCH(Graphs!$CK273,Data!$A$4:$A$947,0),MATCH(Graphs!CM$4,Data!$B$3:$L$3,0))="n.q.",NA(),INDEX(Data!$B$4:$L$947,MATCH(Graphs!$CK273,Data!$A$4:$A$947,0),MATCH(Graphs!CM$4,Data!$B$3:$L$3,0)))</f>
        <v>294.68</v>
      </c>
      <c r="CN273" s="24">
        <f t="array" ref="CN273">IF(INDEX(Data!$B$4:$L$947,MATCH(Graphs!$CK273,Data!$A$4:$A$947,0),MATCH(Graphs!CN$4,Data!$B$3:$L$3,0))="n.q.",NA(),INDEX(Data!$B$4:$L$947,MATCH(Graphs!$CK273,Data!$A$4:$A$947,0),MATCH(Graphs!CN$4,Data!$B$3:$L$3,0)))</f>
        <v>292</v>
      </c>
      <c r="CO273" s="24" t="str">
        <f t="array" ref="CO273">IF(INDEX(Data!$B$4:$L$947,MATCH(Graphs!$CK273,Data!$A$4:$A$947,0),MATCH(Graphs!CO$4,Data!$B$3:$L$3,0))="n.q.",NA(),INDEX(Data!$B$4:$L$947,MATCH(Graphs!$CK273,Data!$A$4:$A$947,0),MATCH(Graphs!CO$4,Data!$B$3:$L$3,0)))</f>
        <v>#N/A</v>
      </c>
      <c r="CP273" s="24" t="str">
        <f t="array" ref="CP273">IF(INDEX(Data!$B$4:$L$947,MATCH(Graphs!$CK273,Data!$A$4:$A$947,0),MATCH(Graphs!CP$4,Data!$B$3:$L$3,0))="n.q.",NA(),INDEX(Data!$B$4:$L$947,MATCH(Graphs!$CK273,Data!$A$4:$A$947,0),MATCH(Graphs!CP$4,Data!$B$3:$L$3,0)))</f>
        <v>#N/A</v>
      </c>
      <c r="CQ273" s="5"/>
      <c r="CR273" s="24">
        <f t="array" ref="CR273">IF(INDEX(Data!$P$4:$Z$947,MATCH(Graphs!$CK273,Data!$A$4:$A$947,0),MATCH(Graphs!CR$4,Data!$P$3:$Z$3,0))="n.q.",NA(),INDEX(Data!$P$4:$Z$947,MATCH(Graphs!$CK273,Data!$A$4:$A$947,0),MATCH(Graphs!CR$4,Data!$P$3:$Z$3,0)))</f>
        <v>203.9831419</v>
      </c>
      <c r="CS273" s="24">
        <f t="array" ref="CS273">IF(INDEX(Data!$P$4:$Z$947,MATCH(Graphs!$CK273,Data!$A$4:$A$947,0),MATCH(Graphs!CS$4,Data!$P$3:$Z$3,0))="n.q.",NA(),INDEX(Data!$P$4:$Z$947,MATCH(Graphs!$CK273,Data!$A$4:$A$947,0),MATCH(Graphs!CS$4,Data!$P$3:$Z$3,0)))</f>
        <v>220.08</v>
      </c>
      <c r="CT273" s="24">
        <f t="array" ref="CT273">IF(INDEX(Data!$P$4:$Z$947,MATCH(Graphs!$CK273,Data!$A$4:$A$947,0),MATCH(Graphs!CT$4,Data!$P$3:$Z$3,0))="n.q.",NA(),INDEX(Data!$P$4:$Z$947,MATCH(Graphs!$CK273,Data!$A$4:$A$947,0),MATCH(Graphs!CT$4,Data!$P$3:$Z$3,0)))</f>
        <v>218.9901661</v>
      </c>
      <c r="CU273" s="24" t="str">
        <f t="array" ref="CU273">IF(INDEX(Data!$P$4:$Z$947,MATCH(Graphs!$CK273,Data!$A$4:$A$947,0),MATCH(Graphs!CU$4,Data!$P$3:$Z$3,0))="n.q.",NA(),INDEX(Data!$P$4:$Z$947,MATCH(Graphs!$CK273,Data!$A$4:$A$947,0),MATCH(Graphs!CU$4,Data!$P$3:$Z$3,0)))</f>
        <v>#N/A</v>
      </c>
      <c r="CV273" s="24" t="str">
        <f t="array" ref="CV273">IF(INDEX(Data!$P$4:$Z$947,MATCH(Graphs!$CK273,Data!$A$4:$A$947,0),MATCH(Graphs!CV$4,Data!$P$3:$Z$3,0))="n.q.",NA(),INDEX(Data!$P$4:$Z$947,MATCH(Graphs!$CK273,Data!$A$4:$A$947,0),MATCH(Graphs!CV$4,Data!$P$3:$Z$3,0)))</f>
        <v>#N/A</v>
      </c>
    </row>
    <row r="274" ht="14.25" customHeight="1"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5"/>
      <c r="CK274" s="22">
        <f>Data!A255</f>
        <v>44209</v>
      </c>
      <c r="CL274" s="24">
        <f t="array" ref="CL274">IF(INDEX(Data!$B$4:$L$947,MATCH(Graphs!$CK274,Data!$A$4:$A$947,0),MATCH(Graphs!CL$4,Data!$B$3:$L$3,0))="n.q.",NA(),INDEX(Data!$B$4:$L$947,MATCH(Graphs!$CK274,Data!$A$4:$A$947,0),MATCH(Graphs!CL$4,Data!$B$3:$L$3,0)))</f>
        <v>287.36</v>
      </c>
      <c r="CM274" s="24">
        <f t="array" ref="CM274">IF(INDEX(Data!$B$4:$L$947,MATCH(Graphs!$CK274,Data!$A$4:$A$947,0),MATCH(Graphs!CM$4,Data!$B$3:$L$3,0))="n.q.",NA(),INDEX(Data!$B$4:$L$947,MATCH(Graphs!$CK274,Data!$A$4:$A$947,0),MATCH(Graphs!CM$4,Data!$B$3:$L$3,0)))</f>
        <v>290.55</v>
      </c>
      <c r="CN274" s="24">
        <f t="array" ref="CN274">IF(INDEX(Data!$B$4:$L$947,MATCH(Graphs!$CK274,Data!$A$4:$A$947,0),MATCH(Graphs!CN$4,Data!$B$3:$L$3,0))="n.q.",NA(),INDEX(Data!$B$4:$L$947,MATCH(Graphs!$CK274,Data!$A$4:$A$947,0),MATCH(Graphs!CN$4,Data!$B$3:$L$3,0)))</f>
        <v>272</v>
      </c>
      <c r="CO274" s="24" t="str">
        <f t="array" ref="CO274">IF(INDEX(Data!$B$4:$L$947,MATCH(Graphs!$CK274,Data!$A$4:$A$947,0),MATCH(Graphs!CO$4,Data!$B$3:$L$3,0))="n.q.",NA(),INDEX(Data!$B$4:$L$947,MATCH(Graphs!$CK274,Data!$A$4:$A$947,0),MATCH(Graphs!CO$4,Data!$B$3:$L$3,0)))</f>
        <v>#N/A</v>
      </c>
      <c r="CP274" s="24" t="str">
        <f t="array" ref="CP274">IF(INDEX(Data!$B$4:$L$947,MATCH(Graphs!$CK274,Data!$A$4:$A$947,0),MATCH(Graphs!CP$4,Data!$B$3:$L$3,0))="n.q.",NA(),INDEX(Data!$B$4:$L$947,MATCH(Graphs!$CK274,Data!$A$4:$A$947,0),MATCH(Graphs!CP$4,Data!$B$3:$L$3,0)))</f>
        <v>#N/A</v>
      </c>
      <c r="CQ274" s="5"/>
      <c r="CR274" s="24">
        <f t="array" ref="CR274">IF(INDEX(Data!$P$4:$Z$947,MATCH(Graphs!$CK274,Data!$A$4:$A$947,0),MATCH(Graphs!CR$4,Data!$P$3:$Z$3,0))="n.q.",NA(),INDEX(Data!$P$4:$Z$947,MATCH(Graphs!$CK274,Data!$A$4:$A$947,0),MATCH(Graphs!CR$4,Data!$P$3:$Z$3,0)))</f>
        <v>206.9373664</v>
      </c>
      <c r="CS274" s="24">
        <f t="array" ref="CS274">IF(INDEX(Data!$P$4:$Z$947,MATCH(Graphs!$CK274,Data!$A$4:$A$947,0),MATCH(Graphs!CS$4,Data!$P$3:$Z$3,0))="n.q.",NA(),INDEX(Data!$P$4:$Z$947,MATCH(Graphs!$CK274,Data!$A$4:$A$947,0),MATCH(Graphs!CS$4,Data!$P$3:$Z$3,0)))</f>
        <v>223.58</v>
      </c>
      <c r="CT274" s="24">
        <f t="array" ref="CT274">IF(INDEX(Data!$P$4:$Z$947,MATCH(Graphs!$CK274,Data!$A$4:$A$947,0),MATCH(Graphs!CT$4,Data!$P$3:$Z$3,0))="n.q.",NA(),INDEX(Data!$P$4:$Z$947,MATCH(Graphs!$CK274,Data!$A$4:$A$947,0),MATCH(Graphs!CT$4,Data!$P$3:$Z$3,0)))</f>
        <v>213.7103403</v>
      </c>
      <c r="CU274" s="24" t="str">
        <f t="array" ref="CU274">IF(INDEX(Data!$P$4:$Z$947,MATCH(Graphs!$CK274,Data!$A$4:$A$947,0),MATCH(Graphs!CU$4,Data!$P$3:$Z$3,0))="n.q.",NA(),INDEX(Data!$P$4:$Z$947,MATCH(Graphs!$CK274,Data!$A$4:$A$947,0),MATCH(Graphs!CU$4,Data!$P$3:$Z$3,0)))</f>
        <v>#N/A</v>
      </c>
      <c r="CV274" s="24" t="str">
        <f t="array" ref="CV274">IF(INDEX(Data!$P$4:$Z$947,MATCH(Graphs!$CK274,Data!$A$4:$A$947,0),MATCH(Graphs!CV$4,Data!$P$3:$Z$3,0))="n.q.",NA(),INDEX(Data!$P$4:$Z$947,MATCH(Graphs!$CK274,Data!$A$4:$A$947,0),MATCH(Graphs!CV$4,Data!$P$3:$Z$3,0)))</f>
        <v>#N/A</v>
      </c>
    </row>
    <row r="275" ht="14.25" customHeight="1"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5"/>
      <c r="CK275" s="22">
        <f>Data!A256</f>
        <v>44202</v>
      </c>
      <c r="CL275" s="24">
        <f t="array" ref="CL275">IF(INDEX(Data!$B$4:$L$947,MATCH(Graphs!$CK275,Data!$A$4:$A$947,0),MATCH(Graphs!CL$4,Data!$B$3:$L$3,0))="n.q.",NA(),INDEX(Data!$B$4:$L$947,MATCH(Graphs!$CK275,Data!$A$4:$A$947,0),MATCH(Graphs!CL$4,Data!$B$3:$L$3,0)))</f>
        <v>278.21</v>
      </c>
      <c r="CM275" s="24">
        <f t="array" ref="CM275">IF(INDEX(Data!$B$4:$L$947,MATCH(Graphs!$CK275,Data!$A$4:$A$947,0),MATCH(Graphs!CM$4,Data!$B$3:$L$3,0))="n.q.",NA(),INDEX(Data!$B$4:$L$947,MATCH(Graphs!$CK275,Data!$A$4:$A$947,0),MATCH(Graphs!CM$4,Data!$B$3:$L$3,0)))</f>
        <v>282.38</v>
      </c>
      <c r="CN275" s="24">
        <f t="array" ref="CN275">IF(INDEX(Data!$B$4:$L$947,MATCH(Graphs!$CK275,Data!$A$4:$A$947,0),MATCH(Graphs!CN$4,Data!$B$3:$L$3,0))="n.q.",NA(),INDEX(Data!$B$4:$L$947,MATCH(Graphs!$CK275,Data!$A$4:$A$947,0),MATCH(Graphs!CN$4,Data!$B$3:$L$3,0)))</f>
        <v>267</v>
      </c>
      <c r="CO275" s="24" t="str">
        <f t="array" ref="CO275">IF(INDEX(Data!$B$4:$L$947,MATCH(Graphs!$CK275,Data!$A$4:$A$947,0),MATCH(Graphs!CO$4,Data!$B$3:$L$3,0))="n.q.",NA(),INDEX(Data!$B$4:$L$947,MATCH(Graphs!$CK275,Data!$A$4:$A$947,0),MATCH(Graphs!CO$4,Data!$B$3:$L$3,0)))</f>
        <v>#N/A</v>
      </c>
      <c r="CP275" s="24" t="str">
        <f t="array" ref="CP275">IF(INDEX(Data!$B$4:$L$947,MATCH(Graphs!$CK275,Data!$A$4:$A$947,0),MATCH(Graphs!CP$4,Data!$B$3:$L$3,0))="n.q.",NA(),INDEX(Data!$B$4:$L$947,MATCH(Graphs!$CK275,Data!$A$4:$A$947,0),MATCH(Graphs!CP$4,Data!$B$3:$L$3,0)))</f>
        <v>#N/A</v>
      </c>
      <c r="CQ275" s="5"/>
      <c r="CR275" s="24">
        <f t="array" ref="CR275">IF(INDEX(Data!$P$4:$Z$947,MATCH(Graphs!$CK275,Data!$A$4:$A$947,0),MATCH(Graphs!CR$4,Data!$P$3:$Z$3,0))="n.q.",NA(),INDEX(Data!$P$4:$Z$947,MATCH(Graphs!$CK275,Data!$A$4:$A$947,0),MATCH(Graphs!CR$4,Data!$P$3:$Z$3,0)))</f>
        <v>194.6425677</v>
      </c>
      <c r="CS275" s="24">
        <f t="array" ref="CS275">IF(INDEX(Data!$P$4:$Z$947,MATCH(Graphs!$CK275,Data!$A$4:$A$947,0),MATCH(Graphs!CS$4,Data!$P$3:$Z$3,0))="n.q.",NA(),INDEX(Data!$P$4:$Z$947,MATCH(Graphs!$CK275,Data!$A$4:$A$947,0),MATCH(Graphs!CS$4,Data!$P$3:$Z$3,0)))</f>
        <v>215.58</v>
      </c>
      <c r="CT275" s="24">
        <f t="array" ref="CT275">IF(INDEX(Data!$P$4:$Z$947,MATCH(Graphs!$CK275,Data!$A$4:$A$947,0),MATCH(Graphs!CT$4,Data!$P$3:$Z$3,0))="n.q.",NA(),INDEX(Data!$P$4:$Z$947,MATCH(Graphs!$CK275,Data!$A$4:$A$947,0),MATCH(Graphs!CT$4,Data!$P$3:$Z$3,0)))</f>
        <v>197.7630086</v>
      </c>
      <c r="CU275" s="24" t="str">
        <f t="array" ref="CU275">IF(INDEX(Data!$P$4:$Z$947,MATCH(Graphs!$CK275,Data!$A$4:$A$947,0),MATCH(Graphs!CU$4,Data!$P$3:$Z$3,0))="n.q.",NA(),INDEX(Data!$P$4:$Z$947,MATCH(Graphs!$CK275,Data!$A$4:$A$947,0),MATCH(Graphs!CU$4,Data!$P$3:$Z$3,0)))</f>
        <v>#N/A</v>
      </c>
      <c r="CV275" s="24" t="str">
        <f t="array" ref="CV275">IF(INDEX(Data!$P$4:$Z$947,MATCH(Graphs!$CK275,Data!$A$4:$A$947,0),MATCH(Graphs!CV$4,Data!$P$3:$Z$3,0))="n.q.",NA(),INDEX(Data!$P$4:$Z$947,MATCH(Graphs!$CK275,Data!$A$4:$A$947,0),MATCH(Graphs!CV$4,Data!$P$3:$Z$3,0)))</f>
        <v>#N/A</v>
      </c>
    </row>
    <row r="276" ht="14.25" customHeight="1"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5"/>
      <c r="CK276" s="22">
        <f>Data!A257</f>
        <v>44195</v>
      </c>
      <c r="CL276" s="24">
        <f t="array" ref="CL276">IF(INDEX(Data!$B$4:$L$947,MATCH(Graphs!$CK276,Data!$A$4:$A$947,0),MATCH(Graphs!CL$4,Data!$B$3:$L$3,0))="n.q.",NA(),INDEX(Data!$B$4:$L$947,MATCH(Graphs!$CK276,Data!$A$4:$A$947,0),MATCH(Graphs!CL$4,Data!$B$3:$L$3,0)))</f>
        <v>271.88</v>
      </c>
      <c r="CM276" s="24">
        <f t="array" ref="CM276">IF(INDEX(Data!$B$4:$L$947,MATCH(Graphs!$CK276,Data!$A$4:$A$947,0),MATCH(Graphs!CM$4,Data!$B$3:$L$3,0))="n.q.",NA(),INDEX(Data!$B$4:$L$947,MATCH(Graphs!$CK276,Data!$A$4:$A$947,0),MATCH(Graphs!CM$4,Data!$B$3:$L$3,0)))</f>
        <v>281.55</v>
      </c>
      <c r="CN276" s="24">
        <f t="array" ref="CN276">IF(INDEX(Data!$B$4:$L$947,MATCH(Graphs!$CK276,Data!$A$4:$A$947,0),MATCH(Graphs!CN$4,Data!$B$3:$L$3,0))="n.q.",NA(),INDEX(Data!$B$4:$L$947,MATCH(Graphs!$CK276,Data!$A$4:$A$947,0),MATCH(Graphs!CN$4,Data!$B$3:$L$3,0)))</f>
        <v>256</v>
      </c>
      <c r="CO276" s="24" t="str">
        <f t="array" ref="CO276">IF(INDEX(Data!$B$4:$L$947,MATCH(Graphs!$CK276,Data!$A$4:$A$947,0),MATCH(Graphs!CO$4,Data!$B$3:$L$3,0))="n.q.",NA(),INDEX(Data!$B$4:$L$947,MATCH(Graphs!$CK276,Data!$A$4:$A$947,0),MATCH(Graphs!CO$4,Data!$B$3:$L$3,0)))</f>
        <v>#N/A</v>
      </c>
      <c r="CP276" s="24" t="str">
        <f t="array" ref="CP276">IF(INDEX(Data!$B$4:$L$947,MATCH(Graphs!$CK276,Data!$A$4:$A$947,0),MATCH(Graphs!CP$4,Data!$B$3:$L$3,0))="n.q.",NA(),INDEX(Data!$B$4:$L$947,MATCH(Graphs!$CK276,Data!$A$4:$A$947,0),MATCH(Graphs!CP$4,Data!$B$3:$L$3,0)))</f>
        <v>#N/A</v>
      </c>
      <c r="CQ276" s="5"/>
      <c r="CR276" s="24">
        <f t="array" ref="CR276">IF(INDEX(Data!$P$4:$Z$947,MATCH(Graphs!$CK276,Data!$A$4:$A$947,0),MATCH(Graphs!CR$4,Data!$P$3:$Z$3,0))="n.q.",NA(),INDEX(Data!$P$4:$Z$947,MATCH(Graphs!$CK276,Data!$A$4:$A$947,0),MATCH(Graphs!CR$4,Data!$P$3:$Z$3,0)))</f>
        <v>188.9748392</v>
      </c>
      <c r="CS276" s="24" t="str">
        <f t="array" ref="CS276">IF(INDEX(Data!$P$4:$Z$947,MATCH(Graphs!$CK276,Data!$A$4:$A$947,0),MATCH(Graphs!CS$4,Data!$P$3:$Z$3,0))="n.q.",NA(),INDEX(Data!$P$4:$Z$947,MATCH(Graphs!$CK276,Data!$A$4:$A$947,0),MATCH(Graphs!CS$4,Data!$P$3:$Z$3,0)))</f>
        <v>#N/A</v>
      </c>
      <c r="CT276" s="24">
        <f t="array" ref="CT276">IF(INDEX(Data!$P$4:$Z$947,MATCH(Graphs!$CK276,Data!$A$4:$A$947,0),MATCH(Graphs!CT$4,Data!$P$3:$Z$3,0))="n.q.",NA(),INDEX(Data!$P$4:$Z$947,MATCH(Graphs!$CK276,Data!$A$4:$A$947,0),MATCH(Graphs!CT$4,Data!$P$3:$Z$3,0)))</f>
        <v>190.5382298</v>
      </c>
      <c r="CU276" s="24" t="str">
        <f t="array" ref="CU276">IF(INDEX(Data!$P$4:$Z$947,MATCH(Graphs!$CK276,Data!$A$4:$A$947,0),MATCH(Graphs!CU$4,Data!$P$3:$Z$3,0))="n.q.",NA(),INDEX(Data!$P$4:$Z$947,MATCH(Graphs!$CK276,Data!$A$4:$A$947,0),MATCH(Graphs!CU$4,Data!$P$3:$Z$3,0)))</f>
        <v>#N/A</v>
      </c>
      <c r="CV276" s="24" t="str">
        <f t="array" ref="CV276">IF(INDEX(Data!$P$4:$Z$947,MATCH(Graphs!$CK276,Data!$A$4:$A$947,0),MATCH(Graphs!CV$4,Data!$P$3:$Z$3,0))="n.q.",NA(),INDEX(Data!$P$4:$Z$947,MATCH(Graphs!$CK276,Data!$A$4:$A$947,0),MATCH(Graphs!CV$4,Data!$P$3:$Z$3,0)))</f>
        <v>#N/A</v>
      </c>
    </row>
    <row r="277" ht="14.25" customHeight="1"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5"/>
      <c r="CK277" s="22">
        <f>Data!A258</f>
        <v>44188</v>
      </c>
      <c r="CL277" s="24">
        <f t="array" ref="CL277">IF(INDEX(Data!$B$4:$L$947,MATCH(Graphs!$CK277,Data!$A$4:$A$947,0),MATCH(Graphs!CL$4,Data!$B$3:$L$3,0))="n.q.",NA(),INDEX(Data!$B$4:$L$947,MATCH(Graphs!$CK277,Data!$A$4:$A$947,0),MATCH(Graphs!CL$4,Data!$B$3:$L$3,0)))</f>
        <v>268.17</v>
      </c>
      <c r="CM277" s="24">
        <f t="array" ref="CM277">IF(INDEX(Data!$B$4:$L$947,MATCH(Graphs!$CK277,Data!$A$4:$A$947,0),MATCH(Graphs!CM$4,Data!$B$3:$L$3,0))="n.q.",NA(),INDEX(Data!$B$4:$L$947,MATCH(Graphs!$CK277,Data!$A$4:$A$947,0),MATCH(Graphs!CM$4,Data!$B$3:$L$3,0)))</f>
        <v>276.68</v>
      </c>
      <c r="CN277" s="24">
        <f t="array" ref="CN277">IF(INDEX(Data!$B$4:$L$947,MATCH(Graphs!$CK277,Data!$A$4:$A$947,0),MATCH(Graphs!CN$4,Data!$B$3:$L$3,0))="n.q.",NA(),INDEX(Data!$B$4:$L$947,MATCH(Graphs!$CK277,Data!$A$4:$A$947,0),MATCH(Graphs!CN$4,Data!$B$3:$L$3,0)))</f>
        <v>253</v>
      </c>
      <c r="CO277" s="24" t="str">
        <f t="array" ref="CO277">IF(INDEX(Data!$B$4:$L$947,MATCH(Graphs!$CK277,Data!$A$4:$A$947,0),MATCH(Graphs!CO$4,Data!$B$3:$L$3,0))="n.q.",NA(),INDEX(Data!$B$4:$L$947,MATCH(Graphs!$CK277,Data!$A$4:$A$947,0),MATCH(Graphs!CO$4,Data!$B$3:$L$3,0)))</f>
        <v>#N/A</v>
      </c>
      <c r="CP277" s="24" t="str">
        <f t="array" ref="CP277">IF(INDEX(Data!$B$4:$L$947,MATCH(Graphs!$CK277,Data!$A$4:$A$947,0),MATCH(Graphs!CP$4,Data!$B$3:$L$3,0))="n.q.",NA(),INDEX(Data!$B$4:$L$947,MATCH(Graphs!$CK277,Data!$A$4:$A$947,0),MATCH(Graphs!CP$4,Data!$B$3:$L$3,0)))</f>
        <v>#N/A</v>
      </c>
      <c r="CQ277" s="5"/>
      <c r="CR277" s="24">
        <f t="array" ref="CR277">IF(INDEX(Data!$P$4:$Z$947,MATCH(Graphs!$CK277,Data!$A$4:$A$947,0),MATCH(Graphs!CR$4,Data!$P$3:$Z$3,0))="n.q.",NA(),INDEX(Data!$P$4:$Z$947,MATCH(Graphs!$CK277,Data!$A$4:$A$947,0),MATCH(Graphs!CR$4,Data!$P$3:$Z$3,0)))</f>
        <v>180.9715601</v>
      </c>
      <c r="CS277" s="24" t="str">
        <f t="array" ref="CS277">IF(INDEX(Data!$P$4:$Z$947,MATCH(Graphs!$CK277,Data!$A$4:$A$947,0),MATCH(Graphs!CS$4,Data!$P$3:$Z$3,0))="n.q.",NA(),INDEX(Data!$P$4:$Z$947,MATCH(Graphs!$CK277,Data!$A$4:$A$947,0),MATCH(Graphs!CS$4,Data!$P$3:$Z$3,0)))</f>
        <v>#N/A</v>
      </c>
      <c r="CT277" s="24">
        <f t="array" ref="CT277">IF(INDEX(Data!$P$4:$Z$947,MATCH(Graphs!$CK277,Data!$A$4:$A$947,0),MATCH(Graphs!CT$4,Data!$P$3:$Z$3,0))="n.q.",NA(),INDEX(Data!$P$4:$Z$947,MATCH(Graphs!$CK277,Data!$A$4:$A$947,0),MATCH(Graphs!CT$4,Data!$P$3:$Z$3,0)))</f>
        <v>188.6404735</v>
      </c>
      <c r="CU277" s="24" t="str">
        <f t="array" ref="CU277">IF(INDEX(Data!$P$4:$Z$947,MATCH(Graphs!$CK277,Data!$A$4:$A$947,0),MATCH(Graphs!CU$4,Data!$P$3:$Z$3,0))="n.q.",NA(),INDEX(Data!$P$4:$Z$947,MATCH(Graphs!$CK277,Data!$A$4:$A$947,0),MATCH(Graphs!CU$4,Data!$P$3:$Z$3,0)))</f>
        <v>#N/A</v>
      </c>
      <c r="CV277" s="24" t="str">
        <f t="array" ref="CV277">IF(INDEX(Data!$P$4:$Z$947,MATCH(Graphs!$CK277,Data!$A$4:$A$947,0),MATCH(Graphs!CV$4,Data!$P$3:$Z$3,0))="n.q.",NA(),INDEX(Data!$P$4:$Z$947,MATCH(Graphs!$CK277,Data!$A$4:$A$947,0),MATCH(Graphs!CV$4,Data!$P$3:$Z$3,0)))</f>
        <v>#N/A</v>
      </c>
    </row>
    <row r="278" ht="14.25" customHeight="1"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5"/>
      <c r="CK278" s="22">
        <f>Data!A259</f>
        <v>44181</v>
      </c>
      <c r="CL278" s="24">
        <f t="array" ref="CL278">IF(INDEX(Data!$B$4:$L$947,MATCH(Graphs!$CK278,Data!$A$4:$A$947,0),MATCH(Graphs!CL$4,Data!$B$3:$L$3,0))="n.q.",NA(),INDEX(Data!$B$4:$L$947,MATCH(Graphs!$CK278,Data!$A$4:$A$947,0),MATCH(Graphs!CL$4,Data!$B$3:$L$3,0)))</f>
        <v>263.48</v>
      </c>
      <c r="CM278" s="24">
        <f t="array" ref="CM278">IF(INDEX(Data!$B$4:$L$947,MATCH(Graphs!$CK278,Data!$A$4:$A$947,0),MATCH(Graphs!CM$4,Data!$B$3:$L$3,0))="n.q.",NA(),INDEX(Data!$B$4:$L$947,MATCH(Graphs!$CK278,Data!$A$4:$A$947,0),MATCH(Graphs!CM$4,Data!$B$3:$L$3,0)))</f>
        <v>266.94</v>
      </c>
      <c r="CN278" s="24">
        <f t="array" ref="CN278">IF(INDEX(Data!$B$4:$L$947,MATCH(Graphs!$CK278,Data!$A$4:$A$947,0),MATCH(Graphs!CN$4,Data!$B$3:$L$3,0))="n.q.",NA(),INDEX(Data!$B$4:$L$947,MATCH(Graphs!$CK278,Data!$A$4:$A$947,0),MATCH(Graphs!CN$4,Data!$B$3:$L$3,0)))</f>
        <v>249</v>
      </c>
      <c r="CO278" s="24" t="str">
        <f t="array" ref="CO278">IF(INDEX(Data!$B$4:$L$947,MATCH(Graphs!$CK278,Data!$A$4:$A$947,0),MATCH(Graphs!CO$4,Data!$B$3:$L$3,0))="n.q.",NA(),INDEX(Data!$B$4:$L$947,MATCH(Graphs!$CK278,Data!$A$4:$A$947,0),MATCH(Graphs!CO$4,Data!$B$3:$L$3,0)))</f>
        <v>#N/A</v>
      </c>
      <c r="CP278" s="24" t="str">
        <f t="array" ref="CP278">IF(INDEX(Data!$B$4:$L$947,MATCH(Graphs!$CK278,Data!$A$4:$A$947,0),MATCH(Graphs!CP$4,Data!$B$3:$L$3,0))="n.q.",NA(),INDEX(Data!$B$4:$L$947,MATCH(Graphs!$CK278,Data!$A$4:$A$947,0),MATCH(Graphs!CP$4,Data!$B$3:$L$3,0)))</f>
        <v>#N/A</v>
      </c>
      <c r="CQ278" s="5"/>
      <c r="CR278" s="24">
        <f t="array" ref="CR278">IF(INDEX(Data!$P$4:$Z$947,MATCH(Graphs!$CK278,Data!$A$4:$A$947,0),MATCH(Graphs!CR$4,Data!$P$3:$Z$3,0))="n.q.",NA(),INDEX(Data!$P$4:$Z$947,MATCH(Graphs!$CK278,Data!$A$4:$A$947,0),MATCH(Graphs!CR$4,Data!$P$3:$Z$3,0)))</f>
        <v>176.7495283</v>
      </c>
      <c r="CS278" s="24">
        <f t="array" ref="CS278">IF(INDEX(Data!$P$4:$Z$947,MATCH(Graphs!$CK278,Data!$A$4:$A$947,0),MATCH(Graphs!CS$4,Data!$P$3:$Z$3,0))="n.q.",NA(),INDEX(Data!$P$4:$Z$947,MATCH(Graphs!$CK278,Data!$A$4:$A$947,0),MATCH(Graphs!CS$4,Data!$P$3:$Z$3,0)))</f>
        <v>198.65</v>
      </c>
      <c r="CT278" s="24">
        <f t="array" ref="CT278">IF(INDEX(Data!$P$4:$Z$947,MATCH(Graphs!$CK278,Data!$A$4:$A$947,0),MATCH(Graphs!CT$4,Data!$P$3:$Z$3,0))="n.q.",NA(),INDEX(Data!$P$4:$Z$947,MATCH(Graphs!$CK278,Data!$A$4:$A$947,0),MATCH(Graphs!CT$4,Data!$P$3:$Z$3,0)))</f>
        <v>187.0539011</v>
      </c>
      <c r="CU278" s="24" t="str">
        <f t="array" ref="CU278">IF(INDEX(Data!$P$4:$Z$947,MATCH(Graphs!$CK278,Data!$A$4:$A$947,0),MATCH(Graphs!CU$4,Data!$P$3:$Z$3,0))="n.q.",NA(),INDEX(Data!$P$4:$Z$947,MATCH(Graphs!$CK278,Data!$A$4:$A$947,0),MATCH(Graphs!CU$4,Data!$P$3:$Z$3,0)))</f>
        <v>#N/A</v>
      </c>
      <c r="CV278" s="24" t="str">
        <f t="array" ref="CV278">IF(INDEX(Data!$P$4:$Z$947,MATCH(Graphs!$CK278,Data!$A$4:$A$947,0),MATCH(Graphs!CV$4,Data!$P$3:$Z$3,0))="n.q.",NA(),INDEX(Data!$P$4:$Z$947,MATCH(Graphs!$CK278,Data!$A$4:$A$947,0),MATCH(Graphs!CV$4,Data!$P$3:$Z$3,0)))</f>
        <v>#N/A</v>
      </c>
    </row>
    <row r="279" ht="14.25" customHeight="1"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5"/>
      <c r="CK279" s="22">
        <f>Data!A260</f>
        <v>44174</v>
      </c>
      <c r="CL279" s="24">
        <f t="array" ref="CL279">IF(INDEX(Data!$B$4:$L$947,MATCH(Graphs!$CK279,Data!$A$4:$A$947,0),MATCH(Graphs!CL$4,Data!$B$3:$L$3,0))="n.q.",NA(),INDEX(Data!$B$4:$L$947,MATCH(Graphs!$CK279,Data!$A$4:$A$947,0),MATCH(Graphs!CL$4,Data!$B$3:$L$3,0)))</f>
        <v>256.58</v>
      </c>
      <c r="CM279" s="24">
        <f t="array" ref="CM279">IF(INDEX(Data!$B$4:$L$947,MATCH(Graphs!$CK279,Data!$A$4:$A$947,0),MATCH(Graphs!CM$4,Data!$B$3:$L$3,0))="n.q.",NA(),INDEX(Data!$B$4:$L$947,MATCH(Graphs!$CK279,Data!$A$4:$A$947,0),MATCH(Graphs!CM$4,Data!$B$3:$L$3,0)))</f>
        <v>263.08</v>
      </c>
      <c r="CN279" s="24">
        <f t="array" ref="CN279">IF(INDEX(Data!$B$4:$L$947,MATCH(Graphs!$CK279,Data!$A$4:$A$947,0),MATCH(Graphs!CN$4,Data!$B$3:$L$3,0))="n.q.",NA(),INDEX(Data!$B$4:$L$947,MATCH(Graphs!$CK279,Data!$A$4:$A$947,0),MATCH(Graphs!CN$4,Data!$B$3:$L$3,0)))</f>
        <v>248</v>
      </c>
      <c r="CO279" s="24" t="str">
        <f t="array" ref="CO279">IF(INDEX(Data!$B$4:$L$947,MATCH(Graphs!$CK279,Data!$A$4:$A$947,0),MATCH(Graphs!CO$4,Data!$B$3:$L$3,0))="n.q.",NA(),INDEX(Data!$B$4:$L$947,MATCH(Graphs!$CK279,Data!$A$4:$A$947,0),MATCH(Graphs!CO$4,Data!$B$3:$L$3,0)))</f>
        <v>#N/A</v>
      </c>
      <c r="CP279" s="24" t="str">
        <f t="array" ref="CP279">IF(INDEX(Data!$B$4:$L$947,MATCH(Graphs!$CK279,Data!$A$4:$A$947,0),MATCH(Graphs!CP$4,Data!$B$3:$L$3,0))="n.q.",NA(),INDEX(Data!$B$4:$L$947,MATCH(Graphs!$CK279,Data!$A$4:$A$947,0),MATCH(Graphs!CP$4,Data!$B$3:$L$3,0)))</f>
        <v>#N/A</v>
      </c>
      <c r="CQ279" s="5"/>
      <c r="CR279" s="24">
        <f t="array" ref="CR279">IF(INDEX(Data!$P$4:$Z$947,MATCH(Graphs!$CK279,Data!$A$4:$A$947,0),MATCH(Graphs!CR$4,Data!$P$3:$Z$3,0))="n.q.",NA(),INDEX(Data!$P$4:$Z$947,MATCH(Graphs!$CK279,Data!$A$4:$A$947,0),MATCH(Graphs!CR$4,Data!$P$3:$Z$3,0)))</f>
        <v>180.0313816</v>
      </c>
      <c r="CS279" s="24">
        <f t="array" ref="CS279">IF(INDEX(Data!$P$4:$Z$947,MATCH(Graphs!$CK279,Data!$A$4:$A$947,0),MATCH(Graphs!CS$4,Data!$P$3:$Z$3,0))="n.q.",NA(),INDEX(Data!$P$4:$Z$947,MATCH(Graphs!$CK279,Data!$A$4:$A$947,0),MATCH(Graphs!CS$4,Data!$P$3:$Z$3,0)))</f>
        <v>198.65</v>
      </c>
      <c r="CT279" s="24">
        <f t="array" ref="CT279">IF(INDEX(Data!$P$4:$Z$947,MATCH(Graphs!$CK279,Data!$A$4:$A$947,0),MATCH(Graphs!CT$4,Data!$P$3:$Z$3,0))="n.q.",NA(),INDEX(Data!$P$4:$Z$947,MATCH(Graphs!$CK279,Data!$A$4:$A$947,0),MATCH(Graphs!CT$4,Data!$P$3:$Z$3,0)))</f>
        <v>187.4638698</v>
      </c>
      <c r="CU279" s="24" t="str">
        <f t="array" ref="CU279">IF(INDEX(Data!$P$4:$Z$947,MATCH(Graphs!$CK279,Data!$A$4:$A$947,0),MATCH(Graphs!CU$4,Data!$P$3:$Z$3,0))="n.q.",NA(),INDEX(Data!$P$4:$Z$947,MATCH(Graphs!$CK279,Data!$A$4:$A$947,0),MATCH(Graphs!CU$4,Data!$P$3:$Z$3,0)))</f>
        <v>#N/A</v>
      </c>
      <c r="CV279" s="24" t="str">
        <f t="array" ref="CV279">IF(INDEX(Data!$P$4:$Z$947,MATCH(Graphs!$CK279,Data!$A$4:$A$947,0),MATCH(Graphs!CV$4,Data!$P$3:$Z$3,0))="n.q.",NA(),INDEX(Data!$P$4:$Z$947,MATCH(Graphs!$CK279,Data!$A$4:$A$947,0),MATCH(Graphs!CV$4,Data!$P$3:$Z$3,0)))</f>
        <v>#N/A</v>
      </c>
    </row>
    <row r="280" ht="14.25" customHeight="1"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5"/>
      <c r="CK280" s="22">
        <f>Data!A261</f>
        <v>44167</v>
      </c>
      <c r="CL280" s="24">
        <f t="array" ref="CL280">IF(INDEX(Data!$B$4:$L$947,MATCH(Graphs!$CK280,Data!$A$4:$A$947,0),MATCH(Graphs!CL$4,Data!$B$3:$L$3,0))="n.q.",NA(),INDEX(Data!$B$4:$L$947,MATCH(Graphs!$CK280,Data!$A$4:$A$947,0),MATCH(Graphs!CL$4,Data!$B$3:$L$3,0)))</f>
        <v>260.49</v>
      </c>
      <c r="CM280" s="24">
        <f t="array" ref="CM280">IF(INDEX(Data!$B$4:$L$947,MATCH(Graphs!$CK280,Data!$A$4:$A$947,0),MATCH(Graphs!CM$4,Data!$B$3:$L$3,0))="n.q.",NA(),INDEX(Data!$B$4:$L$947,MATCH(Graphs!$CK280,Data!$A$4:$A$947,0),MATCH(Graphs!CM$4,Data!$B$3:$L$3,0)))</f>
        <v>265.93</v>
      </c>
      <c r="CN280" s="24">
        <f t="array" ref="CN280">IF(INDEX(Data!$B$4:$L$947,MATCH(Graphs!$CK280,Data!$A$4:$A$947,0),MATCH(Graphs!CN$4,Data!$B$3:$L$3,0))="n.q.",NA(),INDEX(Data!$B$4:$L$947,MATCH(Graphs!$CK280,Data!$A$4:$A$947,0),MATCH(Graphs!CN$4,Data!$B$3:$L$3,0)))</f>
        <v>249</v>
      </c>
      <c r="CO280" s="24" t="str">
        <f t="array" ref="CO280">IF(INDEX(Data!$B$4:$L$947,MATCH(Graphs!$CK280,Data!$A$4:$A$947,0),MATCH(Graphs!CO$4,Data!$B$3:$L$3,0))="n.q.",NA(),INDEX(Data!$B$4:$L$947,MATCH(Graphs!$CK280,Data!$A$4:$A$947,0),MATCH(Graphs!CO$4,Data!$B$3:$L$3,0)))</f>
        <v>#N/A</v>
      </c>
      <c r="CP280" s="24" t="str">
        <f t="array" ref="CP280">IF(INDEX(Data!$B$4:$L$947,MATCH(Graphs!$CK280,Data!$A$4:$A$947,0),MATCH(Graphs!CP$4,Data!$B$3:$L$3,0))="n.q.",NA(),INDEX(Data!$B$4:$L$947,MATCH(Graphs!$CK280,Data!$A$4:$A$947,0),MATCH(Graphs!CP$4,Data!$B$3:$L$3,0)))</f>
        <v>#N/A</v>
      </c>
      <c r="CQ280" s="5"/>
      <c r="CR280" s="24">
        <f t="array" ref="CR280">IF(INDEX(Data!$P$4:$Z$947,MATCH(Graphs!$CK280,Data!$A$4:$A$947,0),MATCH(Graphs!CR$4,Data!$P$3:$Z$3,0))="n.q.",NA(),INDEX(Data!$P$4:$Z$947,MATCH(Graphs!$CK280,Data!$A$4:$A$947,0),MATCH(Graphs!CR$4,Data!$P$3:$Z$3,0)))</f>
        <v>182.3885298</v>
      </c>
      <c r="CS280" s="24">
        <f t="array" ref="CS280">IF(INDEX(Data!$P$4:$Z$947,MATCH(Graphs!$CK280,Data!$A$4:$A$947,0),MATCH(Graphs!CS$4,Data!$P$3:$Z$3,0))="n.q.",NA(),INDEX(Data!$P$4:$Z$947,MATCH(Graphs!$CK280,Data!$A$4:$A$947,0),MATCH(Graphs!CS$4,Data!$P$3:$Z$3,0)))</f>
        <v>204.65</v>
      </c>
      <c r="CT280" s="24">
        <f t="array" ref="CT280">IF(INDEX(Data!$P$4:$Z$947,MATCH(Graphs!$CK280,Data!$A$4:$A$947,0),MATCH(Graphs!CT$4,Data!$P$3:$Z$3,0))="n.q.",NA(),INDEX(Data!$P$4:$Z$947,MATCH(Graphs!$CK280,Data!$A$4:$A$947,0),MATCH(Graphs!CT$4,Data!$P$3:$Z$3,0)))</f>
        <v>190.6182662</v>
      </c>
      <c r="CU280" s="24" t="str">
        <f t="array" ref="CU280">IF(INDEX(Data!$P$4:$Z$947,MATCH(Graphs!$CK280,Data!$A$4:$A$947,0),MATCH(Graphs!CU$4,Data!$P$3:$Z$3,0))="n.q.",NA(),INDEX(Data!$P$4:$Z$947,MATCH(Graphs!$CK280,Data!$A$4:$A$947,0),MATCH(Graphs!CU$4,Data!$P$3:$Z$3,0)))</f>
        <v>#N/A</v>
      </c>
      <c r="CV280" s="24" t="str">
        <f t="array" ref="CV280">IF(INDEX(Data!$P$4:$Z$947,MATCH(Graphs!$CK280,Data!$A$4:$A$947,0),MATCH(Graphs!CV$4,Data!$P$3:$Z$3,0))="n.q.",NA(),INDEX(Data!$P$4:$Z$947,MATCH(Graphs!$CK280,Data!$A$4:$A$947,0),MATCH(Graphs!CV$4,Data!$P$3:$Z$3,0)))</f>
        <v>#N/A</v>
      </c>
    </row>
    <row r="281" ht="14.25" customHeight="1"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5"/>
      <c r="CK281" s="22">
        <f>Data!A262</f>
        <v>44160</v>
      </c>
      <c r="CL281" s="24">
        <f t="array" ref="CL281">IF(INDEX(Data!$B$4:$L$947,MATCH(Graphs!$CK281,Data!$A$4:$A$947,0),MATCH(Graphs!CL$4,Data!$B$3:$L$3,0))="n.q.",NA(),INDEX(Data!$B$4:$L$947,MATCH(Graphs!$CK281,Data!$A$4:$A$947,0),MATCH(Graphs!CL$4,Data!$B$3:$L$3,0)))</f>
        <v>259.01</v>
      </c>
      <c r="CM281" s="24">
        <f t="array" ref="CM281">IF(INDEX(Data!$B$4:$L$947,MATCH(Graphs!$CK281,Data!$A$4:$A$947,0),MATCH(Graphs!CM$4,Data!$B$3:$L$3,0))="n.q.",NA(),INDEX(Data!$B$4:$L$947,MATCH(Graphs!$CK281,Data!$A$4:$A$947,0),MATCH(Graphs!CM$4,Data!$B$3:$L$3,0)))</f>
        <v>264.74</v>
      </c>
      <c r="CN281" s="24">
        <f t="array" ref="CN281">IF(INDEX(Data!$B$4:$L$947,MATCH(Graphs!$CK281,Data!$A$4:$A$947,0),MATCH(Graphs!CN$4,Data!$B$3:$L$3,0))="n.q.",NA(),INDEX(Data!$B$4:$L$947,MATCH(Graphs!$CK281,Data!$A$4:$A$947,0),MATCH(Graphs!CN$4,Data!$B$3:$L$3,0)))</f>
        <v>248</v>
      </c>
      <c r="CO281" s="24" t="str">
        <f t="array" ref="CO281">IF(INDEX(Data!$B$4:$L$947,MATCH(Graphs!$CK281,Data!$A$4:$A$947,0),MATCH(Graphs!CO$4,Data!$B$3:$L$3,0))="n.q.",NA(),INDEX(Data!$B$4:$L$947,MATCH(Graphs!$CK281,Data!$A$4:$A$947,0),MATCH(Graphs!CO$4,Data!$B$3:$L$3,0)))</f>
        <v>#N/A</v>
      </c>
      <c r="CP281" s="24" t="str">
        <f t="array" ref="CP281">IF(INDEX(Data!$B$4:$L$947,MATCH(Graphs!$CK281,Data!$A$4:$A$947,0),MATCH(Graphs!CP$4,Data!$B$3:$L$3,0))="n.q.",NA(),INDEX(Data!$B$4:$L$947,MATCH(Graphs!$CK281,Data!$A$4:$A$947,0),MATCH(Graphs!CP$4,Data!$B$3:$L$3,0)))</f>
        <v>#N/A</v>
      </c>
      <c r="CQ281" s="5"/>
      <c r="CR281" s="24">
        <f t="array" ref="CR281">IF(INDEX(Data!$P$4:$Z$947,MATCH(Graphs!$CK281,Data!$A$4:$A$947,0),MATCH(Graphs!CR$4,Data!$P$3:$Z$3,0))="n.q.",NA(),INDEX(Data!$P$4:$Z$947,MATCH(Graphs!$CK281,Data!$A$4:$A$947,0),MATCH(Graphs!CR$4,Data!$P$3:$Z$3,0)))</f>
        <v>188.4020185</v>
      </c>
      <c r="CS281" s="24">
        <f t="array" ref="CS281">IF(INDEX(Data!$P$4:$Z$947,MATCH(Graphs!$CK281,Data!$A$4:$A$947,0),MATCH(Graphs!CS$4,Data!$P$3:$Z$3,0))="n.q.",NA(),INDEX(Data!$P$4:$Z$947,MATCH(Graphs!$CK281,Data!$A$4:$A$947,0),MATCH(Graphs!CS$4,Data!$P$3:$Z$3,0)))</f>
        <v>206.22</v>
      </c>
      <c r="CT281" s="24">
        <f t="array" ref="CT281">IF(INDEX(Data!$P$4:$Z$947,MATCH(Graphs!$CK281,Data!$A$4:$A$947,0),MATCH(Graphs!CT$4,Data!$P$3:$Z$3,0))="n.q.",NA(),INDEX(Data!$P$4:$Z$947,MATCH(Graphs!$CK281,Data!$A$4:$A$947,0),MATCH(Graphs!CT$4,Data!$P$3:$Z$3,0)))</f>
        <v>198.4861228</v>
      </c>
      <c r="CU281" s="24" t="str">
        <f t="array" ref="CU281">IF(INDEX(Data!$P$4:$Z$947,MATCH(Graphs!$CK281,Data!$A$4:$A$947,0),MATCH(Graphs!CU$4,Data!$P$3:$Z$3,0))="n.q.",NA(),INDEX(Data!$P$4:$Z$947,MATCH(Graphs!$CK281,Data!$A$4:$A$947,0),MATCH(Graphs!CU$4,Data!$P$3:$Z$3,0)))</f>
        <v>#N/A</v>
      </c>
      <c r="CV281" s="24" t="str">
        <f t="array" ref="CV281">IF(INDEX(Data!$P$4:$Z$947,MATCH(Graphs!$CK281,Data!$A$4:$A$947,0),MATCH(Graphs!CV$4,Data!$P$3:$Z$3,0))="n.q.",NA(),INDEX(Data!$P$4:$Z$947,MATCH(Graphs!$CK281,Data!$A$4:$A$947,0),MATCH(Graphs!CV$4,Data!$P$3:$Z$3,0)))</f>
        <v>#N/A</v>
      </c>
    </row>
    <row r="282" ht="14.25" customHeight="1"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5"/>
      <c r="CK282" s="22">
        <f>Data!A263</f>
        <v>44153</v>
      </c>
      <c r="CL282" s="24">
        <f t="array" ref="CL282">IF(INDEX(Data!$B$4:$L$947,MATCH(Graphs!$CK282,Data!$A$4:$A$947,0),MATCH(Graphs!CL$4,Data!$B$3:$L$3,0))="n.q.",NA(),INDEX(Data!$B$4:$L$947,MATCH(Graphs!$CK282,Data!$A$4:$A$947,0),MATCH(Graphs!CL$4,Data!$B$3:$L$3,0)))</f>
        <v>258.72</v>
      </c>
      <c r="CM282" s="24">
        <f t="array" ref="CM282">IF(INDEX(Data!$B$4:$L$947,MATCH(Graphs!$CK282,Data!$A$4:$A$947,0),MATCH(Graphs!CM$4,Data!$B$3:$L$3,0))="n.q.",NA(),INDEX(Data!$B$4:$L$947,MATCH(Graphs!$CK282,Data!$A$4:$A$947,0),MATCH(Graphs!CM$4,Data!$B$3:$L$3,0)))</f>
        <v>276.59</v>
      </c>
      <c r="CN282" s="24">
        <f t="array" ref="CN282">IF(INDEX(Data!$B$4:$L$947,MATCH(Graphs!$CK282,Data!$A$4:$A$947,0),MATCH(Graphs!CN$4,Data!$B$3:$L$3,0))="n.q.",NA(),INDEX(Data!$B$4:$L$947,MATCH(Graphs!$CK282,Data!$A$4:$A$947,0),MATCH(Graphs!CN$4,Data!$B$3:$L$3,0)))</f>
        <v>249</v>
      </c>
      <c r="CO282" s="24" t="str">
        <f t="array" ref="CO282">IF(INDEX(Data!$B$4:$L$947,MATCH(Graphs!$CK282,Data!$A$4:$A$947,0),MATCH(Graphs!CO$4,Data!$B$3:$L$3,0))="n.q.",NA(),INDEX(Data!$B$4:$L$947,MATCH(Graphs!$CK282,Data!$A$4:$A$947,0),MATCH(Graphs!CO$4,Data!$B$3:$L$3,0)))</f>
        <v>#N/A</v>
      </c>
      <c r="CP282" s="24" t="str">
        <f t="array" ref="CP282">IF(INDEX(Data!$B$4:$L$947,MATCH(Graphs!$CK282,Data!$A$4:$A$947,0),MATCH(Graphs!CP$4,Data!$B$3:$L$3,0))="n.q.",NA(),INDEX(Data!$B$4:$L$947,MATCH(Graphs!$CK282,Data!$A$4:$A$947,0),MATCH(Graphs!CP$4,Data!$B$3:$L$3,0)))</f>
        <v>#N/A</v>
      </c>
      <c r="CQ282" s="5"/>
      <c r="CR282" s="24">
        <f t="array" ref="CR282">IF(INDEX(Data!$P$4:$Z$947,MATCH(Graphs!$CK282,Data!$A$4:$A$947,0),MATCH(Graphs!CR$4,Data!$P$3:$Z$3,0))="n.q.",NA(),INDEX(Data!$P$4:$Z$947,MATCH(Graphs!$CK282,Data!$A$4:$A$947,0),MATCH(Graphs!CR$4,Data!$P$3:$Z$3,0)))</f>
        <v>191.9784294</v>
      </c>
      <c r="CS282" s="24">
        <f t="array" ref="CS282">IF(INDEX(Data!$P$4:$Z$947,MATCH(Graphs!$CK282,Data!$A$4:$A$947,0),MATCH(Graphs!CS$4,Data!$P$3:$Z$3,0))="n.q.",NA(),INDEX(Data!$P$4:$Z$947,MATCH(Graphs!$CK282,Data!$A$4:$A$947,0),MATCH(Graphs!CS$4,Data!$P$3:$Z$3,0)))</f>
        <v>201.47</v>
      </c>
      <c r="CT282" s="24">
        <f t="array" ref="CT282">IF(INDEX(Data!$P$4:$Z$947,MATCH(Graphs!$CK282,Data!$A$4:$A$947,0),MATCH(Graphs!CT$4,Data!$P$3:$Z$3,0))="n.q.",NA(),INDEX(Data!$P$4:$Z$947,MATCH(Graphs!$CK282,Data!$A$4:$A$947,0),MATCH(Graphs!CT$4,Data!$P$3:$Z$3,0)))</f>
        <v>199.6966633</v>
      </c>
      <c r="CU282" s="24" t="str">
        <f t="array" ref="CU282">IF(INDEX(Data!$P$4:$Z$947,MATCH(Graphs!$CK282,Data!$A$4:$A$947,0),MATCH(Graphs!CU$4,Data!$P$3:$Z$3,0))="n.q.",NA(),INDEX(Data!$P$4:$Z$947,MATCH(Graphs!$CK282,Data!$A$4:$A$947,0),MATCH(Graphs!CU$4,Data!$P$3:$Z$3,0)))</f>
        <v>#N/A</v>
      </c>
      <c r="CV282" s="24" t="str">
        <f t="array" ref="CV282">IF(INDEX(Data!$P$4:$Z$947,MATCH(Graphs!$CK282,Data!$A$4:$A$947,0),MATCH(Graphs!CV$4,Data!$P$3:$Z$3,0))="n.q.",NA(),INDEX(Data!$P$4:$Z$947,MATCH(Graphs!$CK282,Data!$A$4:$A$947,0),MATCH(Graphs!CV$4,Data!$P$3:$Z$3,0)))</f>
        <v>#N/A</v>
      </c>
    </row>
    <row r="283" ht="14.25" customHeight="1"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5"/>
      <c r="CK283" s="22">
        <f>Data!A264</f>
        <v>44146</v>
      </c>
      <c r="CL283" s="24">
        <f t="array" ref="CL283">IF(INDEX(Data!$B$4:$L$947,MATCH(Graphs!$CK283,Data!$A$4:$A$947,0),MATCH(Graphs!CL$4,Data!$B$3:$L$3,0))="n.q.",NA(),INDEX(Data!$B$4:$L$947,MATCH(Graphs!$CK283,Data!$A$4:$A$947,0),MATCH(Graphs!CL$4,Data!$B$3:$L$3,0)))</f>
        <v>254.7</v>
      </c>
      <c r="CM283" s="24">
        <f t="array" ref="CM283">IF(INDEX(Data!$B$4:$L$947,MATCH(Graphs!$CK283,Data!$A$4:$A$947,0),MATCH(Graphs!CM$4,Data!$B$3:$L$3,0))="n.q.",NA(),INDEX(Data!$B$4:$L$947,MATCH(Graphs!$CK283,Data!$A$4:$A$947,0),MATCH(Graphs!CM$4,Data!$B$3:$L$3,0)))</f>
        <v>275.3</v>
      </c>
      <c r="CN283" s="24">
        <f t="array" ref="CN283">IF(INDEX(Data!$B$4:$L$947,MATCH(Graphs!$CK283,Data!$A$4:$A$947,0),MATCH(Graphs!CN$4,Data!$B$3:$L$3,0))="n.q.",NA(),INDEX(Data!$B$4:$L$947,MATCH(Graphs!$CK283,Data!$A$4:$A$947,0),MATCH(Graphs!CN$4,Data!$B$3:$L$3,0)))</f>
        <v>250</v>
      </c>
      <c r="CO283" s="24" t="str">
        <f t="array" ref="CO283">IF(INDEX(Data!$B$4:$L$947,MATCH(Graphs!$CK283,Data!$A$4:$A$947,0),MATCH(Graphs!CO$4,Data!$B$3:$L$3,0))="n.q.",NA(),INDEX(Data!$B$4:$L$947,MATCH(Graphs!$CK283,Data!$A$4:$A$947,0),MATCH(Graphs!CO$4,Data!$B$3:$L$3,0)))</f>
        <v>#N/A</v>
      </c>
      <c r="CP283" s="24" t="str">
        <f t="array" ref="CP283">IF(INDEX(Data!$B$4:$L$947,MATCH(Graphs!$CK283,Data!$A$4:$A$947,0),MATCH(Graphs!CP$4,Data!$B$3:$L$3,0))="n.q.",NA(),INDEX(Data!$B$4:$L$947,MATCH(Graphs!$CK283,Data!$A$4:$A$947,0),MATCH(Graphs!CP$4,Data!$B$3:$L$3,0)))</f>
        <v>#N/A</v>
      </c>
      <c r="CQ283" s="5"/>
      <c r="CR283" s="24">
        <f t="array" ref="CR283">IF(INDEX(Data!$P$4:$Z$947,MATCH(Graphs!$CK283,Data!$A$4:$A$947,0),MATCH(Graphs!CR$4,Data!$P$3:$Z$3,0))="n.q.",NA(),INDEX(Data!$P$4:$Z$947,MATCH(Graphs!$CK283,Data!$A$4:$A$947,0),MATCH(Graphs!CR$4,Data!$P$3:$Z$3,0)))</f>
        <v>188.1268061</v>
      </c>
      <c r="CS283" s="24" t="str">
        <f t="array" ref="CS283">IF(INDEX(Data!$P$4:$Z$947,MATCH(Graphs!$CK283,Data!$A$4:$A$947,0),MATCH(Graphs!CS$4,Data!$P$3:$Z$3,0))="n.q.",NA(),INDEX(Data!$P$4:$Z$947,MATCH(Graphs!$CK283,Data!$A$4:$A$947,0),MATCH(Graphs!CS$4,Data!$P$3:$Z$3,0)))</f>
        <v>#N/A</v>
      </c>
      <c r="CT283" s="24">
        <f t="array" ref="CT283">IF(INDEX(Data!$P$4:$Z$947,MATCH(Graphs!$CK283,Data!$A$4:$A$947,0),MATCH(Graphs!CT$4,Data!$P$3:$Z$3,0))="n.q.",NA(),INDEX(Data!$P$4:$Z$947,MATCH(Graphs!$CK283,Data!$A$4:$A$947,0),MATCH(Graphs!CT$4,Data!$P$3:$Z$3,0)))</f>
        <v>201.4278429</v>
      </c>
      <c r="CU283" s="24" t="str">
        <f t="array" ref="CU283">IF(INDEX(Data!$P$4:$Z$947,MATCH(Graphs!$CK283,Data!$A$4:$A$947,0),MATCH(Graphs!CU$4,Data!$P$3:$Z$3,0))="n.q.",NA(),INDEX(Data!$P$4:$Z$947,MATCH(Graphs!$CK283,Data!$A$4:$A$947,0),MATCH(Graphs!CU$4,Data!$P$3:$Z$3,0)))</f>
        <v>#N/A</v>
      </c>
      <c r="CV283" s="24" t="str">
        <f t="array" ref="CV283">IF(INDEX(Data!$P$4:$Z$947,MATCH(Graphs!$CK283,Data!$A$4:$A$947,0),MATCH(Graphs!CV$4,Data!$P$3:$Z$3,0))="n.q.",NA(),INDEX(Data!$P$4:$Z$947,MATCH(Graphs!$CK283,Data!$A$4:$A$947,0),MATCH(Graphs!CV$4,Data!$P$3:$Z$3,0)))</f>
        <v>#N/A</v>
      </c>
    </row>
    <row r="284" ht="14.25" customHeight="1"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5"/>
      <c r="CK284" s="22">
        <f>Data!A265</f>
        <v>44139</v>
      </c>
      <c r="CL284" s="24">
        <f t="array" ref="CL284">IF(INDEX(Data!$B$4:$L$947,MATCH(Graphs!$CK284,Data!$A$4:$A$947,0),MATCH(Graphs!CL$4,Data!$B$3:$L$3,0))="n.q.",NA(),INDEX(Data!$B$4:$L$947,MATCH(Graphs!$CK284,Data!$A$4:$A$947,0),MATCH(Graphs!CL$4,Data!$B$3:$L$3,0)))</f>
        <v>248.09</v>
      </c>
      <c r="CM284" s="24">
        <f t="array" ref="CM284">IF(INDEX(Data!$B$4:$L$947,MATCH(Graphs!$CK284,Data!$A$4:$A$947,0),MATCH(Graphs!CM$4,Data!$B$3:$L$3,0))="n.q.",NA(),INDEX(Data!$B$4:$L$947,MATCH(Graphs!$CK284,Data!$A$4:$A$947,0),MATCH(Graphs!CM$4,Data!$B$3:$L$3,0)))</f>
        <v>277.32</v>
      </c>
      <c r="CN284" s="24">
        <f t="array" ref="CN284">IF(INDEX(Data!$B$4:$L$947,MATCH(Graphs!$CK284,Data!$A$4:$A$947,0),MATCH(Graphs!CN$4,Data!$B$3:$L$3,0))="n.q.",NA(),INDEX(Data!$B$4:$L$947,MATCH(Graphs!$CK284,Data!$A$4:$A$947,0),MATCH(Graphs!CN$4,Data!$B$3:$L$3,0)))</f>
        <v>246.5</v>
      </c>
      <c r="CO284" s="24" t="str">
        <f t="array" ref="CO284">IF(INDEX(Data!$B$4:$L$947,MATCH(Graphs!$CK284,Data!$A$4:$A$947,0),MATCH(Graphs!CO$4,Data!$B$3:$L$3,0))="n.q.",NA(),INDEX(Data!$B$4:$L$947,MATCH(Graphs!$CK284,Data!$A$4:$A$947,0),MATCH(Graphs!CO$4,Data!$B$3:$L$3,0)))</f>
        <v>#N/A</v>
      </c>
      <c r="CP284" s="24" t="str">
        <f t="array" ref="CP284">IF(INDEX(Data!$B$4:$L$947,MATCH(Graphs!$CK284,Data!$A$4:$A$947,0),MATCH(Graphs!CP$4,Data!$B$3:$L$3,0))="n.q.",NA(),INDEX(Data!$B$4:$L$947,MATCH(Graphs!$CK284,Data!$A$4:$A$947,0),MATCH(Graphs!CP$4,Data!$B$3:$L$3,0)))</f>
        <v>#N/A</v>
      </c>
      <c r="CQ284" s="5"/>
      <c r="CR284" s="24">
        <f t="array" ref="CR284">IF(INDEX(Data!$P$4:$Z$947,MATCH(Graphs!$CK284,Data!$A$4:$A$947,0),MATCH(Graphs!CR$4,Data!$P$3:$Z$3,0))="n.q.",NA(),INDEX(Data!$P$4:$Z$947,MATCH(Graphs!$CK284,Data!$A$4:$A$947,0),MATCH(Graphs!CR$4,Data!$P$3:$Z$3,0)))</f>
        <v>187.1683303</v>
      </c>
      <c r="CS284" s="24">
        <f t="array" ref="CS284">IF(INDEX(Data!$P$4:$Z$947,MATCH(Graphs!$CK284,Data!$A$4:$A$947,0),MATCH(Graphs!CS$4,Data!$P$3:$Z$3,0))="n.q.",NA(),INDEX(Data!$P$4:$Z$947,MATCH(Graphs!$CK284,Data!$A$4:$A$947,0),MATCH(Graphs!CS$4,Data!$P$3:$Z$3,0)))</f>
        <v>197.72</v>
      </c>
      <c r="CT284" s="24">
        <f t="array" ref="CT284">IF(INDEX(Data!$P$4:$Z$947,MATCH(Graphs!$CK284,Data!$A$4:$A$947,0),MATCH(Graphs!CT$4,Data!$P$3:$Z$3,0))="n.q.",NA(),INDEX(Data!$P$4:$Z$947,MATCH(Graphs!$CK284,Data!$A$4:$A$947,0),MATCH(Graphs!CT$4,Data!$P$3:$Z$3,0)))</f>
        <v>195.3758212</v>
      </c>
      <c r="CU284" s="24" t="str">
        <f t="array" ref="CU284">IF(INDEX(Data!$P$4:$Z$947,MATCH(Graphs!$CK284,Data!$A$4:$A$947,0),MATCH(Graphs!CU$4,Data!$P$3:$Z$3,0))="n.q.",NA(),INDEX(Data!$P$4:$Z$947,MATCH(Graphs!$CK284,Data!$A$4:$A$947,0),MATCH(Graphs!CU$4,Data!$P$3:$Z$3,0)))</f>
        <v>#N/A</v>
      </c>
      <c r="CV284" s="24" t="str">
        <f t="array" ref="CV284">IF(INDEX(Data!$P$4:$Z$947,MATCH(Graphs!$CK284,Data!$A$4:$A$947,0),MATCH(Graphs!CV$4,Data!$P$3:$Z$3,0))="n.q.",NA(),INDEX(Data!$P$4:$Z$947,MATCH(Graphs!$CK284,Data!$A$4:$A$947,0),MATCH(Graphs!CV$4,Data!$P$3:$Z$3,0)))</f>
        <v>#N/A</v>
      </c>
    </row>
    <row r="285" ht="14.25" customHeight="1"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5"/>
      <c r="CK285" s="22">
        <f>Data!A266</f>
        <v>44132</v>
      </c>
      <c r="CL285" s="24">
        <f t="array" ref="CL285">IF(INDEX(Data!$B$4:$L$947,MATCH(Graphs!$CK285,Data!$A$4:$A$947,0),MATCH(Graphs!CL$4,Data!$B$3:$L$3,0))="n.q.",NA(),INDEX(Data!$B$4:$L$947,MATCH(Graphs!$CK285,Data!$A$4:$A$947,0),MATCH(Graphs!CL$4,Data!$B$3:$L$3,0)))</f>
        <v>242.73</v>
      </c>
      <c r="CM285" s="24">
        <f t="array" ref="CM285">IF(INDEX(Data!$B$4:$L$947,MATCH(Graphs!$CK285,Data!$A$4:$A$947,0),MATCH(Graphs!CM$4,Data!$B$3:$L$3,0))="n.q.",NA(),INDEX(Data!$B$4:$L$947,MATCH(Graphs!$CK285,Data!$A$4:$A$947,0),MATCH(Graphs!CM$4,Data!$B$3:$L$3,0)))</f>
        <v>273.1</v>
      </c>
      <c r="CN285" s="24">
        <f t="array" ref="CN285">IF(INDEX(Data!$B$4:$L$947,MATCH(Graphs!$CK285,Data!$A$4:$A$947,0),MATCH(Graphs!CN$4,Data!$B$3:$L$3,0))="n.q.",NA(),INDEX(Data!$B$4:$L$947,MATCH(Graphs!$CK285,Data!$A$4:$A$947,0),MATCH(Graphs!CN$4,Data!$B$3:$L$3,0)))</f>
        <v>249</v>
      </c>
      <c r="CO285" s="24" t="str">
        <f t="array" ref="CO285">IF(INDEX(Data!$B$4:$L$947,MATCH(Graphs!$CK285,Data!$A$4:$A$947,0),MATCH(Graphs!CO$4,Data!$B$3:$L$3,0))="n.q.",NA(),INDEX(Data!$B$4:$L$947,MATCH(Graphs!$CK285,Data!$A$4:$A$947,0),MATCH(Graphs!CO$4,Data!$B$3:$L$3,0)))</f>
        <v>#N/A</v>
      </c>
      <c r="CP285" s="24" t="str">
        <f t="array" ref="CP285">IF(INDEX(Data!$B$4:$L$947,MATCH(Graphs!$CK285,Data!$A$4:$A$947,0),MATCH(Graphs!CP$4,Data!$B$3:$L$3,0))="n.q.",NA(),INDEX(Data!$B$4:$L$947,MATCH(Graphs!$CK285,Data!$A$4:$A$947,0),MATCH(Graphs!CP$4,Data!$B$3:$L$3,0)))</f>
        <v>#N/A</v>
      </c>
      <c r="CQ285" s="5"/>
      <c r="CR285" s="24">
        <f t="array" ref="CR285">IF(INDEX(Data!$P$4:$Z$947,MATCH(Graphs!$CK285,Data!$A$4:$A$947,0),MATCH(Graphs!CR$4,Data!$P$3:$Z$3,0))="n.q.",NA(),INDEX(Data!$P$4:$Z$947,MATCH(Graphs!$CK285,Data!$A$4:$A$947,0),MATCH(Graphs!CR$4,Data!$P$3:$Z$3,0)))</f>
        <v>190.1765157</v>
      </c>
      <c r="CS285" s="24">
        <f t="array" ref="CS285">IF(INDEX(Data!$P$4:$Z$947,MATCH(Graphs!$CK285,Data!$A$4:$A$947,0),MATCH(Graphs!CS$4,Data!$P$3:$Z$3,0))="n.q.",NA(),INDEX(Data!$P$4:$Z$947,MATCH(Graphs!$CK285,Data!$A$4:$A$947,0),MATCH(Graphs!CS$4,Data!$P$3:$Z$3,0)))</f>
        <v>199.29</v>
      </c>
      <c r="CT285" s="24">
        <f t="array" ref="CT285">IF(INDEX(Data!$P$4:$Z$947,MATCH(Graphs!$CK285,Data!$A$4:$A$947,0),MATCH(Graphs!CT$4,Data!$P$3:$Z$3,0))="n.q.",NA(),INDEX(Data!$P$4:$Z$947,MATCH(Graphs!$CK285,Data!$A$4:$A$947,0),MATCH(Graphs!CT$4,Data!$P$3:$Z$3,0)))</f>
        <v>203.8031892</v>
      </c>
      <c r="CU285" s="24" t="str">
        <f t="array" ref="CU285">IF(INDEX(Data!$P$4:$Z$947,MATCH(Graphs!$CK285,Data!$A$4:$A$947,0),MATCH(Graphs!CU$4,Data!$P$3:$Z$3,0))="n.q.",NA(),INDEX(Data!$P$4:$Z$947,MATCH(Graphs!$CK285,Data!$A$4:$A$947,0),MATCH(Graphs!CU$4,Data!$P$3:$Z$3,0)))</f>
        <v>#N/A</v>
      </c>
      <c r="CV285" s="24" t="str">
        <f t="array" ref="CV285">IF(INDEX(Data!$P$4:$Z$947,MATCH(Graphs!$CK285,Data!$A$4:$A$947,0),MATCH(Graphs!CV$4,Data!$P$3:$Z$3,0))="n.q.",NA(),INDEX(Data!$P$4:$Z$947,MATCH(Graphs!$CK285,Data!$A$4:$A$947,0),MATCH(Graphs!CV$4,Data!$P$3:$Z$3,0)))</f>
        <v>#N/A</v>
      </c>
    </row>
    <row r="286" ht="14.25" customHeight="1"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5"/>
      <c r="CK286" s="22">
        <f>Data!A267</f>
        <v>44125</v>
      </c>
      <c r="CL286" s="24">
        <f t="array" ref="CL286">IF(INDEX(Data!$B$4:$L$947,MATCH(Graphs!$CK286,Data!$A$4:$A$947,0),MATCH(Graphs!CL$4,Data!$B$3:$L$3,0))="n.q.",NA(),INDEX(Data!$B$4:$L$947,MATCH(Graphs!$CK286,Data!$A$4:$A$947,0),MATCH(Graphs!CL$4,Data!$B$3:$L$3,0)))</f>
        <v>255.89</v>
      </c>
      <c r="CM286" s="24">
        <f t="array" ref="CM286">IF(INDEX(Data!$B$4:$L$947,MATCH(Graphs!$CK286,Data!$A$4:$A$947,0),MATCH(Graphs!CM$4,Data!$B$3:$L$3,0))="n.q.",NA(),INDEX(Data!$B$4:$L$947,MATCH(Graphs!$CK286,Data!$A$4:$A$947,0),MATCH(Graphs!CM$4,Data!$B$3:$L$3,0)))</f>
        <v>282.83</v>
      </c>
      <c r="CN286" s="24">
        <f t="array" ref="CN286">IF(INDEX(Data!$B$4:$L$947,MATCH(Graphs!$CK286,Data!$A$4:$A$947,0),MATCH(Graphs!CN$4,Data!$B$3:$L$3,0))="n.q.",NA(),INDEX(Data!$B$4:$L$947,MATCH(Graphs!$CK286,Data!$A$4:$A$947,0),MATCH(Graphs!CN$4,Data!$B$3:$L$3,0)))</f>
        <v>247</v>
      </c>
      <c r="CO286" s="24" t="str">
        <f t="array" ref="CO286">IF(INDEX(Data!$B$4:$L$947,MATCH(Graphs!$CK286,Data!$A$4:$A$947,0),MATCH(Graphs!CO$4,Data!$B$3:$L$3,0))="n.q.",NA(),INDEX(Data!$B$4:$L$947,MATCH(Graphs!$CK286,Data!$A$4:$A$947,0),MATCH(Graphs!CO$4,Data!$B$3:$L$3,0)))</f>
        <v>#N/A</v>
      </c>
      <c r="CP286" s="24" t="str">
        <f t="array" ref="CP286">IF(INDEX(Data!$B$4:$L$947,MATCH(Graphs!$CK286,Data!$A$4:$A$947,0),MATCH(Graphs!CP$4,Data!$B$3:$L$3,0))="n.q.",NA(),INDEX(Data!$B$4:$L$947,MATCH(Graphs!$CK286,Data!$A$4:$A$947,0),MATCH(Graphs!CP$4,Data!$B$3:$L$3,0)))</f>
        <v>#N/A</v>
      </c>
      <c r="CQ286" s="5"/>
      <c r="CR286" s="24">
        <f t="array" ref="CR286">IF(INDEX(Data!$P$4:$Z$947,MATCH(Graphs!$CK286,Data!$A$4:$A$947,0),MATCH(Graphs!CR$4,Data!$P$3:$Z$3,0))="n.q.",NA(),INDEX(Data!$P$4:$Z$947,MATCH(Graphs!$CK286,Data!$A$4:$A$947,0),MATCH(Graphs!CR$4,Data!$P$3:$Z$3,0)))</f>
        <v>192.237597</v>
      </c>
      <c r="CS286" s="24">
        <f t="array" ref="CS286">IF(INDEX(Data!$P$4:$Z$947,MATCH(Graphs!$CK286,Data!$A$4:$A$947,0),MATCH(Graphs!CS$4,Data!$P$3:$Z$3,0))="n.q.",NA(),INDEX(Data!$P$4:$Z$947,MATCH(Graphs!$CK286,Data!$A$4:$A$947,0),MATCH(Graphs!CS$4,Data!$P$3:$Z$3,0)))</f>
        <v>199.04</v>
      </c>
      <c r="CT286" s="24">
        <f t="array" ref="CT286">IF(INDEX(Data!$P$4:$Z$947,MATCH(Graphs!$CK286,Data!$A$4:$A$947,0),MATCH(Graphs!CT$4,Data!$P$3:$Z$3,0))="n.q.",NA(),INDEX(Data!$P$4:$Z$947,MATCH(Graphs!$CK286,Data!$A$4:$A$947,0),MATCH(Graphs!CT$4,Data!$P$3:$Z$3,0)))</f>
        <v>193.2163348</v>
      </c>
      <c r="CU286" s="24" t="str">
        <f t="array" ref="CU286">IF(INDEX(Data!$P$4:$Z$947,MATCH(Graphs!$CK286,Data!$A$4:$A$947,0),MATCH(Graphs!CU$4,Data!$P$3:$Z$3,0))="n.q.",NA(),INDEX(Data!$P$4:$Z$947,MATCH(Graphs!$CK286,Data!$A$4:$A$947,0),MATCH(Graphs!CU$4,Data!$P$3:$Z$3,0)))</f>
        <v>#N/A</v>
      </c>
      <c r="CV286" s="24" t="str">
        <f t="array" ref="CV286">IF(INDEX(Data!$P$4:$Z$947,MATCH(Graphs!$CK286,Data!$A$4:$A$947,0),MATCH(Graphs!CV$4,Data!$P$3:$Z$3,0))="n.q.",NA(),INDEX(Data!$P$4:$Z$947,MATCH(Graphs!$CK286,Data!$A$4:$A$947,0),MATCH(Graphs!CV$4,Data!$P$3:$Z$3,0)))</f>
        <v>#N/A</v>
      </c>
    </row>
    <row r="287" ht="14.25" customHeight="1"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5"/>
      <c r="CK287" s="22">
        <f>Data!A268</f>
        <v>44118</v>
      </c>
      <c r="CL287" s="24">
        <f t="array" ref="CL287">IF(INDEX(Data!$B$4:$L$947,MATCH(Graphs!$CK287,Data!$A$4:$A$947,0),MATCH(Graphs!CL$4,Data!$B$3:$L$3,0))="n.q.",NA(),INDEX(Data!$B$4:$L$947,MATCH(Graphs!$CK287,Data!$A$4:$A$947,0),MATCH(Graphs!CL$4,Data!$B$3:$L$3,0)))</f>
        <v>243.38</v>
      </c>
      <c r="CM287" s="24">
        <f t="array" ref="CM287">IF(INDEX(Data!$B$4:$L$947,MATCH(Graphs!$CK287,Data!$A$4:$A$947,0),MATCH(Graphs!CM$4,Data!$B$3:$L$3,0))="n.q.",NA(),INDEX(Data!$B$4:$L$947,MATCH(Graphs!$CK287,Data!$A$4:$A$947,0),MATCH(Graphs!CM$4,Data!$B$3:$L$3,0)))</f>
        <v>266.48</v>
      </c>
      <c r="CN287" s="24">
        <f t="array" ref="CN287">IF(INDEX(Data!$B$4:$L$947,MATCH(Graphs!$CK287,Data!$A$4:$A$947,0),MATCH(Graphs!CN$4,Data!$B$3:$L$3,0))="n.q.",NA(),INDEX(Data!$B$4:$L$947,MATCH(Graphs!$CK287,Data!$A$4:$A$947,0),MATCH(Graphs!CN$4,Data!$B$3:$L$3,0)))</f>
        <v>239</v>
      </c>
      <c r="CO287" s="24" t="str">
        <f t="array" ref="CO287">IF(INDEX(Data!$B$4:$L$947,MATCH(Graphs!$CK287,Data!$A$4:$A$947,0),MATCH(Graphs!CO$4,Data!$B$3:$L$3,0))="n.q.",NA(),INDEX(Data!$B$4:$L$947,MATCH(Graphs!$CK287,Data!$A$4:$A$947,0),MATCH(Graphs!CO$4,Data!$B$3:$L$3,0)))</f>
        <v>#N/A</v>
      </c>
      <c r="CP287" s="24" t="str">
        <f t="array" ref="CP287">IF(INDEX(Data!$B$4:$L$947,MATCH(Graphs!$CK287,Data!$A$4:$A$947,0),MATCH(Graphs!CP$4,Data!$B$3:$L$3,0))="n.q.",NA(),INDEX(Data!$B$4:$L$947,MATCH(Graphs!$CK287,Data!$A$4:$A$947,0),MATCH(Graphs!CP$4,Data!$B$3:$L$3,0)))</f>
        <v>#N/A</v>
      </c>
      <c r="CQ287" s="5"/>
      <c r="CR287" s="24">
        <f t="array" ref="CR287">IF(INDEX(Data!$P$4:$Z$947,MATCH(Graphs!$CK287,Data!$A$4:$A$947,0),MATCH(Graphs!CR$4,Data!$P$3:$Z$3,0))="n.q.",NA(),INDEX(Data!$P$4:$Z$947,MATCH(Graphs!$CK287,Data!$A$4:$A$947,0),MATCH(Graphs!CR$4,Data!$P$3:$Z$3,0)))</f>
        <v>182.7659574</v>
      </c>
      <c r="CS287" s="24">
        <f t="array" ref="CS287">IF(INDEX(Data!$P$4:$Z$947,MATCH(Graphs!$CK287,Data!$A$4:$A$947,0),MATCH(Graphs!CS$4,Data!$P$3:$Z$3,0))="n.q.",NA(),INDEX(Data!$P$4:$Z$947,MATCH(Graphs!$CK287,Data!$A$4:$A$947,0),MATCH(Graphs!CS$4,Data!$P$3:$Z$3,0)))</f>
        <v>182.79</v>
      </c>
      <c r="CT287" s="24">
        <f t="array" ref="CT287">IF(INDEX(Data!$P$4:$Z$947,MATCH(Graphs!$CK287,Data!$A$4:$A$947,0),MATCH(Graphs!CT$4,Data!$P$3:$Z$3,0))="n.q.",NA(),INDEX(Data!$P$4:$Z$947,MATCH(Graphs!$CK287,Data!$A$4:$A$947,0),MATCH(Graphs!CT$4,Data!$P$3:$Z$3,0)))</f>
        <v>178.7234043</v>
      </c>
      <c r="CU287" s="24" t="str">
        <f t="array" ref="CU287">IF(INDEX(Data!$P$4:$Z$947,MATCH(Graphs!$CK287,Data!$A$4:$A$947,0),MATCH(Graphs!CU$4,Data!$P$3:$Z$3,0))="n.q.",NA(),INDEX(Data!$P$4:$Z$947,MATCH(Graphs!$CK287,Data!$A$4:$A$947,0),MATCH(Graphs!CU$4,Data!$P$3:$Z$3,0)))</f>
        <v>#N/A</v>
      </c>
      <c r="CV287" s="24" t="str">
        <f t="array" ref="CV287">IF(INDEX(Data!$P$4:$Z$947,MATCH(Graphs!$CK287,Data!$A$4:$A$947,0),MATCH(Graphs!CV$4,Data!$P$3:$Z$3,0))="n.q.",NA(),INDEX(Data!$P$4:$Z$947,MATCH(Graphs!$CK287,Data!$A$4:$A$947,0),MATCH(Graphs!CV$4,Data!$P$3:$Z$3,0)))</f>
        <v>#N/A</v>
      </c>
    </row>
    <row r="288" ht="14.25" customHeight="1"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5"/>
      <c r="CK288" s="22">
        <f>Data!A269</f>
        <v>44111</v>
      </c>
      <c r="CL288" s="24">
        <f t="array" ref="CL288">IF(INDEX(Data!$B$4:$L$947,MATCH(Graphs!$CK288,Data!$A$4:$A$947,0),MATCH(Graphs!CL$4,Data!$B$3:$L$3,0))="n.q.",NA(),INDEX(Data!$B$4:$L$947,MATCH(Graphs!$CK288,Data!$A$4:$A$947,0),MATCH(Graphs!CL$4,Data!$B$3:$L$3,0)))</f>
        <v>241.9</v>
      </c>
      <c r="CM288" s="24">
        <f t="array" ref="CM288">IF(INDEX(Data!$B$4:$L$947,MATCH(Graphs!$CK288,Data!$A$4:$A$947,0),MATCH(Graphs!CM$4,Data!$B$3:$L$3,0))="n.q.",NA(),INDEX(Data!$B$4:$L$947,MATCH(Graphs!$CK288,Data!$A$4:$A$947,0),MATCH(Graphs!CM$4,Data!$B$3:$L$3,0)))</f>
        <v>273.56</v>
      </c>
      <c r="CN288" s="24">
        <f t="array" ref="CN288">IF(INDEX(Data!$B$4:$L$947,MATCH(Graphs!$CK288,Data!$A$4:$A$947,0),MATCH(Graphs!CN$4,Data!$B$3:$L$3,0))="n.q.",NA(),INDEX(Data!$B$4:$L$947,MATCH(Graphs!$CK288,Data!$A$4:$A$947,0),MATCH(Graphs!CN$4,Data!$B$3:$L$3,0)))</f>
        <v>235</v>
      </c>
      <c r="CO288" s="24" t="str">
        <f t="array" ref="CO288">IF(INDEX(Data!$B$4:$L$947,MATCH(Graphs!$CK288,Data!$A$4:$A$947,0),MATCH(Graphs!CO$4,Data!$B$3:$L$3,0))="n.q.",NA(),INDEX(Data!$B$4:$L$947,MATCH(Graphs!$CK288,Data!$A$4:$A$947,0),MATCH(Graphs!CO$4,Data!$B$3:$L$3,0)))</f>
        <v>#N/A</v>
      </c>
      <c r="CP288" s="24" t="str">
        <f t="array" ref="CP288">IF(INDEX(Data!$B$4:$L$947,MATCH(Graphs!$CK288,Data!$A$4:$A$947,0),MATCH(Graphs!CP$4,Data!$B$3:$L$3,0))="n.q.",NA(),INDEX(Data!$B$4:$L$947,MATCH(Graphs!$CK288,Data!$A$4:$A$947,0),MATCH(Graphs!CP$4,Data!$B$3:$L$3,0)))</f>
        <v>#N/A</v>
      </c>
      <c r="CQ288" s="5"/>
      <c r="CR288" s="24">
        <f t="array" ref="CR288">IF(INDEX(Data!$P$4:$Z$947,MATCH(Graphs!$CK288,Data!$A$4:$A$947,0),MATCH(Graphs!CR$4,Data!$P$3:$Z$3,0))="n.q.",NA(),INDEX(Data!$P$4:$Z$947,MATCH(Graphs!$CK288,Data!$A$4:$A$947,0),MATCH(Graphs!CR$4,Data!$P$3:$Z$3,0)))</f>
        <v>178.5301614</v>
      </c>
      <c r="CS288" s="24" t="str">
        <f t="array" ref="CS288">IF(INDEX(Data!$P$4:$Z$947,MATCH(Graphs!$CK288,Data!$A$4:$A$947,0),MATCH(Graphs!CS$4,Data!$P$3:$Z$3,0))="n.q.",NA(),INDEX(Data!$P$4:$Z$947,MATCH(Graphs!$CK288,Data!$A$4:$A$947,0),MATCH(Graphs!CS$4,Data!$P$3:$Z$3,0)))</f>
        <v>#N/A</v>
      </c>
      <c r="CT288" s="24">
        <f t="array" ref="CT288">IF(INDEX(Data!$P$4:$Z$947,MATCH(Graphs!$CK288,Data!$A$4:$A$947,0),MATCH(Graphs!CT$4,Data!$P$3:$Z$3,0))="n.q.",NA(),INDEX(Data!$P$4:$Z$947,MATCH(Graphs!$CK288,Data!$A$4:$A$947,0),MATCH(Graphs!CT$4,Data!$P$3:$Z$3,0)))</f>
        <v>174.1716228</v>
      </c>
      <c r="CU288" s="24" t="str">
        <f t="array" ref="CU288">IF(INDEX(Data!$P$4:$Z$947,MATCH(Graphs!$CK288,Data!$A$4:$A$947,0),MATCH(Graphs!CU$4,Data!$P$3:$Z$3,0))="n.q.",NA(),INDEX(Data!$P$4:$Z$947,MATCH(Graphs!$CK288,Data!$A$4:$A$947,0),MATCH(Graphs!CU$4,Data!$P$3:$Z$3,0)))</f>
        <v>#N/A</v>
      </c>
      <c r="CV288" s="24" t="str">
        <f t="array" ref="CV288">IF(INDEX(Data!$P$4:$Z$947,MATCH(Graphs!$CK288,Data!$A$4:$A$947,0),MATCH(Graphs!CV$4,Data!$P$3:$Z$3,0))="n.q.",NA(),INDEX(Data!$P$4:$Z$947,MATCH(Graphs!$CK288,Data!$A$4:$A$947,0),MATCH(Graphs!CV$4,Data!$P$3:$Z$3,0)))</f>
        <v>#N/A</v>
      </c>
    </row>
    <row r="289" ht="14.25" customHeight="1"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5"/>
      <c r="CK289" s="22">
        <f>Data!A270</f>
        <v>44104</v>
      </c>
      <c r="CL289" s="24">
        <f t="array" ref="CL289">IF(INDEX(Data!$B$4:$L$947,MATCH(Graphs!$CK289,Data!$A$4:$A$947,0),MATCH(Graphs!CL$4,Data!$B$3:$L$3,0))="n.q.",NA(),INDEX(Data!$B$4:$L$947,MATCH(Graphs!$CK289,Data!$A$4:$A$947,0),MATCH(Graphs!CL$4,Data!$B$3:$L$3,0)))</f>
        <v>237.53</v>
      </c>
      <c r="CM289" s="24">
        <f t="array" ref="CM289">IF(INDEX(Data!$B$4:$L$947,MATCH(Graphs!$CK289,Data!$A$4:$A$947,0),MATCH(Graphs!CM$4,Data!$B$3:$L$3,0))="n.q.",NA(),INDEX(Data!$B$4:$L$947,MATCH(Graphs!$CK289,Data!$A$4:$A$947,0),MATCH(Graphs!CM$4,Data!$B$3:$L$3,0)))</f>
        <v>260.79</v>
      </c>
      <c r="CN289" s="24">
        <f t="array" ref="CN289">IF(INDEX(Data!$B$4:$L$947,MATCH(Graphs!$CK289,Data!$A$4:$A$947,0),MATCH(Graphs!CN$4,Data!$B$3:$L$3,0))="n.q.",NA(),INDEX(Data!$B$4:$L$947,MATCH(Graphs!$CK289,Data!$A$4:$A$947,0),MATCH(Graphs!CN$4,Data!$B$3:$L$3,0)))</f>
        <v>229</v>
      </c>
      <c r="CO289" s="24" t="str">
        <f t="array" ref="CO289">IF(INDEX(Data!$B$4:$L$947,MATCH(Graphs!$CK289,Data!$A$4:$A$947,0),MATCH(Graphs!CO$4,Data!$B$3:$L$3,0))="n.q.",NA(),INDEX(Data!$B$4:$L$947,MATCH(Graphs!$CK289,Data!$A$4:$A$947,0),MATCH(Graphs!CO$4,Data!$B$3:$L$3,0)))</f>
        <v>#N/A</v>
      </c>
      <c r="CP289" s="24" t="str">
        <f t="array" ref="CP289">IF(INDEX(Data!$B$4:$L$947,MATCH(Graphs!$CK289,Data!$A$4:$A$947,0),MATCH(Graphs!CP$4,Data!$B$3:$L$3,0))="n.q.",NA(),INDEX(Data!$B$4:$L$947,MATCH(Graphs!$CK289,Data!$A$4:$A$947,0),MATCH(Graphs!CP$4,Data!$B$3:$L$3,0)))</f>
        <v>#N/A</v>
      </c>
      <c r="CQ289" s="5"/>
      <c r="CR289" s="24">
        <f t="array" ref="CR289">IF(INDEX(Data!$P$4:$Z$947,MATCH(Graphs!$CK289,Data!$A$4:$A$947,0),MATCH(Graphs!CR$4,Data!$P$3:$Z$3,0))="n.q.",NA(),INDEX(Data!$P$4:$Z$947,MATCH(Graphs!$CK289,Data!$A$4:$A$947,0),MATCH(Graphs!CR$4,Data!$P$3:$Z$3,0)))</f>
        <v>171.147933</v>
      </c>
      <c r="CS289" s="24">
        <f t="array" ref="CS289">IF(INDEX(Data!$P$4:$Z$947,MATCH(Graphs!$CK289,Data!$A$4:$A$947,0),MATCH(Graphs!CS$4,Data!$P$3:$Z$3,0))="n.q.",NA(),INDEX(Data!$P$4:$Z$947,MATCH(Graphs!$CK289,Data!$A$4:$A$947,0),MATCH(Graphs!CS$4,Data!$P$3:$Z$3,0)))</f>
        <v>173.79</v>
      </c>
      <c r="CT289" s="24">
        <f t="array" ref="CT289">IF(INDEX(Data!$P$4:$Z$947,MATCH(Graphs!$CK289,Data!$A$4:$A$947,0),MATCH(Graphs!CT$4,Data!$P$3:$Z$3,0))="n.q.",NA(),INDEX(Data!$P$4:$Z$947,MATCH(Graphs!$CK289,Data!$A$4:$A$947,0),MATCH(Graphs!CT$4,Data!$P$3:$Z$3,0)))</f>
        <v>169.115135</v>
      </c>
      <c r="CU289" s="24" t="str">
        <f t="array" ref="CU289">IF(INDEX(Data!$P$4:$Z$947,MATCH(Graphs!$CK289,Data!$A$4:$A$947,0),MATCH(Graphs!CU$4,Data!$P$3:$Z$3,0))="n.q.",NA(),INDEX(Data!$P$4:$Z$947,MATCH(Graphs!$CK289,Data!$A$4:$A$947,0),MATCH(Graphs!CU$4,Data!$P$3:$Z$3,0)))</f>
        <v>#N/A</v>
      </c>
      <c r="CV289" s="24" t="str">
        <f t="array" ref="CV289">IF(INDEX(Data!$P$4:$Z$947,MATCH(Graphs!$CK289,Data!$A$4:$A$947,0),MATCH(Graphs!CV$4,Data!$P$3:$Z$3,0))="n.q.",NA(),INDEX(Data!$P$4:$Z$947,MATCH(Graphs!$CK289,Data!$A$4:$A$947,0),MATCH(Graphs!CV$4,Data!$P$3:$Z$3,0)))</f>
        <v>#N/A</v>
      </c>
    </row>
    <row r="290" ht="14.25" customHeight="1"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5"/>
      <c r="CK290" s="22">
        <f>Data!A271</f>
        <v>44097</v>
      </c>
      <c r="CL290" s="24">
        <f t="array" ref="CL290">IF(INDEX(Data!$B$4:$L$947,MATCH(Graphs!$CK290,Data!$A$4:$A$947,0),MATCH(Graphs!CL$4,Data!$B$3:$L$3,0))="n.q.",NA(),INDEX(Data!$B$4:$L$947,MATCH(Graphs!$CK290,Data!$A$4:$A$947,0),MATCH(Graphs!CL$4,Data!$B$3:$L$3,0)))</f>
        <v>231.94</v>
      </c>
      <c r="CM290" s="24">
        <f t="array" ref="CM290">IF(INDEX(Data!$B$4:$L$947,MATCH(Graphs!$CK290,Data!$A$4:$A$947,0),MATCH(Graphs!CM$4,Data!$B$3:$L$3,0))="n.q.",NA(),INDEX(Data!$B$4:$L$947,MATCH(Graphs!$CK290,Data!$A$4:$A$947,0),MATCH(Graphs!CM$4,Data!$B$3:$L$3,0)))</f>
        <v>249.58</v>
      </c>
      <c r="CN290" s="24">
        <f t="array" ref="CN290">IF(INDEX(Data!$B$4:$L$947,MATCH(Graphs!$CK290,Data!$A$4:$A$947,0),MATCH(Graphs!CN$4,Data!$B$3:$L$3,0))="n.q.",NA(),INDEX(Data!$B$4:$L$947,MATCH(Graphs!$CK290,Data!$A$4:$A$947,0),MATCH(Graphs!CN$4,Data!$B$3:$L$3,0)))</f>
        <v>231</v>
      </c>
      <c r="CO290" s="24" t="str">
        <f t="array" ref="CO290">IF(INDEX(Data!$B$4:$L$947,MATCH(Graphs!$CK290,Data!$A$4:$A$947,0),MATCH(Graphs!CO$4,Data!$B$3:$L$3,0))="n.q.",NA(),INDEX(Data!$B$4:$L$947,MATCH(Graphs!$CK290,Data!$A$4:$A$947,0),MATCH(Graphs!CO$4,Data!$B$3:$L$3,0)))</f>
        <v>#N/A</v>
      </c>
      <c r="CP290" s="24" t="str">
        <f t="array" ref="CP290">IF(INDEX(Data!$B$4:$L$947,MATCH(Graphs!$CK290,Data!$A$4:$A$947,0),MATCH(Graphs!CP$4,Data!$B$3:$L$3,0))="n.q.",NA(),INDEX(Data!$B$4:$L$947,MATCH(Graphs!$CK290,Data!$A$4:$A$947,0),MATCH(Graphs!CP$4,Data!$B$3:$L$3,0)))</f>
        <v>#N/A</v>
      </c>
      <c r="CQ290" s="5"/>
      <c r="CR290" s="24">
        <f t="array" ref="CR290">IF(INDEX(Data!$P$4:$Z$947,MATCH(Graphs!$CK290,Data!$A$4:$A$947,0),MATCH(Graphs!CR$4,Data!$P$3:$Z$3,0))="n.q.",NA(),INDEX(Data!$P$4:$Z$947,MATCH(Graphs!$CK290,Data!$A$4:$A$947,0),MATCH(Graphs!CR$4,Data!$P$3:$Z$3,0)))</f>
        <v>167.8498118</v>
      </c>
      <c r="CS290" s="24">
        <f t="array" ref="CS290">IF(INDEX(Data!$P$4:$Z$947,MATCH(Graphs!$CK290,Data!$A$4:$A$947,0),MATCH(Graphs!CS$4,Data!$P$3:$Z$3,0))="n.q.",NA(),INDEX(Data!$P$4:$Z$947,MATCH(Graphs!$CK290,Data!$A$4:$A$947,0),MATCH(Graphs!CS$4,Data!$P$3:$Z$3,0)))</f>
        <v>176.79</v>
      </c>
      <c r="CT290" s="24">
        <f t="array" ref="CT290">IF(INDEX(Data!$P$4:$Z$947,MATCH(Graphs!$CK290,Data!$A$4:$A$947,0),MATCH(Graphs!CT$4,Data!$P$3:$Z$3,0))="n.q.",NA(),INDEX(Data!$P$4:$Z$947,MATCH(Graphs!$CK290,Data!$A$4:$A$947,0),MATCH(Graphs!CT$4,Data!$P$3:$Z$3,0)))</f>
        <v>167.6359904</v>
      </c>
      <c r="CU290" s="24" t="str">
        <f t="array" ref="CU290">IF(INDEX(Data!$P$4:$Z$947,MATCH(Graphs!$CK290,Data!$A$4:$A$947,0),MATCH(Graphs!CU$4,Data!$P$3:$Z$3,0))="n.q.",NA(),INDEX(Data!$P$4:$Z$947,MATCH(Graphs!$CK290,Data!$A$4:$A$947,0),MATCH(Graphs!CU$4,Data!$P$3:$Z$3,0)))</f>
        <v>#N/A</v>
      </c>
      <c r="CV290" s="24" t="str">
        <f t="array" ref="CV290">IF(INDEX(Data!$P$4:$Z$947,MATCH(Graphs!$CK290,Data!$A$4:$A$947,0),MATCH(Graphs!CV$4,Data!$P$3:$Z$3,0))="n.q.",NA(),INDEX(Data!$P$4:$Z$947,MATCH(Graphs!$CK290,Data!$A$4:$A$947,0),MATCH(Graphs!CV$4,Data!$P$3:$Z$3,0)))</f>
        <v>#N/A</v>
      </c>
    </row>
    <row r="291" ht="14.25" customHeight="1"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5"/>
      <c r="CK291" s="22">
        <f>Data!A272</f>
        <v>44090</v>
      </c>
      <c r="CL291" s="24">
        <f t="array" ref="CL291">IF(INDEX(Data!$B$4:$L$947,MATCH(Graphs!$CK291,Data!$A$4:$A$947,0),MATCH(Graphs!CL$4,Data!$B$3:$L$3,0))="n.q.",NA(),INDEX(Data!$B$4:$L$947,MATCH(Graphs!$CK291,Data!$A$4:$A$947,0),MATCH(Graphs!CL$4,Data!$B$3:$L$3,0)))</f>
        <v>229.16</v>
      </c>
      <c r="CM291" s="24">
        <f t="array" ref="CM291">IF(INDEX(Data!$B$4:$L$947,MATCH(Graphs!$CK291,Data!$A$4:$A$947,0),MATCH(Graphs!CM$4,Data!$B$3:$L$3,0))="n.q.",NA(),INDEX(Data!$B$4:$L$947,MATCH(Graphs!$CK291,Data!$A$4:$A$947,0),MATCH(Graphs!CM$4,Data!$B$3:$L$3,0)))</f>
        <v>246.18</v>
      </c>
      <c r="CN291" s="24">
        <f t="array" ref="CN291">IF(INDEX(Data!$B$4:$L$947,MATCH(Graphs!$CK291,Data!$A$4:$A$947,0),MATCH(Graphs!CN$4,Data!$B$3:$L$3,0))="n.q.",NA(),INDEX(Data!$B$4:$L$947,MATCH(Graphs!$CK291,Data!$A$4:$A$947,0),MATCH(Graphs!CN$4,Data!$B$3:$L$3,0)))</f>
        <v>223</v>
      </c>
      <c r="CO291" s="24" t="str">
        <f t="array" ref="CO291">IF(INDEX(Data!$B$4:$L$947,MATCH(Graphs!$CK291,Data!$A$4:$A$947,0),MATCH(Graphs!CO$4,Data!$B$3:$L$3,0))="n.q.",NA(),INDEX(Data!$B$4:$L$947,MATCH(Graphs!$CK291,Data!$A$4:$A$947,0),MATCH(Graphs!CO$4,Data!$B$3:$L$3,0)))</f>
        <v>#N/A</v>
      </c>
      <c r="CP291" s="24" t="str">
        <f t="array" ref="CP291">IF(INDEX(Data!$B$4:$L$947,MATCH(Graphs!$CK291,Data!$A$4:$A$947,0),MATCH(Graphs!CP$4,Data!$B$3:$L$3,0))="n.q.",NA(),INDEX(Data!$B$4:$L$947,MATCH(Graphs!$CK291,Data!$A$4:$A$947,0),MATCH(Graphs!CP$4,Data!$B$3:$L$3,0)))</f>
        <v>#N/A</v>
      </c>
      <c r="CQ291" s="5"/>
      <c r="CR291" s="24">
        <f t="array" ref="CR291">IF(INDEX(Data!$P$4:$Z$947,MATCH(Graphs!$CK291,Data!$A$4:$A$947,0),MATCH(Graphs!CR$4,Data!$P$3:$Z$3,0))="n.q.",NA(),INDEX(Data!$P$4:$Z$947,MATCH(Graphs!$CK291,Data!$A$4:$A$947,0),MATCH(Graphs!CR$4,Data!$P$3:$Z$3,0)))</f>
        <v>162.448395</v>
      </c>
      <c r="CS291" s="24">
        <f t="array" ref="CS291">IF(INDEX(Data!$P$4:$Z$947,MATCH(Graphs!$CK291,Data!$A$4:$A$947,0),MATCH(Graphs!CS$4,Data!$P$3:$Z$3,0))="n.q.",NA(),INDEX(Data!$P$4:$Z$947,MATCH(Graphs!$CK291,Data!$A$4:$A$947,0),MATCH(Graphs!CS$4,Data!$P$3:$Z$3,0)))</f>
        <v>172.29</v>
      </c>
      <c r="CT291" s="24">
        <f t="array" ref="CT291">IF(INDEX(Data!$P$4:$Z$947,MATCH(Graphs!$CK291,Data!$A$4:$A$947,0),MATCH(Graphs!CT$4,Data!$P$3:$Z$3,0))="n.q.",NA(),INDEX(Data!$P$4:$Z$947,MATCH(Graphs!$CK291,Data!$A$4:$A$947,0),MATCH(Graphs!CT$4,Data!$P$3:$Z$3,0)))</f>
        <v>160.080883</v>
      </c>
      <c r="CU291" s="24" t="str">
        <f t="array" ref="CU291">IF(INDEX(Data!$P$4:$Z$947,MATCH(Graphs!$CK291,Data!$A$4:$A$947,0),MATCH(Graphs!CU$4,Data!$P$3:$Z$3,0))="n.q.",NA(),INDEX(Data!$P$4:$Z$947,MATCH(Graphs!$CK291,Data!$A$4:$A$947,0),MATCH(Graphs!CU$4,Data!$P$3:$Z$3,0)))</f>
        <v>#N/A</v>
      </c>
      <c r="CV291" s="24" t="str">
        <f t="array" ref="CV291">IF(INDEX(Data!$P$4:$Z$947,MATCH(Graphs!$CK291,Data!$A$4:$A$947,0),MATCH(Graphs!CV$4,Data!$P$3:$Z$3,0))="n.q.",NA(),INDEX(Data!$P$4:$Z$947,MATCH(Graphs!$CK291,Data!$A$4:$A$947,0),MATCH(Graphs!CV$4,Data!$P$3:$Z$3,0)))</f>
        <v>#N/A</v>
      </c>
    </row>
    <row r="292" ht="14.25" customHeight="1"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5"/>
      <c r="CK292" s="22">
        <f>Data!A273</f>
        <v>44083</v>
      </c>
      <c r="CL292" s="24">
        <f t="array" ref="CL292">IF(INDEX(Data!$B$4:$L$947,MATCH(Graphs!$CK292,Data!$A$4:$A$947,0),MATCH(Graphs!CL$4,Data!$B$3:$L$3,0))="n.q.",NA(),INDEX(Data!$B$4:$L$947,MATCH(Graphs!$CK292,Data!$A$4:$A$947,0),MATCH(Graphs!CL$4,Data!$B$3:$L$3,0)))</f>
        <v>227.52</v>
      </c>
      <c r="CM292" s="24">
        <f t="array" ref="CM292">IF(INDEX(Data!$B$4:$L$947,MATCH(Graphs!$CK292,Data!$A$4:$A$947,0),MATCH(Graphs!CM$4,Data!$B$3:$L$3,0))="n.q.",NA(),INDEX(Data!$B$4:$L$947,MATCH(Graphs!$CK292,Data!$A$4:$A$947,0),MATCH(Graphs!CM$4,Data!$B$3:$L$3,0)))</f>
        <v>244.71</v>
      </c>
      <c r="CN292" s="24">
        <f t="array" ref="CN292">IF(INDEX(Data!$B$4:$L$947,MATCH(Graphs!$CK292,Data!$A$4:$A$947,0),MATCH(Graphs!CN$4,Data!$B$3:$L$3,0))="n.q.",NA(),INDEX(Data!$B$4:$L$947,MATCH(Graphs!$CK292,Data!$A$4:$A$947,0),MATCH(Graphs!CN$4,Data!$B$3:$L$3,0)))</f>
        <v>214</v>
      </c>
      <c r="CO292" s="24" t="str">
        <f t="array" ref="CO292">IF(INDEX(Data!$B$4:$L$947,MATCH(Graphs!$CK292,Data!$A$4:$A$947,0),MATCH(Graphs!CO$4,Data!$B$3:$L$3,0))="n.q.",NA(),INDEX(Data!$B$4:$L$947,MATCH(Graphs!$CK292,Data!$A$4:$A$947,0),MATCH(Graphs!CO$4,Data!$B$3:$L$3,0)))</f>
        <v>#N/A</v>
      </c>
      <c r="CP292" s="24" t="str">
        <f t="array" ref="CP292">IF(INDEX(Data!$B$4:$L$947,MATCH(Graphs!$CK292,Data!$A$4:$A$947,0),MATCH(Graphs!CP$4,Data!$B$3:$L$3,0))="n.q.",NA(),INDEX(Data!$B$4:$L$947,MATCH(Graphs!$CK292,Data!$A$4:$A$947,0),MATCH(Graphs!CP$4,Data!$B$3:$L$3,0)))</f>
        <v>#N/A</v>
      </c>
      <c r="CQ292" s="5"/>
      <c r="CR292" s="24">
        <f t="array" ref="CR292">IF(INDEX(Data!$P$4:$Z$947,MATCH(Graphs!$CK292,Data!$A$4:$A$947,0),MATCH(Graphs!CR$4,Data!$P$3:$Z$3,0))="n.q.",NA(),INDEX(Data!$P$4:$Z$947,MATCH(Graphs!$CK292,Data!$A$4:$A$947,0),MATCH(Graphs!CR$4,Data!$P$3:$Z$3,0)))</f>
        <v>154.2427589</v>
      </c>
      <c r="CS292" s="24" t="str">
        <f t="array" ref="CS292">IF(INDEX(Data!$P$4:$Z$947,MATCH(Graphs!$CK292,Data!$A$4:$A$947,0),MATCH(Graphs!CS$4,Data!$P$3:$Z$3,0))="n.q.",NA(),INDEX(Data!$P$4:$Z$947,MATCH(Graphs!$CK292,Data!$A$4:$A$947,0),MATCH(Graphs!CS$4,Data!$P$3:$Z$3,0)))</f>
        <v>#N/A</v>
      </c>
      <c r="CT292" s="24">
        <f t="array" ref="CT292">IF(INDEX(Data!$P$4:$Z$947,MATCH(Graphs!$CK292,Data!$A$4:$A$947,0),MATCH(Graphs!CT$4,Data!$P$3:$Z$3,0))="n.q.",NA(),INDEX(Data!$P$4:$Z$947,MATCH(Graphs!$CK292,Data!$A$4:$A$947,0),MATCH(Graphs!CT$4,Data!$P$3:$Z$3,0)))</f>
        <v>155.4404145</v>
      </c>
      <c r="CU292" s="24" t="str">
        <f t="array" ref="CU292">IF(INDEX(Data!$P$4:$Z$947,MATCH(Graphs!$CK292,Data!$A$4:$A$947,0),MATCH(Graphs!CU$4,Data!$P$3:$Z$3,0))="n.q.",NA(),INDEX(Data!$P$4:$Z$947,MATCH(Graphs!$CK292,Data!$A$4:$A$947,0),MATCH(Graphs!CU$4,Data!$P$3:$Z$3,0)))</f>
        <v>#N/A</v>
      </c>
      <c r="CV292" s="24" t="str">
        <f t="array" ref="CV292">IF(INDEX(Data!$P$4:$Z$947,MATCH(Graphs!$CK292,Data!$A$4:$A$947,0),MATCH(Graphs!CV$4,Data!$P$3:$Z$3,0))="n.q.",NA(),INDEX(Data!$P$4:$Z$947,MATCH(Graphs!$CK292,Data!$A$4:$A$947,0),MATCH(Graphs!CV$4,Data!$P$3:$Z$3,0)))</f>
        <v>#N/A</v>
      </c>
    </row>
    <row r="293" ht="14.25" customHeight="1"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5"/>
      <c r="CK293" s="22">
        <f>Data!A274</f>
        <v>44076</v>
      </c>
      <c r="CL293" s="24">
        <f t="array" ref="CL293">IF(INDEX(Data!$B$4:$L$947,MATCH(Graphs!$CK293,Data!$A$4:$A$947,0),MATCH(Graphs!CL$4,Data!$B$3:$L$3,0))="n.q.",NA(),INDEX(Data!$B$4:$L$947,MATCH(Graphs!$CK293,Data!$A$4:$A$947,0),MATCH(Graphs!CL$4,Data!$B$3:$L$3,0)))</f>
        <v>228.11</v>
      </c>
      <c r="CM293" s="24">
        <f t="array" ref="CM293">IF(INDEX(Data!$B$4:$L$947,MATCH(Graphs!$CK293,Data!$A$4:$A$947,0),MATCH(Graphs!CM$4,Data!$B$3:$L$3,0))="n.q.",NA(),INDEX(Data!$B$4:$L$947,MATCH(Graphs!$CK293,Data!$A$4:$A$947,0),MATCH(Graphs!CM$4,Data!$B$3:$L$3,0)))</f>
        <v>244.99</v>
      </c>
      <c r="CN293" s="24">
        <f t="array" ref="CN293">IF(INDEX(Data!$B$4:$L$947,MATCH(Graphs!$CK293,Data!$A$4:$A$947,0),MATCH(Graphs!CN$4,Data!$B$3:$L$3,0))="n.q.",NA(),INDEX(Data!$B$4:$L$947,MATCH(Graphs!$CK293,Data!$A$4:$A$947,0),MATCH(Graphs!CN$4,Data!$B$3:$L$3,0)))</f>
        <v>208</v>
      </c>
      <c r="CO293" s="24" t="str">
        <f t="array" ref="CO293">IF(INDEX(Data!$B$4:$L$947,MATCH(Graphs!$CK293,Data!$A$4:$A$947,0),MATCH(Graphs!CO$4,Data!$B$3:$L$3,0))="n.q.",NA(),INDEX(Data!$B$4:$L$947,MATCH(Graphs!$CK293,Data!$A$4:$A$947,0),MATCH(Graphs!CO$4,Data!$B$3:$L$3,0)))</f>
        <v>#N/A</v>
      </c>
      <c r="CP293" s="24" t="str">
        <f t="array" ref="CP293">IF(INDEX(Data!$B$4:$L$947,MATCH(Graphs!$CK293,Data!$A$4:$A$947,0),MATCH(Graphs!CP$4,Data!$B$3:$L$3,0))="n.q.",NA(),INDEX(Data!$B$4:$L$947,MATCH(Graphs!$CK293,Data!$A$4:$A$947,0),MATCH(Graphs!CP$4,Data!$B$3:$L$3,0)))</f>
        <v>#N/A</v>
      </c>
      <c r="CQ293" s="5"/>
      <c r="CR293" s="24">
        <f t="array" ref="CR293">IF(INDEX(Data!$P$4:$Z$947,MATCH(Graphs!$CK293,Data!$A$4:$A$947,0),MATCH(Graphs!CR$4,Data!$P$3:$Z$3,0))="n.q.",NA(),INDEX(Data!$P$4:$Z$947,MATCH(Graphs!$CK293,Data!$A$4:$A$947,0),MATCH(Graphs!CR$4,Data!$P$3:$Z$3,0)))</f>
        <v>148.6131018</v>
      </c>
      <c r="CS293" s="24">
        <f t="array" ref="CS293">IF(INDEX(Data!$P$4:$Z$947,MATCH(Graphs!$CK293,Data!$A$4:$A$947,0),MATCH(Graphs!CS$4,Data!$P$3:$Z$3,0))="n.q.",NA(),INDEX(Data!$P$4:$Z$947,MATCH(Graphs!$CK293,Data!$A$4:$A$947,0),MATCH(Graphs!CS$4,Data!$P$3:$Z$3,0)))</f>
        <v>171.29</v>
      </c>
      <c r="CT293" s="24">
        <f t="array" ref="CT293">IF(INDEX(Data!$P$4:$Z$947,MATCH(Graphs!$CK293,Data!$A$4:$A$947,0),MATCH(Graphs!CT$4,Data!$P$3:$Z$3,0))="n.q.",NA(),INDEX(Data!$P$4:$Z$947,MATCH(Graphs!$CK293,Data!$A$4:$A$947,0),MATCH(Graphs!CT$4,Data!$P$3:$Z$3,0)))</f>
        <v>154.2871596</v>
      </c>
      <c r="CU293" s="24" t="str">
        <f t="array" ref="CU293">IF(INDEX(Data!$P$4:$Z$947,MATCH(Graphs!$CK293,Data!$A$4:$A$947,0),MATCH(Graphs!CU$4,Data!$P$3:$Z$3,0))="n.q.",NA(),INDEX(Data!$P$4:$Z$947,MATCH(Graphs!$CK293,Data!$A$4:$A$947,0),MATCH(Graphs!CU$4,Data!$P$3:$Z$3,0)))</f>
        <v>#N/A</v>
      </c>
      <c r="CV293" s="24" t="str">
        <f t="array" ref="CV293">IF(INDEX(Data!$P$4:$Z$947,MATCH(Graphs!$CK293,Data!$A$4:$A$947,0),MATCH(Graphs!CV$4,Data!$P$3:$Z$3,0))="n.q.",NA(),INDEX(Data!$P$4:$Z$947,MATCH(Graphs!$CK293,Data!$A$4:$A$947,0),MATCH(Graphs!CV$4,Data!$P$3:$Z$3,0)))</f>
        <v>#N/A</v>
      </c>
    </row>
    <row r="294" ht="14.25" customHeight="1"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5"/>
      <c r="CK294" s="22">
        <f>Data!A275</f>
        <v>44069</v>
      </c>
      <c r="CL294" s="24">
        <f t="array" ref="CL294">IF(INDEX(Data!$B$4:$L$947,MATCH(Graphs!$CK294,Data!$A$4:$A$947,0),MATCH(Graphs!CL$4,Data!$B$3:$L$3,0))="n.q.",NA(),INDEX(Data!$B$4:$L$947,MATCH(Graphs!$CK294,Data!$A$4:$A$947,0),MATCH(Graphs!CL$4,Data!$B$3:$L$3,0)))</f>
        <v>223.03</v>
      </c>
      <c r="CM294" s="24">
        <f t="array" ref="CM294">IF(INDEX(Data!$B$4:$L$947,MATCH(Graphs!$CK294,Data!$A$4:$A$947,0),MATCH(Graphs!CM$4,Data!$B$3:$L$3,0))="n.q.",NA(),INDEX(Data!$B$4:$L$947,MATCH(Graphs!$CK294,Data!$A$4:$A$947,0),MATCH(Graphs!CM$4,Data!$B$3:$L$3,0)))</f>
        <v>231.58</v>
      </c>
      <c r="CN294" s="24">
        <f t="array" ref="CN294">IF(INDEX(Data!$B$4:$L$947,MATCH(Graphs!$CK294,Data!$A$4:$A$947,0),MATCH(Graphs!CN$4,Data!$B$3:$L$3,0))="n.q.",NA(),INDEX(Data!$B$4:$L$947,MATCH(Graphs!$CK294,Data!$A$4:$A$947,0),MATCH(Graphs!CN$4,Data!$B$3:$L$3,0)))</f>
        <v>199</v>
      </c>
      <c r="CO294" s="24" t="str">
        <f t="array" ref="CO294">IF(INDEX(Data!$B$4:$L$947,MATCH(Graphs!$CK294,Data!$A$4:$A$947,0),MATCH(Graphs!CO$4,Data!$B$3:$L$3,0))="n.q.",NA(),INDEX(Data!$B$4:$L$947,MATCH(Graphs!$CK294,Data!$A$4:$A$947,0),MATCH(Graphs!CO$4,Data!$B$3:$L$3,0)))</f>
        <v>#N/A</v>
      </c>
      <c r="CP294" s="24" t="str">
        <f t="array" ref="CP294">IF(INDEX(Data!$B$4:$L$947,MATCH(Graphs!$CK294,Data!$A$4:$A$947,0),MATCH(Graphs!CP$4,Data!$B$3:$L$3,0))="n.q.",NA(),INDEX(Data!$B$4:$L$947,MATCH(Graphs!$CK294,Data!$A$4:$A$947,0),MATCH(Graphs!CP$4,Data!$B$3:$L$3,0)))</f>
        <v>#N/A</v>
      </c>
      <c r="CQ294" s="5"/>
      <c r="CR294" s="24">
        <f t="array" ref="CR294">IF(INDEX(Data!$P$4:$Z$947,MATCH(Graphs!$CK294,Data!$A$4:$A$947,0),MATCH(Graphs!CR$4,Data!$P$3:$Z$3,0))="n.q.",NA(),INDEX(Data!$P$4:$Z$947,MATCH(Graphs!$CK294,Data!$A$4:$A$947,0),MATCH(Graphs!CR$4,Data!$P$3:$Z$3,0)))</f>
        <v>146.4331156</v>
      </c>
      <c r="CS294" s="24" t="str">
        <f t="array" ref="CS294">IF(INDEX(Data!$P$4:$Z$947,MATCH(Graphs!$CK294,Data!$A$4:$A$947,0),MATCH(Graphs!CS$4,Data!$P$3:$Z$3,0))="n.q.",NA(),INDEX(Data!$P$4:$Z$947,MATCH(Graphs!$CK294,Data!$A$4:$A$947,0),MATCH(Graphs!CS$4,Data!$P$3:$Z$3,0)))</f>
        <v>#N/A</v>
      </c>
      <c r="CT294" s="24">
        <f t="array" ref="CT294">IF(INDEX(Data!$P$4:$Z$947,MATCH(Graphs!$CK294,Data!$A$4:$A$947,0),MATCH(Graphs!CT$4,Data!$P$3:$Z$3,0))="n.q.",NA(),INDEX(Data!$P$4:$Z$947,MATCH(Graphs!$CK294,Data!$A$4:$A$947,0),MATCH(Graphs!CT$4,Data!$P$3:$Z$3,0)))</f>
        <v>151.8364577</v>
      </c>
      <c r="CU294" s="24" t="str">
        <f t="array" ref="CU294">IF(INDEX(Data!$P$4:$Z$947,MATCH(Graphs!$CK294,Data!$A$4:$A$947,0),MATCH(Graphs!CU$4,Data!$P$3:$Z$3,0))="n.q.",NA(),INDEX(Data!$P$4:$Z$947,MATCH(Graphs!$CK294,Data!$A$4:$A$947,0),MATCH(Graphs!CU$4,Data!$P$3:$Z$3,0)))</f>
        <v>#N/A</v>
      </c>
      <c r="CV294" s="24" t="str">
        <f t="array" ref="CV294">IF(INDEX(Data!$P$4:$Z$947,MATCH(Graphs!$CK294,Data!$A$4:$A$947,0),MATCH(Graphs!CV$4,Data!$P$3:$Z$3,0))="n.q.",NA(),INDEX(Data!$P$4:$Z$947,MATCH(Graphs!$CK294,Data!$A$4:$A$947,0),MATCH(Graphs!CV$4,Data!$P$3:$Z$3,0)))</f>
        <v>#N/A</v>
      </c>
    </row>
    <row r="295" ht="14.25" customHeight="1"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5"/>
      <c r="CK295" s="22">
        <f>Data!A276</f>
        <v>44062</v>
      </c>
      <c r="CL295" s="24">
        <f t="array" ref="CL295">IF(INDEX(Data!$B$4:$L$947,MATCH(Graphs!$CK295,Data!$A$4:$A$947,0),MATCH(Graphs!CL$4,Data!$B$3:$L$3,0))="n.q.",NA(),INDEX(Data!$B$4:$L$947,MATCH(Graphs!$CK295,Data!$A$4:$A$947,0),MATCH(Graphs!CL$4,Data!$B$3:$L$3,0)))</f>
        <v>221.62</v>
      </c>
      <c r="CM295" s="24">
        <f t="array" ref="CM295">IF(INDEX(Data!$B$4:$L$947,MATCH(Graphs!$CK295,Data!$A$4:$A$947,0),MATCH(Graphs!CM$4,Data!$B$3:$L$3,0))="n.q.",NA(),INDEX(Data!$B$4:$L$947,MATCH(Graphs!$CK295,Data!$A$4:$A$947,0),MATCH(Graphs!CM$4,Data!$B$3:$L$3,0)))</f>
        <v>223.22</v>
      </c>
      <c r="CN295" s="24">
        <f t="array" ref="CN295">IF(INDEX(Data!$B$4:$L$947,MATCH(Graphs!$CK295,Data!$A$4:$A$947,0),MATCH(Graphs!CN$4,Data!$B$3:$L$3,0))="n.q.",NA(),INDEX(Data!$B$4:$L$947,MATCH(Graphs!$CK295,Data!$A$4:$A$947,0),MATCH(Graphs!CN$4,Data!$B$3:$L$3,0)))</f>
        <v>197</v>
      </c>
      <c r="CO295" s="24" t="str">
        <f t="array" ref="CO295">IF(INDEX(Data!$B$4:$L$947,MATCH(Graphs!$CK295,Data!$A$4:$A$947,0),MATCH(Graphs!CO$4,Data!$B$3:$L$3,0))="n.q.",NA(),INDEX(Data!$B$4:$L$947,MATCH(Graphs!$CK295,Data!$A$4:$A$947,0),MATCH(Graphs!CO$4,Data!$B$3:$L$3,0)))</f>
        <v>#N/A</v>
      </c>
      <c r="CP295" s="24" t="str">
        <f t="array" ref="CP295">IF(INDEX(Data!$B$4:$L$947,MATCH(Graphs!$CK295,Data!$A$4:$A$947,0),MATCH(Graphs!CP$4,Data!$B$3:$L$3,0))="n.q.",NA(),INDEX(Data!$B$4:$L$947,MATCH(Graphs!$CK295,Data!$A$4:$A$947,0),MATCH(Graphs!CP$4,Data!$B$3:$L$3,0)))</f>
        <v>#N/A</v>
      </c>
      <c r="CQ295" s="5"/>
      <c r="CR295" s="24">
        <f t="array" ref="CR295">IF(INDEX(Data!$P$4:$Z$947,MATCH(Graphs!$CK295,Data!$A$4:$A$947,0),MATCH(Graphs!CR$4,Data!$P$3:$Z$3,0))="n.q.",NA(),INDEX(Data!$P$4:$Z$947,MATCH(Graphs!$CK295,Data!$A$4:$A$947,0),MATCH(Graphs!CR$4,Data!$P$3:$Z$3,0)))</f>
        <v>139.5541775</v>
      </c>
      <c r="CS295" s="24" t="str">
        <f t="array" ref="CS295">IF(INDEX(Data!$P$4:$Z$947,MATCH(Graphs!$CK295,Data!$A$4:$A$947,0),MATCH(Graphs!CS$4,Data!$P$3:$Z$3,0))="n.q.",NA(),INDEX(Data!$P$4:$Z$947,MATCH(Graphs!$CK295,Data!$A$4:$A$947,0),MATCH(Graphs!CS$4,Data!$P$3:$Z$3,0)))</f>
        <v>#N/A</v>
      </c>
      <c r="CT295" s="24">
        <f t="array" ref="CT295">IF(INDEX(Data!$P$4:$Z$947,MATCH(Graphs!$CK295,Data!$A$4:$A$947,0),MATCH(Graphs!CT$4,Data!$P$3:$Z$3,0))="n.q.",NA(),INDEX(Data!$P$4:$Z$947,MATCH(Graphs!$CK295,Data!$A$4:$A$947,0),MATCH(Graphs!CT$4,Data!$P$3:$Z$3,0)))</f>
        <v>153.356239</v>
      </c>
      <c r="CU295" s="24" t="str">
        <f t="array" ref="CU295">IF(INDEX(Data!$P$4:$Z$947,MATCH(Graphs!$CK295,Data!$A$4:$A$947,0),MATCH(Graphs!CU$4,Data!$P$3:$Z$3,0))="n.q.",NA(),INDEX(Data!$P$4:$Z$947,MATCH(Graphs!$CK295,Data!$A$4:$A$947,0),MATCH(Graphs!CU$4,Data!$P$3:$Z$3,0)))</f>
        <v>#N/A</v>
      </c>
      <c r="CV295" s="24" t="str">
        <f t="array" ref="CV295">IF(INDEX(Data!$P$4:$Z$947,MATCH(Graphs!$CK295,Data!$A$4:$A$947,0),MATCH(Graphs!CV$4,Data!$P$3:$Z$3,0))="n.q.",NA(),INDEX(Data!$P$4:$Z$947,MATCH(Graphs!$CK295,Data!$A$4:$A$947,0),MATCH(Graphs!CV$4,Data!$P$3:$Z$3,0)))</f>
        <v>#N/A</v>
      </c>
    </row>
    <row r="296" ht="14.25" customHeight="1"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5"/>
      <c r="CK296" s="22">
        <f>Data!A277</f>
        <v>44055</v>
      </c>
      <c r="CL296" s="24">
        <f t="array" ref="CL296">IF(INDEX(Data!$B$4:$L$947,MATCH(Graphs!$CK296,Data!$A$4:$A$947,0),MATCH(Graphs!CL$4,Data!$B$3:$L$3,0))="n.q.",NA(),INDEX(Data!$B$4:$L$947,MATCH(Graphs!$CK296,Data!$A$4:$A$947,0),MATCH(Graphs!CL$4,Data!$B$3:$L$3,0)))</f>
        <v>216.89</v>
      </c>
      <c r="CM296" s="24">
        <f t="array" ref="CM296">IF(INDEX(Data!$B$4:$L$947,MATCH(Graphs!$CK296,Data!$A$4:$A$947,0),MATCH(Graphs!CM$4,Data!$B$3:$L$3,0))="n.q.",NA(),INDEX(Data!$B$4:$L$947,MATCH(Graphs!$CK296,Data!$A$4:$A$947,0),MATCH(Graphs!CM$4,Data!$B$3:$L$3,0)))</f>
        <v>215.96</v>
      </c>
      <c r="CN296" s="24">
        <f t="array" ref="CN296">IF(INDEX(Data!$B$4:$L$947,MATCH(Graphs!$CK296,Data!$A$4:$A$947,0),MATCH(Graphs!CN$4,Data!$B$3:$L$3,0))="n.q.",NA(),INDEX(Data!$B$4:$L$947,MATCH(Graphs!$CK296,Data!$A$4:$A$947,0),MATCH(Graphs!CN$4,Data!$B$3:$L$3,0)))</f>
        <v>197</v>
      </c>
      <c r="CO296" s="24" t="str">
        <f t="array" ref="CO296">IF(INDEX(Data!$B$4:$L$947,MATCH(Graphs!$CK296,Data!$A$4:$A$947,0),MATCH(Graphs!CO$4,Data!$B$3:$L$3,0))="n.q.",NA(),INDEX(Data!$B$4:$L$947,MATCH(Graphs!$CK296,Data!$A$4:$A$947,0),MATCH(Graphs!CO$4,Data!$B$3:$L$3,0)))</f>
        <v>#N/A</v>
      </c>
      <c r="CP296" s="24" t="str">
        <f t="array" ref="CP296">IF(INDEX(Data!$B$4:$L$947,MATCH(Graphs!$CK296,Data!$A$4:$A$947,0),MATCH(Graphs!CP$4,Data!$B$3:$L$3,0))="n.q.",NA(),INDEX(Data!$B$4:$L$947,MATCH(Graphs!$CK296,Data!$A$4:$A$947,0),MATCH(Graphs!CP$4,Data!$B$3:$L$3,0)))</f>
        <v>#N/A</v>
      </c>
      <c r="CQ296" s="5"/>
      <c r="CR296" s="24">
        <f t="array" ref="CR296">IF(INDEX(Data!$P$4:$Z$947,MATCH(Graphs!$CK296,Data!$A$4:$A$947,0),MATCH(Graphs!CR$4,Data!$P$3:$Z$3,0))="n.q.",NA(),INDEX(Data!$P$4:$Z$947,MATCH(Graphs!$CK296,Data!$A$4:$A$947,0),MATCH(Graphs!CR$4,Data!$P$3:$Z$3,0)))</f>
        <v>138.9601563</v>
      </c>
      <c r="CS296" s="24" t="str">
        <f t="array" ref="CS296">IF(INDEX(Data!$P$4:$Z$947,MATCH(Graphs!$CK296,Data!$A$4:$A$947,0),MATCH(Graphs!CS$4,Data!$P$3:$Z$3,0))="n.q.",NA(),INDEX(Data!$P$4:$Z$947,MATCH(Graphs!$CK296,Data!$A$4:$A$947,0),MATCH(Graphs!CS$4,Data!$P$3:$Z$3,0)))</f>
        <v>#N/A</v>
      </c>
      <c r="CT296" s="24">
        <f t="array" ref="CT296">IF(INDEX(Data!$P$4:$Z$947,MATCH(Graphs!$CK296,Data!$A$4:$A$947,0),MATCH(Graphs!CT$4,Data!$P$3:$Z$3,0))="n.q.",NA(),INDEX(Data!$P$4:$Z$947,MATCH(Graphs!$CK296,Data!$A$4:$A$947,0),MATCH(Graphs!CT$4,Data!$P$3:$Z$3,0)))</f>
        <v>154.6172798</v>
      </c>
      <c r="CU296" s="24" t="str">
        <f t="array" ref="CU296">IF(INDEX(Data!$P$4:$Z$947,MATCH(Graphs!$CK296,Data!$A$4:$A$947,0),MATCH(Graphs!CU$4,Data!$P$3:$Z$3,0))="n.q.",NA(),INDEX(Data!$P$4:$Z$947,MATCH(Graphs!$CK296,Data!$A$4:$A$947,0),MATCH(Graphs!CU$4,Data!$P$3:$Z$3,0)))</f>
        <v>#N/A</v>
      </c>
      <c r="CV296" s="24" t="str">
        <f t="array" ref="CV296">IF(INDEX(Data!$P$4:$Z$947,MATCH(Graphs!$CK296,Data!$A$4:$A$947,0),MATCH(Graphs!CV$4,Data!$P$3:$Z$3,0))="n.q.",NA(),INDEX(Data!$P$4:$Z$947,MATCH(Graphs!$CK296,Data!$A$4:$A$947,0),MATCH(Graphs!CV$4,Data!$P$3:$Z$3,0)))</f>
        <v>#N/A</v>
      </c>
    </row>
    <row r="297" ht="14.25" customHeight="1"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5"/>
      <c r="CK297" s="22">
        <f>Data!A278</f>
        <v>44048</v>
      </c>
      <c r="CL297" s="24">
        <f t="array" ref="CL297">IF(INDEX(Data!$B$4:$L$947,MATCH(Graphs!$CK297,Data!$A$4:$A$947,0),MATCH(Graphs!CL$4,Data!$B$3:$L$3,0))="n.q.",NA(),INDEX(Data!$B$4:$L$947,MATCH(Graphs!$CK297,Data!$A$4:$A$947,0),MATCH(Graphs!CL$4,Data!$B$3:$L$3,0)))</f>
        <v>220.69</v>
      </c>
      <c r="CM297" s="24">
        <f t="array" ref="CM297">IF(INDEX(Data!$B$4:$L$947,MATCH(Graphs!$CK297,Data!$A$4:$A$947,0),MATCH(Graphs!CM$4,Data!$B$3:$L$3,0))="n.q.",NA(),INDEX(Data!$B$4:$L$947,MATCH(Graphs!$CK297,Data!$A$4:$A$947,0),MATCH(Graphs!CM$4,Data!$B$3:$L$3,0)))</f>
        <v>219.18</v>
      </c>
      <c r="CN297" s="24">
        <f t="array" ref="CN297">IF(INDEX(Data!$B$4:$L$947,MATCH(Graphs!$CK297,Data!$A$4:$A$947,0),MATCH(Graphs!CN$4,Data!$B$3:$L$3,0))="n.q.",NA(),INDEX(Data!$B$4:$L$947,MATCH(Graphs!$CK297,Data!$A$4:$A$947,0),MATCH(Graphs!CN$4,Data!$B$3:$L$3,0)))</f>
        <v>201</v>
      </c>
      <c r="CO297" s="24" t="str">
        <f t="array" ref="CO297">IF(INDEX(Data!$B$4:$L$947,MATCH(Graphs!$CK297,Data!$A$4:$A$947,0),MATCH(Graphs!CO$4,Data!$B$3:$L$3,0))="n.q.",NA(),INDEX(Data!$B$4:$L$947,MATCH(Graphs!$CK297,Data!$A$4:$A$947,0),MATCH(Graphs!CO$4,Data!$B$3:$L$3,0)))</f>
        <v>#N/A</v>
      </c>
      <c r="CP297" s="24" t="str">
        <f t="array" ref="CP297">IF(INDEX(Data!$B$4:$L$947,MATCH(Graphs!$CK297,Data!$A$4:$A$947,0),MATCH(Graphs!CP$4,Data!$B$3:$L$3,0))="n.q.",NA(),INDEX(Data!$B$4:$L$947,MATCH(Graphs!$CK297,Data!$A$4:$A$947,0),MATCH(Graphs!CP$4,Data!$B$3:$L$3,0)))</f>
        <v>#N/A</v>
      </c>
      <c r="CQ297" s="5"/>
      <c r="CR297" s="24">
        <f t="array" ref="CR297">IF(INDEX(Data!$P$4:$Z$947,MATCH(Graphs!$CK297,Data!$A$4:$A$947,0),MATCH(Graphs!CR$4,Data!$P$3:$Z$3,0))="n.q.",NA(),INDEX(Data!$P$4:$Z$947,MATCH(Graphs!$CK297,Data!$A$4:$A$947,0),MATCH(Graphs!CR$4,Data!$P$3:$Z$3,0)))</f>
        <v>136.4940105</v>
      </c>
      <c r="CS297" s="24" t="str">
        <f t="array" ref="CS297">IF(INDEX(Data!$P$4:$Z$947,MATCH(Graphs!$CK297,Data!$A$4:$A$947,0),MATCH(Graphs!CS$4,Data!$P$3:$Z$3,0))="n.q.",NA(),INDEX(Data!$P$4:$Z$947,MATCH(Graphs!$CK297,Data!$A$4:$A$947,0),MATCH(Graphs!CS$4,Data!$P$3:$Z$3,0)))</f>
        <v>#N/A</v>
      </c>
      <c r="CT297" s="24">
        <f t="array" ref="CT297">IF(INDEX(Data!$P$4:$Z$947,MATCH(Graphs!$CK297,Data!$A$4:$A$947,0),MATCH(Graphs!CT$4,Data!$P$3:$Z$3,0))="n.q.",NA(),INDEX(Data!$P$4:$Z$947,MATCH(Graphs!$CK297,Data!$A$4:$A$947,0),MATCH(Graphs!CT$4,Data!$P$3:$Z$3,0)))</f>
        <v>155.221866</v>
      </c>
      <c r="CU297" s="24" t="str">
        <f t="array" ref="CU297">IF(INDEX(Data!$P$4:$Z$947,MATCH(Graphs!$CK297,Data!$A$4:$A$947,0),MATCH(Graphs!CU$4,Data!$P$3:$Z$3,0))="n.q.",NA(),INDEX(Data!$P$4:$Z$947,MATCH(Graphs!$CK297,Data!$A$4:$A$947,0),MATCH(Graphs!CU$4,Data!$P$3:$Z$3,0)))</f>
        <v>#N/A</v>
      </c>
      <c r="CV297" s="24" t="str">
        <f t="array" ref="CV297">IF(INDEX(Data!$P$4:$Z$947,MATCH(Graphs!$CK297,Data!$A$4:$A$947,0),MATCH(Graphs!CV$4,Data!$P$3:$Z$3,0))="n.q.",NA(),INDEX(Data!$P$4:$Z$947,MATCH(Graphs!$CK297,Data!$A$4:$A$947,0),MATCH(Graphs!CV$4,Data!$P$3:$Z$3,0)))</f>
        <v>#N/A</v>
      </c>
    </row>
    <row r="298" ht="14.25" customHeight="1"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5"/>
      <c r="CK298" s="22">
        <f>Data!A279</f>
        <v>44041</v>
      </c>
      <c r="CL298" s="24">
        <f t="array" ref="CL298">IF(INDEX(Data!$B$4:$L$947,MATCH(Graphs!$CK298,Data!$A$4:$A$947,0),MATCH(Graphs!CL$4,Data!$B$3:$L$3,0))="n.q.",NA(),INDEX(Data!$B$4:$L$947,MATCH(Graphs!$CK298,Data!$A$4:$A$947,0),MATCH(Graphs!CL$4,Data!$B$3:$L$3,0)))</f>
        <v>220.53</v>
      </c>
      <c r="CM298" s="24">
        <f t="array" ref="CM298">IF(INDEX(Data!$B$4:$L$947,MATCH(Graphs!$CK298,Data!$A$4:$A$947,0),MATCH(Graphs!CM$4,Data!$B$3:$L$3,0))="n.q.",NA(),INDEX(Data!$B$4:$L$947,MATCH(Graphs!$CK298,Data!$A$4:$A$947,0),MATCH(Graphs!CM$4,Data!$B$3:$L$3,0)))</f>
        <v>222.57</v>
      </c>
      <c r="CN298" s="24">
        <f t="array" ref="CN298">IF(INDEX(Data!$B$4:$L$947,MATCH(Graphs!$CK298,Data!$A$4:$A$947,0),MATCH(Graphs!CN$4,Data!$B$3:$L$3,0))="n.q.",NA(),INDEX(Data!$B$4:$L$947,MATCH(Graphs!$CK298,Data!$A$4:$A$947,0),MATCH(Graphs!CN$4,Data!$B$3:$L$3,0)))</f>
        <v>201</v>
      </c>
      <c r="CO298" s="24" t="str">
        <f t="array" ref="CO298">IF(INDEX(Data!$B$4:$L$947,MATCH(Graphs!$CK298,Data!$A$4:$A$947,0),MATCH(Graphs!CO$4,Data!$B$3:$L$3,0))="n.q.",NA(),INDEX(Data!$B$4:$L$947,MATCH(Graphs!$CK298,Data!$A$4:$A$947,0),MATCH(Graphs!CO$4,Data!$B$3:$L$3,0)))</f>
        <v>#N/A</v>
      </c>
      <c r="CP298" s="24" t="str">
        <f t="array" ref="CP298">IF(INDEX(Data!$B$4:$L$947,MATCH(Graphs!$CK298,Data!$A$4:$A$947,0),MATCH(Graphs!CP$4,Data!$B$3:$L$3,0))="n.q.",NA(),INDEX(Data!$B$4:$L$947,MATCH(Graphs!$CK298,Data!$A$4:$A$947,0),MATCH(Graphs!CP$4,Data!$B$3:$L$3,0)))</f>
        <v>#N/A</v>
      </c>
      <c r="CQ298" s="5"/>
      <c r="CR298" s="24">
        <f t="array" ref="CR298">IF(INDEX(Data!$P$4:$Z$947,MATCH(Graphs!$CK298,Data!$A$4:$A$947,0),MATCH(Graphs!CR$4,Data!$P$3:$Z$3,0))="n.q.",NA(),INDEX(Data!$P$4:$Z$947,MATCH(Graphs!$CK298,Data!$A$4:$A$947,0),MATCH(Graphs!CR$4,Data!$P$3:$Z$3,0)))</f>
        <v>141.5266525</v>
      </c>
      <c r="CS298" s="24" t="str">
        <f t="array" ref="CS298">IF(INDEX(Data!$P$4:$Z$947,MATCH(Graphs!$CK298,Data!$A$4:$A$947,0),MATCH(Graphs!CS$4,Data!$P$3:$Z$3,0))="n.q.",NA(),INDEX(Data!$P$4:$Z$947,MATCH(Graphs!$CK298,Data!$A$4:$A$947,0),MATCH(Graphs!CS$4,Data!$P$3:$Z$3,0)))</f>
        <v>#N/A</v>
      </c>
      <c r="CT298" s="24">
        <f t="array" ref="CT298">IF(INDEX(Data!$P$4:$Z$947,MATCH(Graphs!$CK298,Data!$A$4:$A$947,0),MATCH(Graphs!CT$4,Data!$P$3:$Z$3,0))="n.q.",NA(),INDEX(Data!$P$4:$Z$947,MATCH(Graphs!$CK298,Data!$A$4:$A$947,0),MATCH(Graphs!CT$4,Data!$P$3:$Z$3,0)))</f>
        <v>157.782516</v>
      </c>
      <c r="CU298" s="24" t="str">
        <f t="array" ref="CU298">IF(INDEX(Data!$P$4:$Z$947,MATCH(Graphs!$CK298,Data!$A$4:$A$947,0),MATCH(Graphs!CU$4,Data!$P$3:$Z$3,0))="n.q.",NA(),INDEX(Data!$P$4:$Z$947,MATCH(Graphs!$CK298,Data!$A$4:$A$947,0),MATCH(Graphs!CU$4,Data!$P$3:$Z$3,0)))</f>
        <v>#N/A</v>
      </c>
      <c r="CV298" s="24" t="str">
        <f t="array" ref="CV298">IF(INDEX(Data!$P$4:$Z$947,MATCH(Graphs!$CK298,Data!$A$4:$A$947,0),MATCH(Graphs!CV$4,Data!$P$3:$Z$3,0))="n.q.",NA(),INDEX(Data!$P$4:$Z$947,MATCH(Graphs!$CK298,Data!$A$4:$A$947,0),MATCH(Graphs!CV$4,Data!$P$3:$Z$3,0)))</f>
        <v>#N/A</v>
      </c>
    </row>
    <row r="299" ht="14.25" customHeight="1"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5"/>
      <c r="CK299" s="22">
        <f>Data!A280</f>
        <v>44034</v>
      </c>
      <c r="CL299" s="24">
        <f t="array" ref="CL299">IF(INDEX(Data!$B$4:$L$947,MATCH(Graphs!$CK299,Data!$A$4:$A$947,0),MATCH(Graphs!CL$4,Data!$B$3:$L$3,0))="n.q.",NA(),INDEX(Data!$B$4:$L$947,MATCH(Graphs!$CK299,Data!$A$4:$A$947,0),MATCH(Graphs!CL$4,Data!$B$3:$L$3,0)))</f>
        <v>219.45</v>
      </c>
      <c r="CM299" s="24">
        <f t="array" ref="CM299">IF(INDEX(Data!$B$4:$L$947,MATCH(Graphs!$CK299,Data!$A$4:$A$947,0),MATCH(Graphs!CM$4,Data!$B$3:$L$3,0))="n.q.",NA(),INDEX(Data!$B$4:$L$947,MATCH(Graphs!$CK299,Data!$A$4:$A$947,0),MATCH(Graphs!CM$4,Data!$B$3:$L$3,0)))</f>
        <v>223.59</v>
      </c>
      <c r="CN299" s="24">
        <f t="array" ref="CN299">IF(INDEX(Data!$B$4:$L$947,MATCH(Graphs!$CK299,Data!$A$4:$A$947,0),MATCH(Graphs!CN$4,Data!$B$3:$L$3,0))="n.q.",NA(),INDEX(Data!$B$4:$L$947,MATCH(Graphs!$CK299,Data!$A$4:$A$947,0),MATCH(Graphs!CN$4,Data!$B$3:$L$3,0)))</f>
        <v>199</v>
      </c>
      <c r="CO299" s="24" t="str">
        <f t="array" ref="CO299">IF(INDEX(Data!$B$4:$L$947,MATCH(Graphs!$CK299,Data!$A$4:$A$947,0),MATCH(Graphs!CO$4,Data!$B$3:$L$3,0))="n.q.",NA(),INDEX(Data!$B$4:$L$947,MATCH(Graphs!$CK299,Data!$A$4:$A$947,0),MATCH(Graphs!CO$4,Data!$B$3:$L$3,0)))</f>
        <v>#N/A</v>
      </c>
      <c r="CP299" s="24" t="str">
        <f t="array" ref="CP299">IF(INDEX(Data!$B$4:$L$947,MATCH(Graphs!$CK299,Data!$A$4:$A$947,0),MATCH(Graphs!CP$4,Data!$B$3:$L$3,0))="n.q.",NA(),INDEX(Data!$B$4:$L$947,MATCH(Graphs!$CK299,Data!$A$4:$A$947,0),MATCH(Graphs!CP$4,Data!$B$3:$L$3,0)))</f>
        <v>#N/A</v>
      </c>
      <c r="CQ299" s="5"/>
      <c r="CR299" s="24">
        <f t="array" ref="CR299">IF(INDEX(Data!$P$4:$Z$947,MATCH(Graphs!$CK299,Data!$A$4:$A$947,0),MATCH(Graphs!CR$4,Data!$P$3:$Z$3,0))="n.q.",NA(),INDEX(Data!$P$4:$Z$947,MATCH(Graphs!$CK299,Data!$A$4:$A$947,0),MATCH(Graphs!CR$4,Data!$P$3:$Z$3,0)))</f>
        <v>145.0250475</v>
      </c>
      <c r="CS299" s="24">
        <f t="array" ref="CS299">IF(INDEX(Data!$P$4:$Z$947,MATCH(Graphs!$CK299,Data!$A$4:$A$947,0),MATCH(Graphs!CS$4,Data!$P$3:$Z$3,0))="n.q.",NA(),INDEX(Data!$P$4:$Z$947,MATCH(Graphs!$CK299,Data!$A$4:$A$947,0),MATCH(Graphs!CS$4,Data!$P$3:$Z$3,0)))</f>
        <v>179.16</v>
      </c>
      <c r="CT299" s="24">
        <f t="array" ref="CT299">IF(INDEX(Data!$P$4:$Z$947,MATCH(Graphs!$CK299,Data!$A$4:$A$947,0),MATCH(Graphs!CT$4,Data!$P$3:$Z$3,0))="n.q.",NA(),INDEX(Data!$P$4:$Z$947,MATCH(Graphs!$CK299,Data!$A$4:$A$947,0),MATCH(Graphs!CT$4,Data!$P$3:$Z$3,0)))</f>
        <v>158.9220936</v>
      </c>
      <c r="CU299" s="24" t="str">
        <f t="array" ref="CU299">IF(INDEX(Data!$P$4:$Z$947,MATCH(Graphs!$CK299,Data!$A$4:$A$947,0),MATCH(Graphs!CU$4,Data!$P$3:$Z$3,0))="n.q.",NA(),INDEX(Data!$P$4:$Z$947,MATCH(Graphs!$CK299,Data!$A$4:$A$947,0),MATCH(Graphs!CU$4,Data!$P$3:$Z$3,0)))</f>
        <v>#N/A</v>
      </c>
      <c r="CV299" s="24" t="str">
        <f t="array" ref="CV299">IF(INDEX(Data!$P$4:$Z$947,MATCH(Graphs!$CK299,Data!$A$4:$A$947,0),MATCH(Graphs!CV$4,Data!$P$3:$Z$3,0))="n.q.",NA(),INDEX(Data!$P$4:$Z$947,MATCH(Graphs!$CK299,Data!$A$4:$A$947,0),MATCH(Graphs!CV$4,Data!$P$3:$Z$3,0)))</f>
        <v>#N/A</v>
      </c>
    </row>
    <row r="300" ht="14.25" customHeight="1"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5"/>
      <c r="CK300" s="22">
        <f>Data!A281</f>
        <v>44027</v>
      </c>
      <c r="CL300" s="24">
        <f t="array" ref="CL300">IF(INDEX(Data!$B$4:$L$947,MATCH(Graphs!$CK300,Data!$A$4:$A$947,0),MATCH(Graphs!CL$4,Data!$B$3:$L$3,0))="n.q.",NA(),INDEX(Data!$B$4:$L$947,MATCH(Graphs!$CK300,Data!$A$4:$A$947,0),MATCH(Graphs!CL$4,Data!$B$3:$L$3,0)))</f>
        <v>219</v>
      </c>
      <c r="CM300" s="24">
        <f t="array" ref="CM300">IF(INDEX(Data!$B$4:$L$947,MATCH(Graphs!$CK300,Data!$A$4:$A$947,0),MATCH(Graphs!CM$4,Data!$B$3:$L$3,0))="n.q.",NA(),INDEX(Data!$B$4:$L$947,MATCH(Graphs!$CK300,Data!$A$4:$A$947,0),MATCH(Graphs!CM$4,Data!$B$3:$L$3,0)))</f>
        <v>227.63</v>
      </c>
      <c r="CN300" s="24">
        <f t="array" ref="CN300">IF(INDEX(Data!$B$4:$L$947,MATCH(Graphs!$CK300,Data!$A$4:$A$947,0),MATCH(Graphs!CN$4,Data!$B$3:$L$3,0))="n.q.",NA(),INDEX(Data!$B$4:$L$947,MATCH(Graphs!$CK300,Data!$A$4:$A$947,0),MATCH(Graphs!CN$4,Data!$B$3:$L$3,0)))</f>
        <v>199</v>
      </c>
      <c r="CO300" s="24" t="str">
        <f t="array" ref="CO300">IF(INDEX(Data!$B$4:$L$947,MATCH(Graphs!$CK300,Data!$A$4:$A$947,0),MATCH(Graphs!CO$4,Data!$B$3:$L$3,0))="n.q.",NA(),INDEX(Data!$B$4:$L$947,MATCH(Graphs!$CK300,Data!$A$4:$A$947,0),MATCH(Graphs!CO$4,Data!$B$3:$L$3,0)))</f>
        <v>#N/A</v>
      </c>
      <c r="CP300" s="24" t="str">
        <f t="array" ref="CP300">IF(INDEX(Data!$B$4:$L$947,MATCH(Graphs!$CK300,Data!$A$4:$A$947,0),MATCH(Graphs!CP$4,Data!$B$3:$L$3,0))="n.q.",NA(),INDEX(Data!$B$4:$L$947,MATCH(Graphs!$CK300,Data!$A$4:$A$947,0),MATCH(Graphs!CP$4,Data!$B$3:$L$3,0)))</f>
        <v>#N/A</v>
      </c>
      <c r="CQ300" s="5"/>
      <c r="CR300" s="24">
        <f t="array" ref="CR300">IF(INDEX(Data!$P$4:$Z$947,MATCH(Graphs!$CK300,Data!$A$4:$A$947,0),MATCH(Graphs!CR$4,Data!$P$3:$Z$3,0))="n.q.",NA(),INDEX(Data!$P$4:$Z$947,MATCH(Graphs!$CK300,Data!$A$4:$A$947,0),MATCH(Graphs!CR$4,Data!$P$3:$Z$3,0)))</f>
        <v>145.2551555</v>
      </c>
      <c r="CS300" s="24">
        <f t="array" ref="CS300">IF(INDEX(Data!$P$4:$Z$947,MATCH(Graphs!$CK300,Data!$A$4:$A$947,0),MATCH(Graphs!CS$4,Data!$P$3:$Z$3,0))="n.q.",NA(),INDEX(Data!$P$4:$Z$947,MATCH(Graphs!$CK300,Data!$A$4:$A$947,0),MATCH(Graphs!CS$4,Data!$P$3:$Z$3,0)))</f>
        <v>186.16</v>
      </c>
      <c r="CT300" s="24">
        <f t="array" ref="CT300">IF(INDEX(Data!$P$4:$Z$947,MATCH(Graphs!$CK300,Data!$A$4:$A$947,0),MATCH(Graphs!CT$4,Data!$P$3:$Z$3,0))="n.q.",NA(),INDEX(Data!$P$4:$Z$947,MATCH(Graphs!$CK300,Data!$A$4:$A$947,0),MATCH(Graphs!CT$4,Data!$P$3:$Z$3,0)))</f>
        <v>159.9091227</v>
      </c>
      <c r="CU300" s="24" t="str">
        <f t="array" ref="CU300">IF(INDEX(Data!$P$4:$Z$947,MATCH(Graphs!$CK300,Data!$A$4:$A$947,0),MATCH(Graphs!CU$4,Data!$P$3:$Z$3,0))="n.q.",NA(),INDEX(Data!$P$4:$Z$947,MATCH(Graphs!$CK300,Data!$A$4:$A$947,0),MATCH(Graphs!CU$4,Data!$P$3:$Z$3,0)))</f>
        <v>#N/A</v>
      </c>
      <c r="CV300" s="24" t="str">
        <f t="array" ref="CV300">IF(INDEX(Data!$P$4:$Z$947,MATCH(Graphs!$CK300,Data!$A$4:$A$947,0),MATCH(Graphs!CV$4,Data!$P$3:$Z$3,0))="n.q.",NA(),INDEX(Data!$P$4:$Z$947,MATCH(Graphs!$CK300,Data!$A$4:$A$947,0),MATCH(Graphs!CV$4,Data!$P$3:$Z$3,0)))</f>
        <v>#N/A</v>
      </c>
    </row>
    <row r="301" ht="14.25" customHeight="1"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5"/>
      <c r="CK301" s="22">
        <f>Data!A282</f>
        <v>44020</v>
      </c>
      <c r="CL301" s="24">
        <f t="array" ref="CL301">IF(INDEX(Data!$B$4:$L$947,MATCH(Graphs!$CK301,Data!$A$4:$A$947,0),MATCH(Graphs!CL$4,Data!$B$3:$L$3,0))="n.q.",NA(),INDEX(Data!$B$4:$L$947,MATCH(Graphs!$CK301,Data!$A$4:$A$947,0),MATCH(Graphs!CL$4,Data!$B$3:$L$3,0)))</f>
        <v>216.13</v>
      </c>
      <c r="CM301" s="24">
        <f t="array" ref="CM301">IF(INDEX(Data!$B$4:$L$947,MATCH(Graphs!$CK301,Data!$A$4:$A$947,0),MATCH(Graphs!CM$4,Data!$B$3:$L$3,0))="n.q.",NA(),INDEX(Data!$B$4:$L$947,MATCH(Graphs!$CK301,Data!$A$4:$A$947,0),MATCH(Graphs!CM$4,Data!$B$3:$L$3,0)))</f>
        <v>226.62</v>
      </c>
      <c r="CN301" s="24">
        <f t="array" ref="CN301">IF(INDEX(Data!$B$4:$L$947,MATCH(Graphs!$CK301,Data!$A$4:$A$947,0),MATCH(Graphs!CN$4,Data!$B$3:$L$3,0))="n.q.",NA(),INDEX(Data!$B$4:$L$947,MATCH(Graphs!$CK301,Data!$A$4:$A$947,0),MATCH(Graphs!CN$4,Data!$B$3:$L$3,0)))</f>
        <v>187</v>
      </c>
      <c r="CO301" s="24" t="str">
        <f t="array" ref="CO301">IF(INDEX(Data!$B$4:$L$947,MATCH(Graphs!$CK301,Data!$A$4:$A$947,0),MATCH(Graphs!CO$4,Data!$B$3:$L$3,0))="n.q.",NA(),INDEX(Data!$B$4:$L$947,MATCH(Graphs!$CK301,Data!$A$4:$A$947,0),MATCH(Graphs!CO$4,Data!$B$3:$L$3,0)))</f>
        <v>#N/A</v>
      </c>
      <c r="CP301" s="24" t="str">
        <f t="array" ref="CP301">IF(INDEX(Data!$B$4:$L$947,MATCH(Graphs!$CK301,Data!$A$4:$A$947,0),MATCH(Graphs!CP$4,Data!$B$3:$L$3,0))="n.q.",NA(),INDEX(Data!$B$4:$L$947,MATCH(Graphs!$CK301,Data!$A$4:$A$947,0),MATCH(Graphs!CP$4,Data!$B$3:$L$3,0)))</f>
        <v>#N/A</v>
      </c>
      <c r="CQ301" s="5"/>
      <c r="CR301" s="24">
        <f t="array" ref="CR301">IF(INDEX(Data!$P$4:$Z$947,MATCH(Graphs!$CK301,Data!$A$4:$A$947,0),MATCH(Graphs!CR$4,Data!$P$3:$Z$3,0))="n.q.",NA(),INDEX(Data!$P$4:$Z$947,MATCH(Graphs!$CK301,Data!$A$4:$A$947,0),MATCH(Graphs!CR$4,Data!$P$3:$Z$3,0)))</f>
        <v>151.8252702</v>
      </c>
      <c r="CS301" s="24">
        <f t="array" ref="CS301">IF(INDEX(Data!$P$4:$Z$947,MATCH(Graphs!$CK301,Data!$A$4:$A$947,0),MATCH(Graphs!CS$4,Data!$P$3:$Z$3,0))="n.q.",NA(),INDEX(Data!$P$4:$Z$947,MATCH(Graphs!$CK301,Data!$A$4:$A$947,0),MATCH(Graphs!CS$4,Data!$P$3:$Z$3,0)))</f>
        <v>177.66</v>
      </c>
      <c r="CT301" s="24">
        <f t="array" ref="CT301">IF(INDEX(Data!$P$4:$Z$947,MATCH(Graphs!$CK301,Data!$A$4:$A$947,0),MATCH(Graphs!CT$4,Data!$P$3:$Z$3,0))="n.q.",NA(),INDEX(Data!$P$4:$Z$947,MATCH(Graphs!$CK301,Data!$A$4:$A$947,0),MATCH(Graphs!CT$4,Data!$P$3:$Z$3,0)))</f>
        <v>162.1477937</v>
      </c>
      <c r="CU301" s="24" t="str">
        <f t="array" ref="CU301">IF(INDEX(Data!$P$4:$Z$947,MATCH(Graphs!$CK301,Data!$A$4:$A$947,0),MATCH(Graphs!CU$4,Data!$P$3:$Z$3,0))="n.q.",NA(),INDEX(Data!$P$4:$Z$947,MATCH(Graphs!$CK301,Data!$A$4:$A$947,0),MATCH(Graphs!CU$4,Data!$P$3:$Z$3,0)))</f>
        <v>#N/A</v>
      </c>
      <c r="CV301" s="24" t="str">
        <f t="array" ref="CV301">IF(INDEX(Data!$P$4:$Z$947,MATCH(Graphs!$CK301,Data!$A$4:$A$947,0),MATCH(Graphs!CV$4,Data!$P$3:$Z$3,0))="n.q.",NA(),INDEX(Data!$P$4:$Z$947,MATCH(Graphs!$CK301,Data!$A$4:$A$947,0),MATCH(Graphs!CV$4,Data!$P$3:$Z$3,0)))</f>
        <v>#N/A</v>
      </c>
    </row>
    <row r="302" ht="14.25" customHeight="1"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5"/>
      <c r="CK302" s="22">
        <f>Data!A283</f>
        <v>44013</v>
      </c>
      <c r="CL302" s="24">
        <f t="array" ref="CL302">IF(INDEX(Data!$B$4:$L$947,MATCH(Graphs!$CK302,Data!$A$4:$A$947,0),MATCH(Graphs!CL$4,Data!$B$3:$L$3,0))="n.q.",NA(),INDEX(Data!$B$4:$L$947,MATCH(Graphs!$CK302,Data!$A$4:$A$947,0),MATCH(Graphs!CL$4,Data!$B$3:$L$3,0)))</f>
        <v>208.11</v>
      </c>
      <c r="CM302" s="24">
        <f t="array" ref="CM302">IF(INDEX(Data!$B$4:$L$947,MATCH(Graphs!$CK302,Data!$A$4:$A$947,0),MATCH(Graphs!CM$4,Data!$B$3:$L$3,0))="n.q.",NA(),INDEX(Data!$B$4:$L$947,MATCH(Graphs!$CK302,Data!$A$4:$A$947,0),MATCH(Graphs!CM$4,Data!$B$3:$L$3,0)))</f>
        <v>217.71</v>
      </c>
      <c r="CN302" s="24">
        <f t="array" ref="CN302">IF(INDEX(Data!$B$4:$L$947,MATCH(Graphs!$CK302,Data!$A$4:$A$947,0),MATCH(Graphs!CN$4,Data!$B$3:$L$3,0))="n.q.",NA(),INDEX(Data!$B$4:$L$947,MATCH(Graphs!$CK302,Data!$A$4:$A$947,0),MATCH(Graphs!CN$4,Data!$B$3:$L$3,0)))</f>
        <v>186</v>
      </c>
      <c r="CO302" s="24" t="str">
        <f t="array" ref="CO302">IF(INDEX(Data!$B$4:$L$947,MATCH(Graphs!$CK302,Data!$A$4:$A$947,0),MATCH(Graphs!CO$4,Data!$B$3:$L$3,0))="n.q.",NA(),INDEX(Data!$B$4:$L$947,MATCH(Graphs!$CK302,Data!$A$4:$A$947,0),MATCH(Graphs!CO$4,Data!$B$3:$L$3,0)))</f>
        <v>#N/A</v>
      </c>
      <c r="CP302" s="24" t="str">
        <f t="array" ref="CP302">IF(INDEX(Data!$B$4:$L$947,MATCH(Graphs!$CK302,Data!$A$4:$A$947,0),MATCH(Graphs!CP$4,Data!$B$3:$L$3,0))="n.q.",NA(),INDEX(Data!$B$4:$L$947,MATCH(Graphs!$CK302,Data!$A$4:$A$947,0),MATCH(Graphs!CP$4,Data!$B$3:$L$3,0)))</f>
        <v>#N/A</v>
      </c>
      <c r="CQ302" s="5"/>
      <c r="CR302" s="24">
        <f t="array" ref="CR302">IF(INDEX(Data!$P$4:$Z$947,MATCH(Graphs!$CK302,Data!$A$4:$A$947,0),MATCH(Graphs!CR$4,Data!$P$3:$Z$3,0))="n.q.",NA(),INDEX(Data!$P$4:$Z$947,MATCH(Graphs!$CK302,Data!$A$4:$A$947,0),MATCH(Graphs!CR$4,Data!$P$3:$Z$3,0)))</f>
        <v>153.6964286</v>
      </c>
      <c r="CS302" s="24">
        <f t="array" ref="CS302">IF(INDEX(Data!$P$4:$Z$947,MATCH(Graphs!$CK302,Data!$A$4:$A$947,0),MATCH(Graphs!CS$4,Data!$P$3:$Z$3,0))="n.q.",NA(),INDEX(Data!$P$4:$Z$947,MATCH(Graphs!$CK302,Data!$A$4:$A$947,0),MATCH(Graphs!CS$4,Data!$P$3:$Z$3,0)))</f>
        <v>174.41</v>
      </c>
      <c r="CT302" s="24">
        <f t="array" ref="CT302">IF(INDEX(Data!$P$4:$Z$947,MATCH(Graphs!$CK302,Data!$A$4:$A$947,0),MATCH(Graphs!CT$4,Data!$P$3:$Z$3,0))="n.q.",NA(),INDEX(Data!$P$4:$Z$947,MATCH(Graphs!$CK302,Data!$A$4:$A$947,0),MATCH(Graphs!CT$4,Data!$P$3:$Z$3,0)))</f>
        <v>163.3928571</v>
      </c>
      <c r="CU302" s="24" t="str">
        <f t="array" ref="CU302">IF(INDEX(Data!$P$4:$Z$947,MATCH(Graphs!$CK302,Data!$A$4:$A$947,0),MATCH(Graphs!CU$4,Data!$P$3:$Z$3,0))="n.q.",NA(),INDEX(Data!$P$4:$Z$947,MATCH(Graphs!$CK302,Data!$A$4:$A$947,0),MATCH(Graphs!CU$4,Data!$P$3:$Z$3,0)))</f>
        <v>#N/A</v>
      </c>
      <c r="CV302" s="24" t="str">
        <f t="array" ref="CV302">IF(INDEX(Data!$P$4:$Z$947,MATCH(Graphs!$CK302,Data!$A$4:$A$947,0),MATCH(Graphs!CV$4,Data!$P$3:$Z$3,0))="n.q.",NA(),INDEX(Data!$P$4:$Z$947,MATCH(Graphs!$CK302,Data!$A$4:$A$947,0),MATCH(Graphs!CV$4,Data!$P$3:$Z$3,0)))</f>
        <v>#N/A</v>
      </c>
    </row>
    <row r="303" ht="14.25" customHeight="1"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5"/>
      <c r="CK303" s="22">
        <f>Data!A284</f>
        <v>44006</v>
      </c>
      <c r="CL303" s="24">
        <f t="array" ref="CL303">IF(INDEX(Data!$B$4:$L$947,MATCH(Graphs!$CK303,Data!$A$4:$A$947,0),MATCH(Graphs!CL$4,Data!$B$3:$L$3,0))="n.q.",NA(),INDEX(Data!$B$4:$L$947,MATCH(Graphs!$CK303,Data!$A$4:$A$947,0),MATCH(Graphs!CL$4,Data!$B$3:$L$3,0)))</f>
        <v>202.73</v>
      </c>
      <c r="CM303" s="24">
        <f t="array" ref="CM303">IF(INDEX(Data!$B$4:$L$947,MATCH(Graphs!$CK303,Data!$A$4:$A$947,0),MATCH(Graphs!CM$4,Data!$B$3:$L$3,0))="n.q.",NA(),INDEX(Data!$B$4:$L$947,MATCH(Graphs!$CK303,Data!$A$4:$A$947,0),MATCH(Graphs!CM$4,Data!$B$3:$L$3,0)))</f>
        <v>211.74</v>
      </c>
      <c r="CN303" s="24">
        <f t="array" ref="CN303">IF(INDEX(Data!$B$4:$L$947,MATCH(Graphs!$CK303,Data!$A$4:$A$947,0),MATCH(Graphs!CN$4,Data!$B$3:$L$3,0))="n.q.",NA(),INDEX(Data!$B$4:$L$947,MATCH(Graphs!$CK303,Data!$A$4:$A$947,0),MATCH(Graphs!CN$4,Data!$B$3:$L$3,0)))</f>
        <v>188</v>
      </c>
      <c r="CO303" s="24" t="str">
        <f t="array" ref="CO303">IF(INDEX(Data!$B$4:$L$947,MATCH(Graphs!$CK303,Data!$A$4:$A$947,0),MATCH(Graphs!CO$4,Data!$B$3:$L$3,0))="n.q.",NA(),INDEX(Data!$B$4:$L$947,MATCH(Graphs!$CK303,Data!$A$4:$A$947,0),MATCH(Graphs!CO$4,Data!$B$3:$L$3,0)))</f>
        <v>#N/A</v>
      </c>
      <c r="CP303" s="24" t="str">
        <f t="array" ref="CP303">IF(INDEX(Data!$B$4:$L$947,MATCH(Graphs!$CK303,Data!$A$4:$A$947,0),MATCH(Graphs!CP$4,Data!$B$3:$L$3,0))="n.q.",NA(),INDEX(Data!$B$4:$L$947,MATCH(Graphs!$CK303,Data!$A$4:$A$947,0),MATCH(Graphs!CP$4,Data!$B$3:$L$3,0)))</f>
        <v>#N/A</v>
      </c>
      <c r="CQ303" s="5"/>
      <c r="CR303" s="24">
        <f t="array" ref="CR303">IF(INDEX(Data!$P$4:$Z$947,MATCH(Graphs!$CK303,Data!$A$4:$A$947,0),MATCH(Graphs!CR$4,Data!$P$3:$Z$3,0))="n.q.",NA(),INDEX(Data!$P$4:$Z$947,MATCH(Graphs!$CK303,Data!$A$4:$A$947,0),MATCH(Graphs!CR$4,Data!$P$3:$Z$3,0)))</f>
        <v>143.1826241</v>
      </c>
      <c r="CS303" s="24">
        <f t="array" ref="CS303">IF(INDEX(Data!$P$4:$Z$947,MATCH(Graphs!$CK303,Data!$A$4:$A$947,0),MATCH(Graphs!CS$4,Data!$P$3:$Z$3,0))="n.q.",NA(),INDEX(Data!$P$4:$Z$947,MATCH(Graphs!$CK303,Data!$A$4:$A$947,0),MATCH(Graphs!CS$4,Data!$P$3:$Z$3,0)))</f>
        <v>169.73</v>
      </c>
      <c r="CT303" s="24">
        <f t="array" ref="CT303">IF(INDEX(Data!$P$4:$Z$947,MATCH(Graphs!$CK303,Data!$A$4:$A$947,0),MATCH(Graphs!CT$4,Data!$P$3:$Z$3,0))="n.q.",NA(),INDEX(Data!$P$4:$Z$947,MATCH(Graphs!$CK303,Data!$A$4:$A$947,0),MATCH(Graphs!CT$4,Data!$P$3:$Z$3,0)))</f>
        <v>160.4609929</v>
      </c>
      <c r="CU303" s="24" t="str">
        <f t="array" ref="CU303">IF(INDEX(Data!$P$4:$Z$947,MATCH(Graphs!$CK303,Data!$A$4:$A$947,0),MATCH(Graphs!CU$4,Data!$P$3:$Z$3,0))="n.q.",NA(),INDEX(Data!$P$4:$Z$947,MATCH(Graphs!$CK303,Data!$A$4:$A$947,0),MATCH(Graphs!CU$4,Data!$P$3:$Z$3,0)))</f>
        <v>#N/A</v>
      </c>
      <c r="CV303" s="24" t="str">
        <f t="array" ref="CV303">IF(INDEX(Data!$P$4:$Z$947,MATCH(Graphs!$CK303,Data!$A$4:$A$947,0),MATCH(Graphs!CV$4,Data!$P$3:$Z$3,0))="n.q.",NA(),INDEX(Data!$P$4:$Z$947,MATCH(Graphs!$CK303,Data!$A$4:$A$947,0),MATCH(Graphs!CV$4,Data!$P$3:$Z$3,0)))</f>
        <v>#N/A</v>
      </c>
    </row>
    <row r="304" ht="14.25" customHeight="1"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5"/>
      <c r="CK304" s="22">
        <f>Data!A285</f>
        <v>43999</v>
      </c>
      <c r="CL304" s="24">
        <f t="array" ref="CL304">IF(INDEX(Data!$B$4:$L$947,MATCH(Graphs!$CK304,Data!$A$4:$A$947,0),MATCH(Graphs!CL$4,Data!$B$3:$L$3,0))="n.q.",NA(),INDEX(Data!$B$4:$L$947,MATCH(Graphs!$CK304,Data!$A$4:$A$947,0),MATCH(Graphs!CL$4,Data!$B$3:$L$3,0)))</f>
        <v>205.14</v>
      </c>
      <c r="CM304" s="24">
        <f t="array" ref="CM304">IF(INDEX(Data!$B$4:$L$947,MATCH(Graphs!$CK304,Data!$A$4:$A$947,0),MATCH(Graphs!CM$4,Data!$B$3:$L$3,0))="n.q.",NA(),INDEX(Data!$B$4:$L$947,MATCH(Graphs!$CK304,Data!$A$4:$A$947,0),MATCH(Graphs!CM$4,Data!$B$3:$L$3,0)))</f>
        <v>210.36</v>
      </c>
      <c r="CN304" s="24">
        <f t="array" ref="CN304">IF(INDEX(Data!$B$4:$L$947,MATCH(Graphs!$CK304,Data!$A$4:$A$947,0),MATCH(Graphs!CN$4,Data!$B$3:$L$3,0))="n.q.",NA(),INDEX(Data!$B$4:$L$947,MATCH(Graphs!$CK304,Data!$A$4:$A$947,0),MATCH(Graphs!CN$4,Data!$B$3:$L$3,0)))</f>
        <v>190</v>
      </c>
      <c r="CO304" s="24" t="str">
        <f t="array" ref="CO304">IF(INDEX(Data!$B$4:$L$947,MATCH(Graphs!$CK304,Data!$A$4:$A$947,0),MATCH(Graphs!CO$4,Data!$B$3:$L$3,0))="n.q.",NA(),INDEX(Data!$B$4:$L$947,MATCH(Graphs!$CK304,Data!$A$4:$A$947,0),MATCH(Graphs!CO$4,Data!$B$3:$L$3,0)))</f>
        <v>#N/A</v>
      </c>
      <c r="CP304" s="24" t="str">
        <f t="array" ref="CP304">IF(INDEX(Data!$B$4:$L$947,MATCH(Graphs!$CK304,Data!$A$4:$A$947,0),MATCH(Graphs!CP$4,Data!$B$3:$L$3,0))="n.q.",NA(),INDEX(Data!$B$4:$L$947,MATCH(Graphs!$CK304,Data!$A$4:$A$947,0),MATCH(Graphs!CP$4,Data!$B$3:$L$3,0)))</f>
        <v>#N/A</v>
      </c>
      <c r="CQ304" s="5"/>
      <c r="CR304" s="24">
        <f t="array" ref="CR304">IF(INDEX(Data!$P$4:$Z$947,MATCH(Graphs!$CK304,Data!$A$4:$A$947,0),MATCH(Graphs!CR$4,Data!$P$3:$Z$3,0))="n.q.",NA(),INDEX(Data!$P$4:$Z$947,MATCH(Graphs!$CK304,Data!$A$4:$A$947,0),MATCH(Graphs!CR$4,Data!$P$3:$Z$3,0)))</f>
        <v>143.7945157</v>
      </c>
      <c r="CS304" s="24">
        <f t="array" ref="CS304">IF(INDEX(Data!$P$4:$Z$947,MATCH(Graphs!$CK304,Data!$A$4:$A$947,0),MATCH(Graphs!CS$4,Data!$P$3:$Z$3,0))="n.q.",NA(),INDEX(Data!$P$4:$Z$947,MATCH(Graphs!$CK304,Data!$A$4:$A$947,0),MATCH(Graphs!CS$4,Data!$P$3:$Z$3,0)))</f>
        <v>170.23</v>
      </c>
      <c r="CT304" s="24">
        <f t="array" ref="CT304">IF(INDEX(Data!$P$4:$Z$947,MATCH(Graphs!$CK304,Data!$A$4:$A$947,0),MATCH(Graphs!CT$4,Data!$P$3:$Z$3,0))="n.q.",NA(),INDEX(Data!$P$4:$Z$947,MATCH(Graphs!$CK304,Data!$A$4:$A$947,0),MATCH(Graphs!CT$4,Data!$P$3:$Z$3,0)))</f>
        <v>161.1467236</v>
      </c>
      <c r="CU304" s="24" t="str">
        <f t="array" ref="CU304">IF(INDEX(Data!$P$4:$Z$947,MATCH(Graphs!$CK304,Data!$A$4:$A$947,0),MATCH(Graphs!CU$4,Data!$P$3:$Z$3,0))="n.q.",NA(),INDEX(Data!$P$4:$Z$947,MATCH(Graphs!$CK304,Data!$A$4:$A$947,0),MATCH(Graphs!CU$4,Data!$P$3:$Z$3,0)))</f>
        <v>#N/A</v>
      </c>
      <c r="CV304" s="24" t="str">
        <f t="array" ref="CV304">IF(INDEX(Data!$P$4:$Z$947,MATCH(Graphs!$CK304,Data!$A$4:$A$947,0),MATCH(Graphs!CV$4,Data!$P$3:$Z$3,0))="n.q.",NA(),INDEX(Data!$P$4:$Z$947,MATCH(Graphs!$CK304,Data!$A$4:$A$947,0),MATCH(Graphs!CV$4,Data!$P$3:$Z$3,0)))</f>
        <v>#N/A</v>
      </c>
    </row>
    <row r="305" ht="14.25" customHeight="1"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5"/>
      <c r="CK305" s="22">
        <f>Data!A286</f>
        <v>43992</v>
      </c>
      <c r="CL305" s="24">
        <f t="array" ref="CL305">IF(INDEX(Data!$B$4:$L$947,MATCH(Graphs!$CK305,Data!$A$4:$A$947,0),MATCH(Graphs!CL$4,Data!$B$3:$L$3,0))="n.q.",NA(),INDEX(Data!$B$4:$L$947,MATCH(Graphs!$CK305,Data!$A$4:$A$947,0),MATCH(Graphs!CL$4,Data!$B$3:$L$3,0)))</f>
        <v>210.92</v>
      </c>
      <c r="CM305" s="24">
        <f t="array" ref="CM305">IF(INDEX(Data!$B$4:$L$947,MATCH(Graphs!$CK305,Data!$A$4:$A$947,0),MATCH(Graphs!CM$4,Data!$B$3:$L$3,0))="n.q.",NA(),INDEX(Data!$B$4:$L$947,MATCH(Graphs!$CK305,Data!$A$4:$A$947,0),MATCH(Graphs!CM$4,Data!$B$3:$L$3,0)))</f>
        <v>221.38</v>
      </c>
      <c r="CN305" s="24">
        <f t="array" ref="CN305">IF(INDEX(Data!$B$4:$L$947,MATCH(Graphs!$CK305,Data!$A$4:$A$947,0),MATCH(Graphs!CN$4,Data!$B$3:$L$3,0))="n.q.",NA(),INDEX(Data!$B$4:$L$947,MATCH(Graphs!$CK305,Data!$A$4:$A$947,0),MATCH(Graphs!CN$4,Data!$B$3:$L$3,0)))</f>
        <v>190</v>
      </c>
      <c r="CO305" s="24" t="str">
        <f t="array" ref="CO305">IF(INDEX(Data!$B$4:$L$947,MATCH(Graphs!$CK305,Data!$A$4:$A$947,0),MATCH(Graphs!CO$4,Data!$B$3:$L$3,0))="n.q.",NA(),INDEX(Data!$B$4:$L$947,MATCH(Graphs!$CK305,Data!$A$4:$A$947,0),MATCH(Graphs!CO$4,Data!$B$3:$L$3,0)))</f>
        <v>#N/A</v>
      </c>
      <c r="CP305" s="24" t="str">
        <f t="array" ref="CP305">IF(INDEX(Data!$B$4:$L$947,MATCH(Graphs!$CK305,Data!$A$4:$A$947,0),MATCH(Graphs!CP$4,Data!$B$3:$L$3,0))="n.q.",NA(),INDEX(Data!$B$4:$L$947,MATCH(Graphs!$CK305,Data!$A$4:$A$947,0),MATCH(Graphs!CP$4,Data!$B$3:$L$3,0)))</f>
        <v>#N/A</v>
      </c>
      <c r="CQ305" s="5"/>
      <c r="CR305" s="24">
        <f t="array" ref="CR305">IF(INDEX(Data!$P$4:$Z$947,MATCH(Graphs!$CK305,Data!$A$4:$A$947,0),MATCH(Graphs!CR$4,Data!$P$3:$Z$3,0))="n.q.",NA(),INDEX(Data!$P$4:$Z$947,MATCH(Graphs!$CK305,Data!$A$4:$A$947,0),MATCH(Graphs!CR$4,Data!$P$3:$Z$3,0)))</f>
        <v>138.1802198</v>
      </c>
      <c r="CS305" s="24">
        <f t="array" ref="CS305">IF(INDEX(Data!$P$4:$Z$947,MATCH(Graphs!$CK305,Data!$A$4:$A$947,0),MATCH(Graphs!CS$4,Data!$P$3:$Z$3,0))="n.q.",NA(),INDEX(Data!$P$4:$Z$947,MATCH(Graphs!$CK305,Data!$A$4:$A$947,0),MATCH(Graphs!CS$4,Data!$P$3:$Z$3,0)))</f>
        <v>174.23</v>
      </c>
      <c r="CT305" s="24">
        <f t="array" ref="CT305">IF(INDEX(Data!$P$4:$Z$947,MATCH(Graphs!$CK305,Data!$A$4:$A$947,0),MATCH(Graphs!CT$4,Data!$P$3:$Z$3,0))="n.q.",NA(),INDEX(Data!$P$4:$Z$947,MATCH(Graphs!$CK305,Data!$A$4:$A$947,0),MATCH(Graphs!CT$4,Data!$P$3:$Z$3,0)))</f>
        <v>159.1208791</v>
      </c>
      <c r="CU305" s="24" t="str">
        <f t="array" ref="CU305">IF(INDEX(Data!$P$4:$Z$947,MATCH(Graphs!$CK305,Data!$A$4:$A$947,0),MATCH(Graphs!CU$4,Data!$P$3:$Z$3,0))="n.q.",NA(),INDEX(Data!$P$4:$Z$947,MATCH(Graphs!$CK305,Data!$A$4:$A$947,0),MATCH(Graphs!CU$4,Data!$P$3:$Z$3,0)))</f>
        <v>#N/A</v>
      </c>
      <c r="CV305" s="24" t="str">
        <f t="array" ref="CV305">IF(INDEX(Data!$P$4:$Z$947,MATCH(Graphs!$CK305,Data!$A$4:$A$947,0),MATCH(Graphs!CV$4,Data!$P$3:$Z$3,0))="n.q.",NA(),INDEX(Data!$P$4:$Z$947,MATCH(Graphs!$CK305,Data!$A$4:$A$947,0),MATCH(Graphs!CV$4,Data!$P$3:$Z$3,0)))</f>
        <v>#N/A</v>
      </c>
    </row>
    <row r="306" ht="14.25" customHeight="1"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5"/>
      <c r="CK306" s="22">
        <f>Data!A287</f>
        <v>43985</v>
      </c>
      <c r="CL306" s="24">
        <f t="array" ref="CL306">IF(INDEX(Data!$B$4:$L$947,MATCH(Graphs!$CK306,Data!$A$4:$A$947,0),MATCH(Graphs!CL$4,Data!$B$3:$L$3,0))="n.q.",NA(),INDEX(Data!$B$4:$L$947,MATCH(Graphs!$CK306,Data!$A$4:$A$947,0),MATCH(Graphs!CL$4,Data!$B$3:$L$3,0)))</f>
        <v>223.3</v>
      </c>
      <c r="CM306" s="24">
        <f t="array" ref="CM306">IF(INDEX(Data!$B$4:$L$947,MATCH(Graphs!$CK306,Data!$A$4:$A$947,0),MATCH(Graphs!CM$4,Data!$B$3:$L$3,0))="n.q.",NA(),INDEX(Data!$B$4:$L$947,MATCH(Graphs!$CK306,Data!$A$4:$A$947,0),MATCH(Graphs!CM$4,Data!$B$3:$L$3,0)))</f>
        <v>223.31</v>
      </c>
      <c r="CN306" s="24">
        <f t="array" ref="CN306">IF(INDEX(Data!$B$4:$L$947,MATCH(Graphs!$CK306,Data!$A$4:$A$947,0),MATCH(Graphs!CN$4,Data!$B$3:$L$3,0))="n.q.",NA(),INDEX(Data!$B$4:$L$947,MATCH(Graphs!$CK306,Data!$A$4:$A$947,0),MATCH(Graphs!CN$4,Data!$B$3:$L$3,0)))</f>
        <v>214</v>
      </c>
      <c r="CO306" s="24" t="str">
        <f t="array" ref="CO306">IF(INDEX(Data!$B$4:$L$947,MATCH(Graphs!$CK306,Data!$A$4:$A$947,0),MATCH(Graphs!CO$4,Data!$B$3:$L$3,0))="n.q.",NA(),INDEX(Data!$B$4:$L$947,MATCH(Graphs!$CK306,Data!$A$4:$A$947,0),MATCH(Graphs!CO$4,Data!$B$3:$L$3,0)))</f>
        <v>#N/A</v>
      </c>
      <c r="CP306" s="24" t="str">
        <f t="array" ref="CP306">IF(INDEX(Data!$B$4:$L$947,MATCH(Graphs!$CK306,Data!$A$4:$A$947,0),MATCH(Graphs!CP$4,Data!$B$3:$L$3,0))="n.q.",NA(),INDEX(Data!$B$4:$L$947,MATCH(Graphs!$CK306,Data!$A$4:$A$947,0),MATCH(Graphs!CP$4,Data!$B$3:$L$3,0)))</f>
        <v>#N/A</v>
      </c>
      <c r="CQ306" s="5"/>
      <c r="CR306" s="24">
        <f t="array" ref="CR306">IF(INDEX(Data!$P$4:$Z$947,MATCH(Graphs!$CK306,Data!$A$4:$A$947,0),MATCH(Graphs!CR$4,Data!$P$3:$Z$3,0))="n.q.",NA(),INDEX(Data!$P$4:$Z$947,MATCH(Graphs!$CK306,Data!$A$4:$A$947,0),MATCH(Graphs!CR$4,Data!$P$3:$Z$3,0)))</f>
        <v>138.5653028</v>
      </c>
      <c r="CS306" s="24">
        <f t="array" ref="CS306">IF(INDEX(Data!$P$4:$Z$947,MATCH(Graphs!$CK306,Data!$A$4:$A$947,0),MATCH(Graphs!CS$4,Data!$P$3:$Z$3,0))="n.q.",NA(),INDEX(Data!$P$4:$Z$947,MATCH(Graphs!$CK306,Data!$A$4:$A$947,0),MATCH(Graphs!CS$4,Data!$P$3:$Z$3,0)))</f>
        <v>172.23</v>
      </c>
      <c r="CT306" s="24">
        <f t="array" ref="CT306">IF(INDEX(Data!$P$4:$Z$947,MATCH(Graphs!$CK306,Data!$A$4:$A$947,0),MATCH(Graphs!CT$4,Data!$P$3:$Z$3,0))="n.q.",NA(),INDEX(Data!$P$4:$Z$947,MATCH(Graphs!$CK306,Data!$A$4:$A$947,0),MATCH(Graphs!CT$4,Data!$P$3:$Z$3,0)))</f>
        <v>159.9070931</v>
      </c>
      <c r="CU306" s="24" t="str">
        <f t="array" ref="CU306">IF(INDEX(Data!$P$4:$Z$947,MATCH(Graphs!$CK306,Data!$A$4:$A$947,0),MATCH(Graphs!CU$4,Data!$P$3:$Z$3,0))="n.q.",NA(),INDEX(Data!$P$4:$Z$947,MATCH(Graphs!$CK306,Data!$A$4:$A$947,0),MATCH(Graphs!CU$4,Data!$P$3:$Z$3,0)))</f>
        <v>#N/A</v>
      </c>
      <c r="CV306" s="24" t="str">
        <f t="array" ref="CV306">IF(INDEX(Data!$P$4:$Z$947,MATCH(Graphs!$CK306,Data!$A$4:$A$947,0),MATCH(Graphs!CV$4,Data!$P$3:$Z$3,0))="n.q.",NA(),INDEX(Data!$P$4:$Z$947,MATCH(Graphs!$CK306,Data!$A$4:$A$947,0),MATCH(Graphs!CV$4,Data!$P$3:$Z$3,0)))</f>
        <v>#N/A</v>
      </c>
    </row>
    <row r="307" ht="14.25" customHeight="1"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5"/>
      <c r="CK307" s="22">
        <f>Data!A288</f>
        <v>43978</v>
      </c>
      <c r="CL307" s="24">
        <f t="array" ref="CL307">IF(INDEX(Data!$B$4:$L$947,MATCH(Graphs!$CK307,Data!$A$4:$A$947,0),MATCH(Graphs!CL$4,Data!$B$3:$L$3,0))="n.q.",NA(),INDEX(Data!$B$4:$L$947,MATCH(Graphs!$CK307,Data!$A$4:$A$947,0),MATCH(Graphs!CL$4,Data!$B$3:$L$3,0)))</f>
        <v>218.48</v>
      </c>
      <c r="CM307" s="24">
        <f t="array" ref="CM307">IF(INDEX(Data!$B$4:$L$947,MATCH(Graphs!$CK307,Data!$A$4:$A$947,0),MATCH(Graphs!CM$4,Data!$B$3:$L$3,0))="n.q.",NA(),INDEX(Data!$B$4:$L$947,MATCH(Graphs!$CK307,Data!$A$4:$A$947,0),MATCH(Graphs!CM$4,Data!$B$3:$L$3,0)))</f>
        <v>219.27</v>
      </c>
      <c r="CN307" s="24">
        <f t="array" ref="CN307">IF(INDEX(Data!$B$4:$L$947,MATCH(Graphs!$CK307,Data!$A$4:$A$947,0),MATCH(Graphs!CN$4,Data!$B$3:$L$3,0))="n.q.",NA(),INDEX(Data!$B$4:$L$947,MATCH(Graphs!$CK307,Data!$A$4:$A$947,0),MATCH(Graphs!CN$4,Data!$B$3:$L$3,0)))</f>
        <v>213</v>
      </c>
      <c r="CO307" s="24" t="str">
        <f t="array" ref="CO307">IF(INDEX(Data!$B$4:$L$947,MATCH(Graphs!$CK307,Data!$A$4:$A$947,0),MATCH(Graphs!CO$4,Data!$B$3:$L$3,0))="n.q.",NA(),INDEX(Data!$B$4:$L$947,MATCH(Graphs!$CK307,Data!$A$4:$A$947,0),MATCH(Graphs!CO$4,Data!$B$3:$L$3,0)))</f>
        <v>#N/A</v>
      </c>
      <c r="CP307" s="24" t="str">
        <f t="array" ref="CP307">IF(INDEX(Data!$B$4:$L$947,MATCH(Graphs!$CK307,Data!$A$4:$A$947,0),MATCH(Graphs!CP$4,Data!$B$3:$L$3,0))="n.q.",NA(),INDEX(Data!$B$4:$L$947,MATCH(Graphs!$CK307,Data!$A$4:$A$947,0),MATCH(Graphs!CP$4,Data!$B$3:$L$3,0)))</f>
        <v>#N/A</v>
      </c>
      <c r="CQ307" s="5"/>
      <c r="CR307" s="24">
        <f t="array" ref="CR307">IF(INDEX(Data!$P$4:$Z$947,MATCH(Graphs!$CK307,Data!$A$4:$A$947,0),MATCH(Graphs!CR$4,Data!$P$3:$Z$3,0))="n.q.",NA(),INDEX(Data!$P$4:$Z$947,MATCH(Graphs!$CK307,Data!$A$4:$A$947,0),MATCH(Graphs!CR$4,Data!$P$3:$Z$3,0)))</f>
        <v>139.5141479</v>
      </c>
      <c r="CS307" s="24">
        <f t="array" ref="CS307">IF(INDEX(Data!$P$4:$Z$947,MATCH(Graphs!$CK307,Data!$A$4:$A$947,0),MATCH(Graphs!CS$4,Data!$P$3:$Z$3,0))="n.q.",NA(),INDEX(Data!$P$4:$Z$947,MATCH(Graphs!$CK307,Data!$A$4:$A$947,0),MATCH(Graphs!CS$4,Data!$P$3:$Z$3,0)))</f>
        <v>172.8</v>
      </c>
      <c r="CT307" s="24">
        <f t="array" ref="CT307">IF(INDEX(Data!$P$4:$Z$947,MATCH(Graphs!$CK307,Data!$A$4:$A$947,0),MATCH(Graphs!CT$4,Data!$P$3:$Z$3,0))="n.q.",NA(),INDEX(Data!$P$4:$Z$947,MATCH(Graphs!$CK307,Data!$A$4:$A$947,0),MATCH(Graphs!CT$4,Data!$P$3:$Z$3,0)))</f>
        <v>161.9506869</v>
      </c>
      <c r="CU307" s="24" t="str">
        <f t="array" ref="CU307">IF(INDEX(Data!$P$4:$Z$947,MATCH(Graphs!$CK307,Data!$A$4:$A$947,0),MATCH(Graphs!CU$4,Data!$P$3:$Z$3,0))="n.q.",NA(),INDEX(Data!$P$4:$Z$947,MATCH(Graphs!$CK307,Data!$A$4:$A$947,0),MATCH(Graphs!CU$4,Data!$P$3:$Z$3,0)))</f>
        <v>#N/A</v>
      </c>
      <c r="CV307" s="24" t="str">
        <f t="array" ref="CV307">IF(INDEX(Data!$P$4:$Z$947,MATCH(Graphs!$CK307,Data!$A$4:$A$947,0),MATCH(Graphs!CV$4,Data!$P$3:$Z$3,0))="n.q.",NA(),INDEX(Data!$P$4:$Z$947,MATCH(Graphs!$CK307,Data!$A$4:$A$947,0),MATCH(Graphs!CV$4,Data!$P$3:$Z$3,0)))</f>
        <v>#N/A</v>
      </c>
    </row>
    <row r="308" ht="14.25" customHeight="1"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5"/>
      <c r="CK308" s="22">
        <f>Data!A289</f>
        <v>43971</v>
      </c>
      <c r="CL308" s="24">
        <f t="array" ref="CL308">IF(INDEX(Data!$B$4:$L$947,MATCH(Graphs!$CK308,Data!$A$4:$A$947,0),MATCH(Graphs!CL$4,Data!$B$3:$L$3,0))="n.q.",NA(),INDEX(Data!$B$4:$L$947,MATCH(Graphs!$CK308,Data!$A$4:$A$947,0),MATCH(Graphs!CL$4,Data!$B$3:$L$3,0)))</f>
        <v>221.61</v>
      </c>
      <c r="CM308" s="24">
        <f t="array" ref="CM308">IF(INDEX(Data!$B$4:$L$947,MATCH(Graphs!$CK308,Data!$A$4:$A$947,0),MATCH(Graphs!CM$4,Data!$B$3:$L$3,0))="n.q.",NA(),INDEX(Data!$B$4:$L$947,MATCH(Graphs!$CK308,Data!$A$4:$A$947,0),MATCH(Graphs!CM$4,Data!$B$3:$L$3,0)))</f>
        <v>219.82</v>
      </c>
      <c r="CN308" s="24">
        <f t="array" ref="CN308">IF(INDEX(Data!$B$4:$L$947,MATCH(Graphs!$CK308,Data!$A$4:$A$947,0),MATCH(Graphs!CN$4,Data!$B$3:$L$3,0))="n.q.",NA(),INDEX(Data!$B$4:$L$947,MATCH(Graphs!$CK308,Data!$A$4:$A$947,0),MATCH(Graphs!CN$4,Data!$B$3:$L$3,0)))</f>
        <v>215</v>
      </c>
      <c r="CO308" s="24" t="str">
        <f t="array" ref="CO308">IF(INDEX(Data!$B$4:$L$947,MATCH(Graphs!$CK308,Data!$A$4:$A$947,0),MATCH(Graphs!CO$4,Data!$B$3:$L$3,0))="n.q.",NA(),INDEX(Data!$B$4:$L$947,MATCH(Graphs!$CK308,Data!$A$4:$A$947,0),MATCH(Graphs!CO$4,Data!$B$3:$L$3,0)))</f>
        <v>#N/A</v>
      </c>
      <c r="CP308" s="24" t="str">
        <f t="array" ref="CP308">IF(INDEX(Data!$B$4:$L$947,MATCH(Graphs!$CK308,Data!$A$4:$A$947,0),MATCH(Graphs!CP$4,Data!$B$3:$L$3,0))="n.q.",NA(),INDEX(Data!$B$4:$L$947,MATCH(Graphs!$CK308,Data!$A$4:$A$947,0),MATCH(Graphs!CP$4,Data!$B$3:$L$3,0)))</f>
        <v>#N/A</v>
      </c>
      <c r="CQ308" s="5"/>
      <c r="CR308" s="24">
        <f t="array" ref="CR308">IF(INDEX(Data!$P$4:$Z$947,MATCH(Graphs!$CK308,Data!$A$4:$A$947,0),MATCH(Graphs!CR$4,Data!$P$3:$Z$3,0))="n.q.",NA(),INDEX(Data!$P$4:$Z$947,MATCH(Graphs!$CK308,Data!$A$4:$A$947,0),MATCH(Graphs!CR$4,Data!$P$3:$Z$3,0)))</f>
        <v>139.5783902</v>
      </c>
      <c r="CS308" s="24">
        <f t="array" ref="CS308">IF(INDEX(Data!$P$4:$Z$947,MATCH(Graphs!$CK308,Data!$A$4:$A$947,0),MATCH(Graphs!CS$4,Data!$P$3:$Z$3,0))="n.q.",NA(),INDEX(Data!$P$4:$Z$947,MATCH(Graphs!$CK308,Data!$A$4:$A$947,0),MATCH(Graphs!CS$4,Data!$P$3:$Z$3,0)))</f>
        <v>168.8</v>
      </c>
      <c r="CT308" s="24">
        <f t="array" ref="CT308">IF(INDEX(Data!$P$4:$Z$947,MATCH(Graphs!$CK308,Data!$A$4:$A$947,0),MATCH(Graphs!CT$4,Data!$P$3:$Z$3,0))="n.q.",NA(),INDEX(Data!$P$4:$Z$947,MATCH(Graphs!$CK308,Data!$A$4:$A$947,0),MATCH(Graphs!CT$4,Data!$P$3:$Z$3,0)))</f>
        <v>160.6132506</v>
      </c>
      <c r="CU308" s="24" t="str">
        <f t="array" ref="CU308">IF(INDEX(Data!$P$4:$Z$947,MATCH(Graphs!$CK308,Data!$A$4:$A$947,0),MATCH(Graphs!CU$4,Data!$P$3:$Z$3,0))="n.q.",NA(),INDEX(Data!$P$4:$Z$947,MATCH(Graphs!$CK308,Data!$A$4:$A$947,0),MATCH(Graphs!CU$4,Data!$P$3:$Z$3,0)))</f>
        <v>#N/A</v>
      </c>
      <c r="CV308" s="24" t="str">
        <f t="array" ref="CV308">IF(INDEX(Data!$P$4:$Z$947,MATCH(Graphs!$CK308,Data!$A$4:$A$947,0),MATCH(Graphs!CV$4,Data!$P$3:$Z$3,0))="n.q.",NA(),INDEX(Data!$P$4:$Z$947,MATCH(Graphs!$CK308,Data!$A$4:$A$947,0),MATCH(Graphs!CV$4,Data!$P$3:$Z$3,0)))</f>
        <v>#N/A</v>
      </c>
    </row>
    <row r="309" ht="14.25" customHeight="1"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5"/>
      <c r="CK309" s="22">
        <f>Data!A290</f>
        <v>43964</v>
      </c>
      <c r="CL309" s="24">
        <f t="array" ref="CL309">IF(INDEX(Data!$B$4:$L$947,MATCH(Graphs!$CK309,Data!$A$4:$A$947,0),MATCH(Graphs!CL$4,Data!$B$3:$L$3,0))="n.q.",NA(),INDEX(Data!$B$4:$L$947,MATCH(Graphs!$CK309,Data!$A$4:$A$947,0),MATCH(Graphs!CL$4,Data!$B$3:$L$3,0)))</f>
        <v>219.05</v>
      </c>
      <c r="CM309" s="24">
        <f t="array" ref="CM309">IF(INDEX(Data!$B$4:$L$947,MATCH(Graphs!$CK309,Data!$A$4:$A$947,0),MATCH(Graphs!CM$4,Data!$B$3:$L$3,0))="n.q.",NA(),INDEX(Data!$B$4:$L$947,MATCH(Graphs!$CK309,Data!$A$4:$A$947,0),MATCH(Graphs!CM$4,Data!$B$3:$L$3,0)))</f>
        <v>221.29</v>
      </c>
      <c r="CN309" s="24">
        <f t="array" ref="CN309">IF(INDEX(Data!$B$4:$L$947,MATCH(Graphs!$CK309,Data!$A$4:$A$947,0),MATCH(Graphs!CN$4,Data!$B$3:$L$3,0))="n.q.",NA(),INDEX(Data!$B$4:$L$947,MATCH(Graphs!$CK309,Data!$A$4:$A$947,0),MATCH(Graphs!CN$4,Data!$B$3:$L$3,0)))</f>
        <v>216</v>
      </c>
      <c r="CO309" s="24" t="str">
        <f t="array" ref="CO309">IF(INDEX(Data!$B$4:$L$947,MATCH(Graphs!$CK309,Data!$A$4:$A$947,0),MATCH(Graphs!CO$4,Data!$B$3:$L$3,0))="n.q.",NA(),INDEX(Data!$B$4:$L$947,MATCH(Graphs!$CK309,Data!$A$4:$A$947,0),MATCH(Graphs!CO$4,Data!$B$3:$L$3,0)))</f>
        <v>#N/A</v>
      </c>
      <c r="CP309" s="24" t="str">
        <f t="array" ref="CP309">IF(INDEX(Data!$B$4:$L$947,MATCH(Graphs!$CK309,Data!$A$4:$A$947,0),MATCH(Graphs!CP$4,Data!$B$3:$L$3,0))="n.q.",NA(),INDEX(Data!$B$4:$L$947,MATCH(Graphs!$CK309,Data!$A$4:$A$947,0),MATCH(Graphs!CP$4,Data!$B$3:$L$3,0)))</f>
        <v>#N/A</v>
      </c>
      <c r="CQ309" s="5"/>
      <c r="CR309" s="24">
        <f t="array" ref="CR309">IF(INDEX(Data!$P$4:$Z$947,MATCH(Graphs!$CK309,Data!$A$4:$A$947,0),MATCH(Graphs!CR$4,Data!$P$3:$Z$3,0))="n.q.",NA(),INDEX(Data!$P$4:$Z$947,MATCH(Graphs!$CK309,Data!$A$4:$A$947,0),MATCH(Graphs!CR$4,Data!$P$3:$Z$3,0)))</f>
        <v>137.6551724</v>
      </c>
      <c r="CS309" s="24">
        <f t="array" ref="CS309">IF(INDEX(Data!$P$4:$Z$947,MATCH(Graphs!$CK309,Data!$A$4:$A$947,0),MATCH(Graphs!CS$4,Data!$P$3:$Z$3,0))="n.q.",NA(),INDEX(Data!$P$4:$Z$947,MATCH(Graphs!$CK309,Data!$A$4:$A$947,0),MATCH(Graphs!CS$4,Data!$P$3:$Z$3,0)))</f>
        <v>168.3</v>
      </c>
      <c r="CT309" s="24">
        <f t="array" ref="CT309">IF(INDEX(Data!$P$4:$Z$947,MATCH(Graphs!$CK309,Data!$A$4:$A$947,0),MATCH(Graphs!CT$4,Data!$P$3:$Z$3,0))="n.q.",NA(),INDEX(Data!$P$4:$Z$947,MATCH(Graphs!$CK309,Data!$A$4:$A$947,0),MATCH(Graphs!CT$4,Data!$P$3:$Z$3,0)))</f>
        <v>157.2413793</v>
      </c>
      <c r="CU309" s="24" t="str">
        <f t="array" ref="CU309">IF(INDEX(Data!$P$4:$Z$947,MATCH(Graphs!$CK309,Data!$A$4:$A$947,0),MATCH(Graphs!CU$4,Data!$P$3:$Z$3,0))="n.q.",NA(),INDEX(Data!$P$4:$Z$947,MATCH(Graphs!$CK309,Data!$A$4:$A$947,0),MATCH(Graphs!CU$4,Data!$P$3:$Z$3,0)))</f>
        <v>#N/A</v>
      </c>
      <c r="CV309" s="24" t="str">
        <f t="array" ref="CV309">IF(INDEX(Data!$P$4:$Z$947,MATCH(Graphs!$CK309,Data!$A$4:$A$947,0),MATCH(Graphs!CV$4,Data!$P$3:$Z$3,0))="n.q.",NA(),INDEX(Data!$P$4:$Z$947,MATCH(Graphs!$CK309,Data!$A$4:$A$947,0),MATCH(Graphs!CV$4,Data!$P$3:$Z$3,0)))</f>
        <v>#N/A</v>
      </c>
    </row>
    <row r="310" ht="14.25" customHeight="1"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5"/>
      <c r="CK310" s="22">
        <f>Data!A291</f>
        <v>43957</v>
      </c>
      <c r="CL310" s="24">
        <f t="array" ref="CL310">IF(INDEX(Data!$B$4:$L$947,MATCH(Graphs!$CK310,Data!$A$4:$A$947,0),MATCH(Graphs!CL$4,Data!$B$3:$L$3,0))="n.q.",NA(),INDEX(Data!$B$4:$L$947,MATCH(Graphs!$CK310,Data!$A$4:$A$947,0),MATCH(Graphs!CL$4,Data!$B$3:$L$3,0)))</f>
        <v>220.39</v>
      </c>
      <c r="CM310" s="24">
        <f t="array" ref="CM310">IF(INDEX(Data!$B$4:$L$947,MATCH(Graphs!$CK310,Data!$A$4:$A$947,0),MATCH(Graphs!CM$4,Data!$B$3:$L$3,0))="n.q.",NA(),INDEX(Data!$B$4:$L$947,MATCH(Graphs!$CK310,Data!$A$4:$A$947,0),MATCH(Graphs!CM$4,Data!$B$3:$L$3,0)))</f>
        <v>228.73</v>
      </c>
      <c r="CN310" s="24">
        <f t="array" ref="CN310">IF(INDEX(Data!$B$4:$L$947,MATCH(Graphs!$CK310,Data!$A$4:$A$947,0),MATCH(Graphs!CN$4,Data!$B$3:$L$3,0))="n.q.",NA(),INDEX(Data!$B$4:$L$947,MATCH(Graphs!$CK310,Data!$A$4:$A$947,0),MATCH(Graphs!CN$4,Data!$B$3:$L$3,0)))</f>
        <v>216</v>
      </c>
      <c r="CO310" s="24" t="str">
        <f t="array" ref="CO310">IF(INDEX(Data!$B$4:$L$947,MATCH(Graphs!$CK310,Data!$A$4:$A$947,0),MATCH(Graphs!CO$4,Data!$B$3:$L$3,0))="n.q.",NA(),INDEX(Data!$B$4:$L$947,MATCH(Graphs!$CK310,Data!$A$4:$A$947,0),MATCH(Graphs!CO$4,Data!$B$3:$L$3,0)))</f>
        <v>#N/A</v>
      </c>
      <c r="CP310" s="24" t="str">
        <f t="array" ref="CP310">IF(INDEX(Data!$B$4:$L$947,MATCH(Graphs!$CK310,Data!$A$4:$A$947,0),MATCH(Graphs!CP$4,Data!$B$3:$L$3,0))="n.q.",NA(),INDEX(Data!$B$4:$L$947,MATCH(Graphs!$CK310,Data!$A$4:$A$947,0),MATCH(Graphs!CP$4,Data!$B$3:$L$3,0)))</f>
        <v>#N/A</v>
      </c>
      <c r="CQ310" s="5"/>
      <c r="CR310" s="24">
        <f t="array" ref="CR310">IF(INDEX(Data!$P$4:$Z$947,MATCH(Graphs!$CK310,Data!$A$4:$A$947,0),MATCH(Graphs!CR$4,Data!$P$3:$Z$3,0))="n.q.",NA(),INDEX(Data!$P$4:$Z$947,MATCH(Graphs!$CK310,Data!$A$4:$A$947,0),MATCH(Graphs!CR$4,Data!$P$3:$Z$3,0)))</f>
        <v>134.1445359</v>
      </c>
      <c r="CS310" s="24">
        <f t="array" ref="CS310">IF(INDEX(Data!$P$4:$Z$947,MATCH(Graphs!$CK310,Data!$A$4:$A$947,0),MATCH(Graphs!CS$4,Data!$P$3:$Z$3,0))="n.q.",NA(),INDEX(Data!$P$4:$Z$947,MATCH(Graphs!$CK310,Data!$A$4:$A$947,0),MATCH(Graphs!CS$4,Data!$P$3:$Z$3,0)))</f>
        <v>170.3</v>
      </c>
      <c r="CT310" s="24">
        <f t="array" ref="CT310">IF(INDEX(Data!$P$4:$Z$947,MATCH(Graphs!$CK310,Data!$A$4:$A$947,0),MATCH(Graphs!CT$4,Data!$P$3:$Z$3,0))="n.q.",NA(),INDEX(Data!$P$4:$Z$947,MATCH(Graphs!$CK310,Data!$A$4:$A$947,0),MATCH(Graphs!CT$4,Data!$P$3:$Z$3,0)))</f>
        <v>157.3054502</v>
      </c>
      <c r="CU310" s="24" t="str">
        <f t="array" ref="CU310">IF(INDEX(Data!$P$4:$Z$947,MATCH(Graphs!$CK310,Data!$A$4:$A$947,0),MATCH(Graphs!CU$4,Data!$P$3:$Z$3,0))="n.q.",NA(),INDEX(Data!$P$4:$Z$947,MATCH(Graphs!$CK310,Data!$A$4:$A$947,0),MATCH(Graphs!CU$4,Data!$P$3:$Z$3,0)))</f>
        <v>#N/A</v>
      </c>
      <c r="CV310" s="24" t="str">
        <f t="array" ref="CV310">IF(INDEX(Data!$P$4:$Z$947,MATCH(Graphs!$CK310,Data!$A$4:$A$947,0),MATCH(Graphs!CV$4,Data!$P$3:$Z$3,0))="n.q.",NA(),INDEX(Data!$P$4:$Z$947,MATCH(Graphs!$CK310,Data!$A$4:$A$947,0),MATCH(Graphs!CV$4,Data!$P$3:$Z$3,0)))</f>
        <v>#N/A</v>
      </c>
    </row>
    <row r="311" ht="14.25" customHeight="1"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5"/>
      <c r="CK311" s="22">
        <f>Data!A292</f>
        <v>43950</v>
      </c>
      <c r="CL311" s="24">
        <f t="array" ref="CL311">IF(INDEX(Data!$B$4:$L$947,MATCH(Graphs!$CK311,Data!$A$4:$A$947,0),MATCH(Graphs!CL$4,Data!$B$3:$L$3,0))="n.q.",NA(),INDEX(Data!$B$4:$L$947,MATCH(Graphs!$CK311,Data!$A$4:$A$947,0),MATCH(Graphs!CL$4,Data!$B$3:$L$3,0)))</f>
        <v>218.33</v>
      </c>
      <c r="CM311" s="24">
        <f t="array" ref="CM311">IF(INDEX(Data!$B$4:$L$947,MATCH(Graphs!$CK311,Data!$A$4:$A$947,0),MATCH(Graphs!CM$4,Data!$B$3:$L$3,0))="n.q.",NA(),INDEX(Data!$B$4:$L$947,MATCH(Graphs!$CK311,Data!$A$4:$A$947,0),MATCH(Graphs!CM$4,Data!$B$3:$L$3,0)))</f>
        <v>226.98</v>
      </c>
      <c r="CN311" s="24">
        <f t="array" ref="CN311">IF(INDEX(Data!$B$4:$L$947,MATCH(Graphs!$CK311,Data!$A$4:$A$947,0),MATCH(Graphs!CN$4,Data!$B$3:$L$3,0))="n.q.",NA(),INDEX(Data!$B$4:$L$947,MATCH(Graphs!$CK311,Data!$A$4:$A$947,0),MATCH(Graphs!CN$4,Data!$B$3:$L$3,0)))</f>
        <v>217</v>
      </c>
      <c r="CO311" s="24" t="str">
        <f t="array" ref="CO311">IF(INDEX(Data!$B$4:$L$947,MATCH(Graphs!$CK311,Data!$A$4:$A$947,0),MATCH(Graphs!CO$4,Data!$B$3:$L$3,0))="n.q.",NA(),INDEX(Data!$B$4:$L$947,MATCH(Graphs!$CK311,Data!$A$4:$A$947,0),MATCH(Graphs!CO$4,Data!$B$3:$L$3,0)))</f>
        <v>#N/A</v>
      </c>
      <c r="CP311" s="24" t="str">
        <f t="array" ref="CP311">IF(INDEX(Data!$B$4:$L$947,MATCH(Graphs!$CK311,Data!$A$4:$A$947,0),MATCH(Graphs!CP$4,Data!$B$3:$L$3,0))="n.q.",NA(),INDEX(Data!$B$4:$L$947,MATCH(Graphs!$CK311,Data!$A$4:$A$947,0),MATCH(Graphs!CP$4,Data!$B$3:$L$3,0)))</f>
        <v>#N/A</v>
      </c>
      <c r="CQ311" s="5"/>
      <c r="CR311" s="24">
        <f t="array" ref="CR311">IF(INDEX(Data!$P$4:$Z$947,MATCH(Graphs!$CK311,Data!$A$4:$A$947,0),MATCH(Graphs!CR$4,Data!$P$3:$Z$3,0))="n.q.",NA(),INDEX(Data!$P$4:$Z$947,MATCH(Graphs!$CK311,Data!$A$4:$A$947,0),MATCH(Graphs!CR$4,Data!$P$3:$Z$3,0)))</f>
        <v>130.8983582</v>
      </c>
      <c r="CS311" s="24">
        <f t="array" ref="CS311">IF(INDEX(Data!$P$4:$Z$947,MATCH(Graphs!$CK311,Data!$A$4:$A$947,0),MATCH(Graphs!CS$4,Data!$P$3:$Z$3,0))="n.q.",NA(),INDEX(Data!$P$4:$Z$947,MATCH(Graphs!$CK311,Data!$A$4:$A$947,0),MATCH(Graphs!CS$4,Data!$P$3:$Z$3,0)))</f>
        <v>169.62</v>
      </c>
      <c r="CT311" s="24">
        <f t="array" ref="CT311">IF(INDEX(Data!$P$4:$Z$947,MATCH(Graphs!$CK311,Data!$A$4:$A$947,0),MATCH(Graphs!CT$4,Data!$P$3:$Z$3,0))="n.q.",NA(),INDEX(Data!$P$4:$Z$947,MATCH(Graphs!$CK311,Data!$A$4:$A$947,0),MATCH(Graphs!CT$4,Data!$P$3:$Z$3,0)))</f>
        <v>155.4141302</v>
      </c>
      <c r="CU311" s="24" t="str">
        <f t="array" ref="CU311">IF(INDEX(Data!$P$4:$Z$947,MATCH(Graphs!$CK311,Data!$A$4:$A$947,0),MATCH(Graphs!CU$4,Data!$P$3:$Z$3,0))="n.q.",NA(),INDEX(Data!$P$4:$Z$947,MATCH(Graphs!$CK311,Data!$A$4:$A$947,0),MATCH(Graphs!CU$4,Data!$P$3:$Z$3,0)))</f>
        <v>#N/A</v>
      </c>
      <c r="CV311" s="24" t="str">
        <f t="array" ref="CV311">IF(INDEX(Data!$P$4:$Z$947,MATCH(Graphs!$CK311,Data!$A$4:$A$947,0),MATCH(Graphs!CV$4,Data!$P$3:$Z$3,0))="n.q.",NA(),INDEX(Data!$P$4:$Z$947,MATCH(Graphs!$CK311,Data!$A$4:$A$947,0),MATCH(Graphs!CV$4,Data!$P$3:$Z$3,0)))</f>
        <v>#N/A</v>
      </c>
    </row>
    <row r="312" ht="14.25" customHeight="1"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5"/>
      <c r="CK312" s="22">
        <f>Data!A293</f>
        <v>43943</v>
      </c>
      <c r="CL312" s="24">
        <f t="array" ref="CL312">IF(INDEX(Data!$B$4:$L$947,MATCH(Graphs!$CK312,Data!$A$4:$A$947,0),MATCH(Graphs!CL$4,Data!$B$3:$L$3,0))="n.q.",NA(),INDEX(Data!$B$4:$L$947,MATCH(Graphs!$CK312,Data!$A$4:$A$947,0),MATCH(Graphs!CL$4,Data!$B$3:$L$3,0)))</f>
        <v>227.56</v>
      </c>
      <c r="CM312" s="24">
        <f t="array" ref="CM312">IF(INDEX(Data!$B$4:$L$947,MATCH(Graphs!$CK312,Data!$A$4:$A$947,0),MATCH(Graphs!CM$4,Data!$B$3:$L$3,0))="n.q.",NA(),INDEX(Data!$B$4:$L$947,MATCH(Graphs!$CK312,Data!$A$4:$A$947,0),MATCH(Graphs!CM$4,Data!$B$3:$L$3,0)))</f>
        <v>235.16</v>
      </c>
      <c r="CN312" s="24">
        <f t="array" ref="CN312">IF(INDEX(Data!$B$4:$L$947,MATCH(Graphs!$CK312,Data!$A$4:$A$947,0),MATCH(Graphs!CN$4,Data!$B$3:$L$3,0))="n.q.",NA(),INDEX(Data!$B$4:$L$947,MATCH(Graphs!$CK312,Data!$A$4:$A$947,0),MATCH(Graphs!CN$4,Data!$B$3:$L$3,0)))</f>
        <v>220</v>
      </c>
      <c r="CO312" s="24" t="str">
        <f t="array" ref="CO312">IF(INDEX(Data!$B$4:$L$947,MATCH(Graphs!$CK312,Data!$A$4:$A$947,0),MATCH(Graphs!CO$4,Data!$B$3:$L$3,0))="n.q.",NA(),INDEX(Data!$B$4:$L$947,MATCH(Graphs!$CK312,Data!$A$4:$A$947,0),MATCH(Graphs!CO$4,Data!$B$3:$L$3,0)))</f>
        <v>#N/A</v>
      </c>
      <c r="CP312" s="24" t="str">
        <f t="array" ref="CP312">IF(INDEX(Data!$B$4:$L$947,MATCH(Graphs!$CK312,Data!$A$4:$A$947,0),MATCH(Graphs!CP$4,Data!$B$3:$L$3,0))="n.q.",NA(),INDEX(Data!$B$4:$L$947,MATCH(Graphs!$CK312,Data!$A$4:$A$947,0),MATCH(Graphs!CP$4,Data!$B$3:$L$3,0)))</f>
        <v>#N/A</v>
      </c>
      <c r="CQ312" s="5"/>
      <c r="CR312" s="24">
        <f t="array" ref="CR312">IF(INDEX(Data!$P$4:$Z$947,MATCH(Graphs!$CK312,Data!$A$4:$A$947,0),MATCH(Graphs!CR$4,Data!$P$3:$Z$3,0))="n.q.",NA(),INDEX(Data!$P$4:$Z$947,MATCH(Graphs!$CK312,Data!$A$4:$A$947,0),MATCH(Graphs!CR$4,Data!$P$3:$Z$3,0)))</f>
        <v>139.6521579</v>
      </c>
      <c r="CS312" s="24">
        <f t="array" ref="CS312">IF(INDEX(Data!$P$4:$Z$947,MATCH(Graphs!$CK312,Data!$A$4:$A$947,0),MATCH(Graphs!CS$4,Data!$P$3:$Z$3,0))="n.q.",NA(),INDEX(Data!$P$4:$Z$947,MATCH(Graphs!$CK312,Data!$A$4:$A$947,0),MATCH(Graphs!CS$4,Data!$P$3:$Z$3,0)))</f>
        <v>168.12</v>
      </c>
      <c r="CT312" s="24">
        <f t="array" ref="CT312">IF(INDEX(Data!$P$4:$Z$947,MATCH(Graphs!$CK312,Data!$A$4:$A$947,0),MATCH(Graphs!CT$4,Data!$P$3:$Z$3,0))="n.q.",NA(),INDEX(Data!$P$4:$Z$947,MATCH(Graphs!$CK312,Data!$A$4:$A$947,0),MATCH(Graphs!CT$4,Data!$P$3:$Z$3,0)))</f>
        <v>161.038005</v>
      </c>
      <c r="CU312" s="24" t="str">
        <f t="array" ref="CU312">IF(INDEX(Data!$P$4:$Z$947,MATCH(Graphs!$CK312,Data!$A$4:$A$947,0),MATCH(Graphs!CU$4,Data!$P$3:$Z$3,0))="n.q.",NA(),INDEX(Data!$P$4:$Z$947,MATCH(Graphs!$CK312,Data!$A$4:$A$947,0),MATCH(Graphs!CU$4,Data!$P$3:$Z$3,0)))</f>
        <v>#N/A</v>
      </c>
      <c r="CV312" s="24" t="str">
        <f t="array" ref="CV312">IF(INDEX(Data!$P$4:$Z$947,MATCH(Graphs!$CK312,Data!$A$4:$A$947,0),MATCH(Graphs!CV$4,Data!$P$3:$Z$3,0))="n.q.",NA(),INDEX(Data!$P$4:$Z$947,MATCH(Graphs!$CK312,Data!$A$4:$A$947,0),MATCH(Graphs!CV$4,Data!$P$3:$Z$3,0)))</f>
        <v>#N/A</v>
      </c>
    </row>
    <row r="313" ht="14.25" customHeight="1"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5"/>
      <c r="CK313" s="22">
        <f>Data!A294</f>
        <v>43936</v>
      </c>
      <c r="CL313" s="24">
        <f t="array" ref="CL313">IF(INDEX(Data!$B$4:$L$947,MATCH(Graphs!$CK313,Data!$A$4:$A$947,0),MATCH(Graphs!CL$4,Data!$B$3:$L$3,0))="n.q.",NA(),INDEX(Data!$B$4:$L$947,MATCH(Graphs!$CK313,Data!$A$4:$A$947,0),MATCH(Graphs!CL$4,Data!$B$3:$L$3,0)))</f>
        <v>222.65</v>
      </c>
      <c r="CM313" s="24">
        <f t="array" ref="CM313">IF(INDEX(Data!$B$4:$L$947,MATCH(Graphs!$CK313,Data!$A$4:$A$947,0),MATCH(Graphs!CM$4,Data!$B$3:$L$3,0))="n.q.",NA(),INDEX(Data!$B$4:$L$947,MATCH(Graphs!$CK313,Data!$A$4:$A$947,0),MATCH(Graphs!CM$4,Data!$B$3:$L$3,0)))</f>
        <v>231.3</v>
      </c>
      <c r="CN313" s="24">
        <f t="array" ref="CN313">IF(INDEX(Data!$B$4:$L$947,MATCH(Graphs!$CK313,Data!$A$4:$A$947,0),MATCH(Graphs!CN$4,Data!$B$3:$L$3,0))="n.q.",NA(),INDEX(Data!$B$4:$L$947,MATCH(Graphs!$CK313,Data!$A$4:$A$947,0),MATCH(Graphs!CN$4,Data!$B$3:$L$3,0)))</f>
        <v>220</v>
      </c>
      <c r="CO313" s="24" t="str">
        <f t="array" ref="CO313">IF(INDEX(Data!$B$4:$L$947,MATCH(Graphs!$CK313,Data!$A$4:$A$947,0),MATCH(Graphs!CO$4,Data!$B$3:$L$3,0))="n.q.",NA(),INDEX(Data!$B$4:$L$947,MATCH(Graphs!$CK313,Data!$A$4:$A$947,0),MATCH(Graphs!CO$4,Data!$B$3:$L$3,0)))</f>
        <v>#N/A</v>
      </c>
      <c r="CP313" s="24" t="str">
        <f t="array" ref="CP313">IF(INDEX(Data!$B$4:$L$947,MATCH(Graphs!$CK313,Data!$A$4:$A$947,0),MATCH(Graphs!CP$4,Data!$B$3:$L$3,0))="n.q.",NA(),INDEX(Data!$B$4:$L$947,MATCH(Graphs!$CK313,Data!$A$4:$A$947,0),MATCH(Graphs!CP$4,Data!$B$3:$L$3,0)))</f>
        <v>#N/A</v>
      </c>
      <c r="CQ313" s="5"/>
      <c r="CR313" s="24">
        <f t="array" ref="CR313">IF(INDEX(Data!$P$4:$Z$947,MATCH(Graphs!$CK313,Data!$A$4:$A$947,0),MATCH(Graphs!CR$4,Data!$P$3:$Z$3,0))="n.q.",NA(),INDEX(Data!$P$4:$Z$947,MATCH(Graphs!$CK313,Data!$A$4:$A$947,0),MATCH(Graphs!CR$4,Data!$P$3:$Z$3,0)))</f>
        <v>139.8239017</v>
      </c>
      <c r="CS313" s="24" t="str">
        <f t="array" ref="CS313">IF(INDEX(Data!$P$4:$Z$947,MATCH(Graphs!$CK313,Data!$A$4:$A$947,0),MATCH(Graphs!CS$4,Data!$P$3:$Z$3,0))="n.q.",NA(),INDEX(Data!$P$4:$Z$947,MATCH(Graphs!$CK313,Data!$A$4:$A$947,0),MATCH(Graphs!CS$4,Data!$P$3:$Z$3,0)))</f>
        <v>#N/A</v>
      </c>
      <c r="CT313" s="24">
        <f t="array" ref="CT313">IF(INDEX(Data!$P$4:$Z$947,MATCH(Graphs!$CK313,Data!$A$4:$A$947,0),MATCH(Graphs!CT$4,Data!$P$3:$Z$3,0))="n.q.",NA(),INDEX(Data!$P$4:$Z$947,MATCH(Graphs!$CK313,Data!$A$4:$A$947,0),MATCH(Graphs!CT$4,Data!$P$3:$Z$3,0)))</f>
        <v>161.4234614</v>
      </c>
      <c r="CU313" s="24" t="str">
        <f t="array" ref="CU313">IF(INDEX(Data!$P$4:$Z$947,MATCH(Graphs!$CK313,Data!$A$4:$A$947,0),MATCH(Graphs!CU$4,Data!$P$3:$Z$3,0))="n.q.",NA(),INDEX(Data!$P$4:$Z$947,MATCH(Graphs!$CK313,Data!$A$4:$A$947,0),MATCH(Graphs!CU$4,Data!$P$3:$Z$3,0)))</f>
        <v>#N/A</v>
      </c>
      <c r="CV313" s="24" t="str">
        <f t="array" ref="CV313">IF(INDEX(Data!$P$4:$Z$947,MATCH(Graphs!$CK313,Data!$A$4:$A$947,0),MATCH(Graphs!CV$4,Data!$P$3:$Z$3,0))="n.q.",NA(),INDEX(Data!$P$4:$Z$947,MATCH(Graphs!$CK313,Data!$A$4:$A$947,0),MATCH(Graphs!CV$4,Data!$P$3:$Z$3,0)))</f>
        <v>#N/A</v>
      </c>
    </row>
    <row r="314" ht="14.25" customHeight="1"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5"/>
      <c r="CK314" s="22">
        <f>Data!A295</f>
        <v>43929</v>
      </c>
      <c r="CL314" s="24">
        <f t="array" ref="CL314">IF(INDEX(Data!$B$4:$L$947,MATCH(Graphs!$CK314,Data!$A$4:$A$947,0),MATCH(Graphs!CL$4,Data!$B$3:$L$3,0))="n.q.",NA(),INDEX(Data!$B$4:$L$947,MATCH(Graphs!$CK314,Data!$A$4:$A$947,0),MATCH(Graphs!CL$4,Data!$B$3:$L$3,0)))</f>
        <v>221.8</v>
      </c>
      <c r="CM314" s="24">
        <f t="array" ref="CM314">IF(INDEX(Data!$B$4:$L$947,MATCH(Graphs!$CK314,Data!$A$4:$A$947,0),MATCH(Graphs!CM$4,Data!$B$3:$L$3,0))="n.q.",NA(),INDEX(Data!$B$4:$L$947,MATCH(Graphs!$CK314,Data!$A$4:$A$947,0),MATCH(Graphs!CM$4,Data!$B$3:$L$3,0)))</f>
        <v>230.75</v>
      </c>
      <c r="CN314" s="24">
        <f t="array" ref="CN314">IF(INDEX(Data!$B$4:$L$947,MATCH(Graphs!$CK314,Data!$A$4:$A$947,0),MATCH(Graphs!CN$4,Data!$B$3:$L$3,0))="n.q.",NA(),INDEX(Data!$B$4:$L$947,MATCH(Graphs!$CK314,Data!$A$4:$A$947,0),MATCH(Graphs!CN$4,Data!$B$3:$L$3,0)))</f>
        <v>216</v>
      </c>
      <c r="CO314" s="24" t="str">
        <f t="array" ref="CO314">IF(INDEX(Data!$B$4:$L$947,MATCH(Graphs!$CK314,Data!$A$4:$A$947,0),MATCH(Graphs!CO$4,Data!$B$3:$L$3,0))="n.q.",NA(),INDEX(Data!$B$4:$L$947,MATCH(Graphs!$CK314,Data!$A$4:$A$947,0),MATCH(Graphs!CO$4,Data!$B$3:$L$3,0)))</f>
        <v>#N/A</v>
      </c>
      <c r="CP314" s="24" t="str">
        <f t="array" ref="CP314">IF(INDEX(Data!$B$4:$L$947,MATCH(Graphs!$CK314,Data!$A$4:$A$947,0),MATCH(Graphs!CP$4,Data!$B$3:$L$3,0))="n.q.",NA(),INDEX(Data!$B$4:$L$947,MATCH(Graphs!$CK314,Data!$A$4:$A$947,0),MATCH(Graphs!CP$4,Data!$B$3:$L$3,0)))</f>
        <v>#N/A</v>
      </c>
      <c r="CQ314" s="5"/>
      <c r="CR314" s="24">
        <f t="array" ref="CR314">IF(INDEX(Data!$P$4:$Z$947,MATCH(Graphs!$CK314,Data!$A$4:$A$947,0),MATCH(Graphs!CR$4,Data!$P$3:$Z$3,0))="n.q.",NA(),INDEX(Data!$P$4:$Z$947,MATCH(Graphs!$CK314,Data!$A$4:$A$947,0),MATCH(Graphs!CR$4,Data!$P$3:$Z$3,0)))</f>
        <v>148.477601</v>
      </c>
      <c r="CS314" s="24">
        <f t="array" ref="CS314">IF(INDEX(Data!$P$4:$Z$947,MATCH(Graphs!$CK314,Data!$A$4:$A$947,0),MATCH(Graphs!CS$4,Data!$P$3:$Z$3,0))="n.q.",NA(),INDEX(Data!$P$4:$Z$947,MATCH(Graphs!$CK314,Data!$A$4:$A$947,0),MATCH(Graphs!CS$4,Data!$P$3:$Z$3,0)))</f>
        <v>170.87</v>
      </c>
      <c r="CT314" s="24">
        <f t="array" ref="CT314">IF(INDEX(Data!$P$4:$Z$947,MATCH(Graphs!$CK314,Data!$A$4:$A$947,0),MATCH(Graphs!CT$4,Data!$P$3:$Z$3,0))="n.q.",NA(),INDEX(Data!$P$4:$Z$947,MATCH(Graphs!$CK314,Data!$A$4:$A$947,0),MATCH(Graphs!CT$4,Data!$P$3:$Z$3,0)))</f>
        <v>164.1983258</v>
      </c>
      <c r="CU314" s="24" t="str">
        <f t="array" ref="CU314">IF(INDEX(Data!$P$4:$Z$947,MATCH(Graphs!$CK314,Data!$A$4:$A$947,0),MATCH(Graphs!CU$4,Data!$P$3:$Z$3,0))="n.q.",NA(),INDEX(Data!$P$4:$Z$947,MATCH(Graphs!$CK314,Data!$A$4:$A$947,0),MATCH(Graphs!CU$4,Data!$P$3:$Z$3,0)))</f>
        <v>#N/A</v>
      </c>
      <c r="CV314" s="24" t="str">
        <f t="array" ref="CV314">IF(INDEX(Data!$P$4:$Z$947,MATCH(Graphs!$CK314,Data!$A$4:$A$947,0),MATCH(Graphs!CV$4,Data!$P$3:$Z$3,0))="n.q.",NA(),INDEX(Data!$P$4:$Z$947,MATCH(Graphs!$CK314,Data!$A$4:$A$947,0),MATCH(Graphs!CV$4,Data!$P$3:$Z$3,0)))</f>
        <v>#N/A</v>
      </c>
    </row>
    <row r="315" ht="14.25" customHeight="1"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5"/>
      <c r="CK315" s="22">
        <f>Data!A296</f>
        <v>43922</v>
      </c>
      <c r="CL315" s="24">
        <f t="array" ref="CL315">IF(INDEX(Data!$B$4:$L$947,MATCH(Graphs!$CK315,Data!$A$4:$A$947,0),MATCH(Graphs!CL$4,Data!$B$3:$L$3,0))="n.q.",NA(),INDEX(Data!$B$4:$L$947,MATCH(Graphs!$CK315,Data!$A$4:$A$947,0),MATCH(Graphs!CL$4,Data!$B$3:$L$3,0)))</f>
        <v>221.95</v>
      </c>
      <c r="CM315" s="24">
        <f t="array" ref="CM315">IF(INDEX(Data!$B$4:$L$947,MATCH(Graphs!$CK315,Data!$A$4:$A$947,0),MATCH(Graphs!CM$4,Data!$B$3:$L$3,0))="n.q.",NA(),INDEX(Data!$B$4:$L$947,MATCH(Graphs!$CK315,Data!$A$4:$A$947,0),MATCH(Graphs!CM$4,Data!$B$3:$L$3,0)))</f>
        <v>233.32</v>
      </c>
      <c r="CN315" s="24">
        <f t="array" ref="CN315">IF(INDEX(Data!$B$4:$L$947,MATCH(Graphs!$CK315,Data!$A$4:$A$947,0),MATCH(Graphs!CN$4,Data!$B$3:$L$3,0))="n.q.",NA(),INDEX(Data!$B$4:$L$947,MATCH(Graphs!$CK315,Data!$A$4:$A$947,0),MATCH(Graphs!CN$4,Data!$B$3:$L$3,0)))</f>
        <v>216</v>
      </c>
      <c r="CO315" s="24" t="str">
        <f t="array" ref="CO315">IF(INDEX(Data!$B$4:$L$947,MATCH(Graphs!$CK315,Data!$A$4:$A$947,0),MATCH(Graphs!CO$4,Data!$B$3:$L$3,0))="n.q.",NA(),INDEX(Data!$B$4:$L$947,MATCH(Graphs!$CK315,Data!$A$4:$A$947,0),MATCH(Graphs!CO$4,Data!$B$3:$L$3,0)))</f>
        <v>#N/A</v>
      </c>
      <c r="CP315" s="24" t="str">
        <f t="array" ref="CP315">IF(INDEX(Data!$B$4:$L$947,MATCH(Graphs!$CK315,Data!$A$4:$A$947,0),MATCH(Graphs!CP$4,Data!$B$3:$L$3,0))="n.q.",NA(),INDEX(Data!$B$4:$L$947,MATCH(Graphs!$CK315,Data!$A$4:$A$947,0),MATCH(Graphs!CP$4,Data!$B$3:$L$3,0)))</f>
        <v>#N/A</v>
      </c>
      <c r="CQ315" s="5"/>
      <c r="CR315" s="24">
        <f t="array" ref="CR315">IF(INDEX(Data!$P$4:$Z$947,MATCH(Graphs!$CK315,Data!$A$4:$A$947,0),MATCH(Graphs!CR$4,Data!$P$3:$Z$3,0))="n.q.",NA(),INDEX(Data!$P$4:$Z$947,MATCH(Graphs!$CK315,Data!$A$4:$A$947,0),MATCH(Graphs!CR$4,Data!$P$3:$Z$3,0)))</f>
        <v>148.5826628</v>
      </c>
      <c r="CS315" s="24">
        <f t="array" ref="CS315">IF(INDEX(Data!$P$4:$Z$947,MATCH(Graphs!$CK315,Data!$A$4:$A$947,0),MATCH(Graphs!CS$4,Data!$P$3:$Z$3,0))="n.q.",NA(),INDEX(Data!$P$4:$Z$947,MATCH(Graphs!$CK315,Data!$A$4:$A$947,0),MATCH(Graphs!CS$4,Data!$P$3:$Z$3,0)))</f>
        <v>171.37</v>
      </c>
      <c r="CT315" s="24">
        <f t="array" ref="CT315">IF(INDEX(Data!$P$4:$Z$947,MATCH(Graphs!$CK315,Data!$A$4:$A$947,0),MATCH(Graphs!CT$4,Data!$P$3:$Z$3,0))="n.q.",NA(),INDEX(Data!$P$4:$Z$947,MATCH(Graphs!$CK315,Data!$A$4:$A$947,0),MATCH(Graphs!CT$4,Data!$P$3:$Z$3,0)))</f>
        <v>164.5940015</v>
      </c>
      <c r="CU315" s="24" t="str">
        <f t="array" ref="CU315">IF(INDEX(Data!$P$4:$Z$947,MATCH(Graphs!$CK315,Data!$A$4:$A$947,0),MATCH(Graphs!CU$4,Data!$P$3:$Z$3,0))="n.q.",NA(),INDEX(Data!$P$4:$Z$947,MATCH(Graphs!$CK315,Data!$A$4:$A$947,0),MATCH(Graphs!CU$4,Data!$P$3:$Z$3,0)))</f>
        <v>#N/A</v>
      </c>
      <c r="CV315" s="24" t="str">
        <f t="array" ref="CV315">IF(INDEX(Data!$P$4:$Z$947,MATCH(Graphs!$CK315,Data!$A$4:$A$947,0),MATCH(Graphs!CV$4,Data!$P$3:$Z$3,0))="n.q.",NA(),INDEX(Data!$P$4:$Z$947,MATCH(Graphs!$CK315,Data!$A$4:$A$947,0),MATCH(Graphs!CV$4,Data!$P$3:$Z$3,0)))</f>
        <v>#N/A</v>
      </c>
    </row>
    <row r="316" ht="14.25" customHeight="1"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5"/>
      <c r="CK316" s="22">
        <f>Data!A297</f>
        <v>43915</v>
      </c>
      <c r="CL316" s="24">
        <f t="array" ref="CL316">IF(INDEX(Data!$B$4:$L$947,MATCH(Graphs!$CK316,Data!$A$4:$A$947,0),MATCH(Graphs!CL$4,Data!$B$3:$L$3,0))="n.q.",NA(),INDEX(Data!$B$4:$L$947,MATCH(Graphs!$CK316,Data!$A$4:$A$947,0),MATCH(Graphs!CL$4,Data!$B$3:$L$3,0)))</f>
        <v>221.8</v>
      </c>
      <c r="CM316" s="24">
        <f t="array" ref="CM316">IF(INDEX(Data!$B$4:$L$947,MATCH(Graphs!$CK316,Data!$A$4:$A$947,0),MATCH(Graphs!CM$4,Data!$B$3:$L$3,0))="n.q.",NA(),INDEX(Data!$B$4:$L$947,MATCH(Graphs!$CK316,Data!$A$4:$A$947,0),MATCH(Graphs!CM$4,Data!$B$3:$L$3,0)))</f>
        <v>242.88</v>
      </c>
      <c r="CN316" s="24">
        <f t="array" ref="CN316">IF(INDEX(Data!$B$4:$L$947,MATCH(Graphs!$CK316,Data!$A$4:$A$947,0),MATCH(Graphs!CN$4,Data!$B$3:$L$3,0))="n.q.",NA(),INDEX(Data!$B$4:$L$947,MATCH(Graphs!$CK316,Data!$A$4:$A$947,0),MATCH(Graphs!CN$4,Data!$B$3:$L$3,0)))</f>
        <v>209</v>
      </c>
      <c r="CO316" s="24" t="str">
        <f t="array" ref="CO316">IF(INDEX(Data!$B$4:$L$947,MATCH(Graphs!$CK316,Data!$A$4:$A$947,0),MATCH(Graphs!CO$4,Data!$B$3:$L$3,0))="n.q.",NA(),INDEX(Data!$B$4:$L$947,MATCH(Graphs!$CK316,Data!$A$4:$A$947,0),MATCH(Graphs!CO$4,Data!$B$3:$L$3,0)))</f>
        <v>#N/A</v>
      </c>
      <c r="CP316" s="24" t="str">
        <f t="array" ref="CP316">IF(INDEX(Data!$B$4:$L$947,MATCH(Graphs!$CK316,Data!$A$4:$A$947,0),MATCH(Graphs!CP$4,Data!$B$3:$L$3,0))="n.q.",NA(),INDEX(Data!$B$4:$L$947,MATCH(Graphs!$CK316,Data!$A$4:$A$947,0),MATCH(Graphs!CP$4,Data!$B$3:$L$3,0)))</f>
        <v>#N/A</v>
      </c>
      <c r="CQ316" s="5"/>
      <c r="CR316" s="24">
        <f t="array" ref="CR316">IF(INDEX(Data!$P$4:$Z$947,MATCH(Graphs!$CK316,Data!$A$4:$A$947,0),MATCH(Graphs!CR$4,Data!$P$3:$Z$3,0))="n.q.",NA(),INDEX(Data!$P$4:$Z$947,MATCH(Graphs!$CK316,Data!$A$4:$A$947,0),MATCH(Graphs!CR$4,Data!$P$3:$Z$3,0)))</f>
        <v>155.0845109</v>
      </c>
      <c r="CS316" s="24" t="str">
        <f t="array" ref="CS316">IF(INDEX(Data!$P$4:$Z$947,MATCH(Graphs!$CK316,Data!$A$4:$A$947,0),MATCH(Graphs!CS$4,Data!$P$3:$Z$3,0))="n.q.",NA(),INDEX(Data!$P$4:$Z$947,MATCH(Graphs!$CK316,Data!$A$4:$A$947,0),MATCH(Graphs!CS$4,Data!$P$3:$Z$3,0)))</f>
        <v>#N/A</v>
      </c>
      <c r="CT316" s="24">
        <f t="array" ref="CT316">IF(INDEX(Data!$P$4:$Z$947,MATCH(Graphs!$CK316,Data!$A$4:$A$947,0),MATCH(Graphs!CT$4,Data!$P$3:$Z$3,0))="n.q.",NA(),INDEX(Data!$P$4:$Z$947,MATCH(Graphs!$CK316,Data!$A$4:$A$947,0),MATCH(Graphs!CT$4,Data!$P$3:$Z$3,0)))</f>
        <v>162.5565715</v>
      </c>
      <c r="CU316" s="24" t="str">
        <f t="array" ref="CU316">IF(INDEX(Data!$P$4:$Z$947,MATCH(Graphs!$CK316,Data!$A$4:$A$947,0),MATCH(Graphs!CU$4,Data!$P$3:$Z$3,0))="n.q.",NA(),INDEX(Data!$P$4:$Z$947,MATCH(Graphs!$CK316,Data!$A$4:$A$947,0),MATCH(Graphs!CU$4,Data!$P$3:$Z$3,0)))</f>
        <v>#N/A</v>
      </c>
      <c r="CV316" s="24" t="str">
        <f t="array" ref="CV316">IF(INDEX(Data!$P$4:$Z$947,MATCH(Graphs!$CK316,Data!$A$4:$A$947,0),MATCH(Graphs!CV$4,Data!$P$3:$Z$3,0))="n.q.",NA(),INDEX(Data!$P$4:$Z$947,MATCH(Graphs!$CK316,Data!$A$4:$A$947,0),MATCH(Graphs!CV$4,Data!$P$3:$Z$3,0)))</f>
        <v>#N/A</v>
      </c>
    </row>
    <row r="317" ht="14.25" customHeight="1"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5"/>
      <c r="CK317" s="22">
        <f>Data!A298</f>
        <v>43908</v>
      </c>
      <c r="CL317" s="24">
        <f t="array" ref="CL317">IF(INDEX(Data!$B$4:$L$947,MATCH(Graphs!$CK317,Data!$A$4:$A$947,0),MATCH(Graphs!CL$4,Data!$B$3:$L$3,0))="n.q.",NA(),INDEX(Data!$B$4:$L$947,MATCH(Graphs!$CK317,Data!$A$4:$A$947,0),MATCH(Graphs!CL$4,Data!$B$3:$L$3,0)))</f>
        <v>206.09</v>
      </c>
      <c r="CM317" s="24">
        <f t="array" ref="CM317">IF(INDEX(Data!$B$4:$L$947,MATCH(Graphs!$CK317,Data!$A$4:$A$947,0),MATCH(Graphs!CM$4,Data!$B$3:$L$3,0))="n.q.",NA(),INDEX(Data!$B$4:$L$947,MATCH(Graphs!$CK317,Data!$A$4:$A$947,0),MATCH(Graphs!CM$4,Data!$B$3:$L$3,0)))</f>
        <v>221.01</v>
      </c>
      <c r="CN317" s="24">
        <f t="array" ref="CN317">IF(INDEX(Data!$B$4:$L$947,MATCH(Graphs!$CK317,Data!$A$4:$A$947,0),MATCH(Graphs!CN$4,Data!$B$3:$L$3,0))="n.q.",NA(),INDEX(Data!$B$4:$L$947,MATCH(Graphs!$CK317,Data!$A$4:$A$947,0),MATCH(Graphs!CN$4,Data!$B$3:$L$3,0)))</f>
        <v>199</v>
      </c>
      <c r="CO317" s="24" t="str">
        <f t="array" ref="CO317">IF(INDEX(Data!$B$4:$L$947,MATCH(Graphs!$CK317,Data!$A$4:$A$947,0),MATCH(Graphs!CO$4,Data!$B$3:$L$3,0))="n.q.",NA(),INDEX(Data!$B$4:$L$947,MATCH(Graphs!$CK317,Data!$A$4:$A$947,0),MATCH(Graphs!CO$4,Data!$B$3:$L$3,0)))</f>
        <v>#N/A</v>
      </c>
      <c r="CP317" s="24" t="str">
        <f t="array" ref="CP317">IF(INDEX(Data!$B$4:$L$947,MATCH(Graphs!$CK317,Data!$A$4:$A$947,0),MATCH(Graphs!CP$4,Data!$B$3:$L$3,0))="n.q.",NA(),INDEX(Data!$B$4:$L$947,MATCH(Graphs!$CK317,Data!$A$4:$A$947,0),MATCH(Graphs!CP$4,Data!$B$3:$L$3,0)))</f>
        <v>#N/A</v>
      </c>
      <c r="CQ317" s="5"/>
      <c r="CR317" s="24">
        <f t="array" ref="CR317">IF(INDEX(Data!$P$4:$Z$947,MATCH(Graphs!$CK317,Data!$A$4:$A$947,0),MATCH(Graphs!CR$4,Data!$P$3:$Z$3,0))="n.q.",NA(),INDEX(Data!$P$4:$Z$947,MATCH(Graphs!$CK317,Data!$A$4:$A$947,0),MATCH(Graphs!CR$4,Data!$P$3:$Z$3,0)))</f>
        <v>146.6343516</v>
      </c>
      <c r="CS317" s="24">
        <f t="array" ref="CS317">IF(INDEX(Data!$P$4:$Z$947,MATCH(Graphs!$CK317,Data!$A$4:$A$947,0),MATCH(Graphs!CS$4,Data!$P$3:$Z$3,0))="n.q.",NA(),INDEX(Data!$P$4:$Z$947,MATCH(Graphs!$CK317,Data!$A$4:$A$947,0),MATCH(Graphs!CS$4,Data!$P$3:$Z$3,0)))</f>
        <v>167.44</v>
      </c>
      <c r="CT317" s="24">
        <f t="array" ref="CT317">IF(INDEX(Data!$P$4:$Z$947,MATCH(Graphs!$CK317,Data!$A$4:$A$947,0),MATCH(Graphs!CT$4,Data!$P$3:$Z$3,0))="n.q.",NA(),INDEX(Data!$P$4:$Z$947,MATCH(Graphs!$CK317,Data!$A$4:$A$947,0),MATCH(Graphs!CT$4,Data!$P$3:$Z$3,0)))</f>
        <v>154.5637461</v>
      </c>
      <c r="CU317" s="24" t="str">
        <f t="array" ref="CU317">IF(INDEX(Data!$P$4:$Z$947,MATCH(Graphs!$CK317,Data!$A$4:$A$947,0),MATCH(Graphs!CU$4,Data!$P$3:$Z$3,0))="n.q.",NA(),INDEX(Data!$P$4:$Z$947,MATCH(Graphs!$CK317,Data!$A$4:$A$947,0),MATCH(Graphs!CU$4,Data!$P$3:$Z$3,0)))</f>
        <v>#N/A</v>
      </c>
      <c r="CV317" s="24" t="str">
        <f t="array" ref="CV317">IF(INDEX(Data!$P$4:$Z$947,MATCH(Graphs!$CK317,Data!$A$4:$A$947,0),MATCH(Graphs!CV$4,Data!$P$3:$Z$3,0))="n.q.",NA(),INDEX(Data!$P$4:$Z$947,MATCH(Graphs!$CK317,Data!$A$4:$A$947,0),MATCH(Graphs!CV$4,Data!$P$3:$Z$3,0)))</f>
        <v>#N/A</v>
      </c>
    </row>
    <row r="318" ht="14.25" customHeight="1"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5"/>
      <c r="CK318" s="22">
        <f>Data!A299</f>
        <v>43901</v>
      </c>
      <c r="CL318" s="24">
        <f t="array" ref="CL318">IF(INDEX(Data!$B$4:$L$947,MATCH(Graphs!$CK318,Data!$A$4:$A$947,0),MATCH(Graphs!CL$4,Data!$B$3:$L$3,0))="n.q.",NA(),INDEX(Data!$B$4:$L$947,MATCH(Graphs!$CK318,Data!$A$4:$A$947,0),MATCH(Graphs!CL$4,Data!$B$3:$L$3,0)))</f>
        <v>204.96</v>
      </c>
      <c r="CM318" s="24">
        <f t="array" ref="CM318">IF(INDEX(Data!$B$4:$L$947,MATCH(Graphs!$CK318,Data!$A$4:$A$947,0),MATCH(Graphs!CM$4,Data!$B$3:$L$3,0))="n.q.",NA(),INDEX(Data!$B$4:$L$947,MATCH(Graphs!$CK318,Data!$A$4:$A$947,0),MATCH(Graphs!CM$4,Data!$B$3:$L$3,0)))</f>
        <v>215.13</v>
      </c>
      <c r="CN318" s="24">
        <f t="array" ref="CN318">IF(INDEX(Data!$B$4:$L$947,MATCH(Graphs!$CK318,Data!$A$4:$A$947,0),MATCH(Graphs!CN$4,Data!$B$3:$L$3,0))="n.q.",NA(),INDEX(Data!$B$4:$L$947,MATCH(Graphs!$CK318,Data!$A$4:$A$947,0),MATCH(Graphs!CN$4,Data!$B$3:$L$3,0)))</f>
        <v>202.5</v>
      </c>
      <c r="CO318" s="24" t="str">
        <f t="array" ref="CO318">IF(INDEX(Data!$B$4:$L$947,MATCH(Graphs!$CK318,Data!$A$4:$A$947,0),MATCH(Graphs!CO$4,Data!$B$3:$L$3,0))="n.q.",NA(),INDEX(Data!$B$4:$L$947,MATCH(Graphs!$CK318,Data!$A$4:$A$947,0),MATCH(Graphs!CO$4,Data!$B$3:$L$3,0)))</f>
        <v>#N/A</v>
      </c>
      <c r="CP318" s="24" t="str">
        <f t="array" ref="CP318">IF(INDEX(Data!$B$4:$L$947,MATCH(Graphs!$CK318,Data!$A$4:$A$947,0),MATCH(Graphs!CP$4,Data!$B$3:$L$3,0))="n.q.",NA(),INDEX(Data!$B$4:$L$947,MATCH(Graphs!$CK318,Data!$A$4:$A$947,0),MATCH(Graphs!CP$4,Data!$B$3:$L$3,0)))</f>
        <v>#N/A</v>
      </c>
      <c r="CQ318" s="5"/>
      <c r="CR318" s="24">
        <f t="array" ref="CR318">IF(INDEX(Data!$P$4:$Z$947,MATCH(Graphs!$CK318,Data!$A$4:$A$947,0),MATCH(Graphs!CR$4,Data!$P$3:$Z$3,0))="n.q.",NA(),INDEX(Data!$P$4:$Z$947,MATCH(Graphs!$CK318,Data!$A$4:$A$947,0),MATCH(Graphs!CR$4,Data!$P$3:$Z$3,0)))</f>
        <v>154.0225829</v>
      </c>
      <c r="CS318" s="24">
        <f t="array" ref="CS318">IF(INDEX(Data!$P$4:$Z$947,MATCH(Graphs!$CK318,Data!$A$4:$A$947,0),MATCH(Graphs!CS$4,Data!$P$3:$Z$3,0))="n.q.",NA(),INDEX(Data!$P$4:$Z$947,MATCH(Graphs!$CK318,Data!$A$4:$A$947,0),MATCH(Graphs!CS$4,Data!$P$3:$Z$3,0)))</f>
        <v>169.19</v>
      </c>
      <c r="CT318" s="24">
        <f t="array" ref="CT318">IF(INDEX(Data!$P$4:$Z$947,MATCH(Graphs!$CK318,Data!$A$4:$A$947,0),MATCH(Graphs!CT$4,Data!$P$3:$Z$3,0))="n.q.",NA(),INDEX(Data!$P$4:$Z$947,MATCH(Graphs!$CK318,Data!$A$4:$A$947,0),MATCH(Graphs!CT$4,Data!$P$3:$Z$3,0)))</f>
        <v>155.2575865</v>
      </c>
      <c r="CU318" s="24" t="str">
        <f t="array" ref="CU318">IF(INDEX(Data!$P$4:$Z$947,MATCH(Graphs!$CK318,Data!$A$4:$A$947,0),MATCH(Graphs!CU$4,Data!$P$3:$Z$3,0))="n.q.",NA(),INDEX(Data!$P$4:$Z$947,MATCH(Graphs!$CK318,Data!$A$4:$A$947,0),MATCH(Graphs!CU$4,Data!$P$3:$Z$3,0)))</f>
        <v>#N/A</v>
      </c>
      <c r="CV318" s="24" t="str">
        <f t="array" ref="CV318">IF(INDEX(Data!$P$4:$Z$947,MATCH(Graphs!$CK318,Data!$A$4:$A$947,0),MATCH(Graphs!CV$4,Data!$P$3:$Z$3,0))="n.q.",NA(),INDEX(Data!$P$4:$Z$947,MATCH(Graphs!$CK318,Data!$A$4:$A$947,0),MATCH(Graphs!CV$4,Data!$P$3:$Z$3,0)))</f>
        <v>#N/A</v>
      </c>
    </row>
    <row r="319" ht="14.25" customHeight="1"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5"/>
      <c r="CK319" s="22">
        <f>Data!A300</f>
        <v>43894</v>
      </c>
      <c r="CL319" s="24">
        <f t="array" ref="CL319">IF(INDEX(Data!$B$4:$L$947,MATCH(Graphs!$CK319,Data!$A$4:$A$947,0),MATCH(Graphs!CL$4,Data!$B$3:$L$3,0))="n.q.",NA(),INDEX(Data!$B$4:$L$947,MATCH(Graphs!$CK319,Data!$A$4:$A$947,0),MATCH(Graphs!CL$4,Data!$B$3:$L$3,0)))</f>
        <v>213.06</v>
      </c>
      <c r="CM319" s="24">
        <f t="array" ref="CM319">IF(INDEX(Data!$B$4:$L$947,MATCH(Graphs!$CK319,Data!$A$4:$A$947,0),MATCH(Graphs!CM$4,Data!$B$3:$L$3,0))="n.q.",NA(),INDEX(Data!$B$4:$L$947,MATCH(Graphs!$CK319,Data!$A$4:$A$947,0),MATCH(Graphs!CM$4,Data!$B$3:$L$3,0)))</f>
        <v>221.66</v>
      </c>
      <c r="CN319" s="24">
        <f t="array" ref="CN319">IF(INDEX(Data!$B$4:$L$947,MATCH(Graphs!$CK319,Data!$A$4:$A$947,0),MATCH(Graphs!CN$4,Data!$B$3:$L$3,0))="n.q.",NA(),INDEX(Data!$B$4:$L$947,MATCH(Graphs!$CK319,Data!$A$4:$A$947,0),MATCH(Graphs!CN$4,Data!$B$3:$L$3,0)))</f>
        <v>206</v>
      </c>
      <c r="CO319" s="24" t="str">
        <f t="array" ref="CO319">IF(INDEX(Data!$B$4:$L$947,MATCH(Graphs!$CK319,Data!$A$4:$A$947,0),MATCH(Graphs!CO$4,Data!$B$3:$L$3,0))="n.q.",NA(),INDEX(Data!$B$4:$L$947,MATCH(Graphs!$CK319,Data!$A$4:$A$947,0),MATCH(Graphs!CO$4,Data!$B$3:$L$3,0)))</f>
        <v>#N/A</v>
      </c>
      <c r="CP319" s="24" t="str">
        <f t="array" ref="CP319">IF(INDEX(Data!$B$4:$L$947,MATCH(Graphs!$CK319,Data!$A$4:$A$947,0),MATCH(Graphs!CP$4,Data!$B$3:$L$3,0))="n.q.",NA(),INDEX(Data!$B$4:$L$947,MATCH(Graphs!$CK319,Data!$A$4:$A$947,0),MATCH(Graphs!CP$4,Data!$B$3:$L$3,0)))</f>
        <v>#N/A</v>
      </c>
      <c r="CQ319" s="5"/>
      <c r="CR319" s="24">
        <f t="array" ref="CR319">IF(INDEX(Data!$P$4:$Z$947,MATCH(Graphs!$CK319,Data!$A$4:$A$947,0),MATCH(Graphs!CR$4,Data!$P$3:$Z$3,0))="n.q.",NA(),INDEX(Data!$P$4:$Z$947,MATCH(Graphs!$CK319,Data!$A$4:$A$947,0),MATCH(Graphs!CR$4,Data!$P$3:$Z$3,0)))</f>
        <v>160.305618</v>
      </c>
      <c r="CS319" s="24">
        <f t="array" ref="CS319">IF(INDEX(Data!$P$4:$Z$947,MATCH(Graphs!$CK319,Data!$A$4:$A$947,0),MATCH(Graphs!CS$4,Data!$P$3:$Z$3,0))="n.q.",NA(),INDEX(Data!$P$4:$Z$947,MATCH(Graphs!$CK319,Data!$A$4:$A$947,0),MATCH(Graphs!CS$4,Data!$P$3:$Z$3,0)))</f>
        <v>172.94</v>
      </c>
      <c r="CT319" s="24">
        <f t="array" ref="CT319">IF(INDEX(Data!$P$4:$Z$947,MATCH(Graphs!$CK319,Data!$A$4:$A$947,0),MATCH(Graphs!CT$4,Data!$P$3:$Z$3,0))="n.q.",NA(),INDEX(Data!$P$4:$Z$947,MATCH(Graphs!$CK319,Data!$A$4:$A$947,0),MATCH(Graphs!CT$4,Data!$P$3:$Z$3,0)))</f>
        <v>160</v>
      </c>
      <c r="CU319" s="24" t="str">
        <f t="array" ref="CU319">IF(INDEX(Data!$P$4:$Z$947,MATCH(Graphs!$CK319,Data!$A$4:$A$947,0),MATCH(Graphs!CU$4,Data!$P$3:$Z$3,0))="n.q.",NA(),INDEX(Data!$P$4:$Z$947,MATCH(Graphs!$CK319,Data!$A$4:$A$947,0),MATCH(Graphs!CU$4,Data!$P$3:$Z$3,0)))</f>
        <v>#N/A</v>
      </c>
      <c r="CV319" s="24" t="str">
        <f t="array" ref="CV319">IF(INDEX(Data!$P$4:$Z$947,MATCH(Graphs!$CK319,Data!$A$4:$A$947,0),MATCH(Graphs!CV$4,Data!$P$3:$Z$3,0))="n.q.",NA(),INDEX(Data!$P$4:$Z$947,MATCH(Graphs!$CK319,Data!$A$4:$A$947,0),MATCH(Graphs!CV$4,Data!$P$3:$Z$3,0)))</f>
        <v>#N/A</v>
      </c>
    </row>
    <row r="320" ht="14.25" customHeight="1"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5"/>
      <c r="CK320" s="22">
        <f>Data!A301</f>
        <v>43887</v>
      </c>
      <c r="CL320" s="24">
        <f t="array" ref="CL320">IF(INDEX(Data!$B$4:$L$947,MATCH(Graphs!$CK320,Data!$A$4:$A$947,0),MATCH(Graphs!CL$4,Data!$B$3:$L$3,0))="n.q.",NA(),INDEX(Data!$B$4:$L$947,MATCH(Graphs!$CK320,Data!$A$4:$A$947,0),MATCH(Graphs!CL$4,Data!$B$3:$L$3,0)))</f>
        <v>212.77</v>
      </c>
      <c r="CM320" s="24">
        <f t="array" ref="CM320">IF(INDEX(Data!$B$4:$L$947,MATCH(Graphs!$CK320,Data!$A$4:$A$947,0),MATCH(Graphs!CM$4,Data!$B$3:$L$3,0))="n.q.",NA(),INDEX(Data!$B$4:$L$947,MATCH(Graphs!$CK320,Data!$A$4:$A$947,0),MATCH(Graphs!CM$4,Data!$B$3:$L$3,0)))</f>
        <v>224.96</v>
      </c>
      <c r="CN320" s="24">
        <f t="array" ref="CN320">IF(INDEX(Data!$B$4:$L$947,MATCH(Graphs!$CK320,Data!$A$4:$A$947,0),MATCH(Graphs!CN$4,Data!$B$3:$L$3,0))="n.q.",NA(),INDEX(Data!$B$4:$L$947,MATCH(Graphs!$CK320,Data!$A$4:$A$947,0),MATCH(Graphs!CN$4,Data!$B$3:$L$3,0)))</f>
        <v>210</v>
      </c>
      <c r="CO320" s="24" t="str">
        <f t="array" ref="CO320">IF(INDEX(Data!$B$4:$L$947,MATCH(Graphs!$CK320,Data!$A$4:$A$947,0),MATCH(Graphs!CO$4,Data!$B$3:$L$3,0))="n.q.",NA(),INDEX(Data!$B$4:$L$947,MATCH(Graphs!$CK320,Data!$A$4:$A$947,0),MATCH(Graphs!CO$4,Data!$B$3:$L$3,0)))</f>
        <v>#N/A</v>
      </c>
      <c r="CP320" s="24" t="str">
        <f t="array" ref="CP320">IF(INDEX(Data!$B$4:$L$947,MATCH(Graphs!$CK320,Data!$A$4:$A$947,0),MATCH(Graphs!CP$4,Data!$B$3:$L$3,0))="n.q.",NA(),INDEX(Data!$B$4:$L$947,MATCH(Graphs!$CK320,Data!$A$4:$A$947,0),MATCH(Graphs!CP$4,Data!$B$3:$L$3,0)))</f>
        <v>#N/A</v>
      </c>
      <c r="CQ320" s="5"/>
      <c r="CR320" s="24">
        <f t="array" ref="CR320">IF(INDEX(Data!$P$4:$Z$947,MATCH(Graphs!$CK320,Data!$A$4:$A$947,0),MATCH(Graphs!CR$4,Data!$P$3:$Z$3,0))="n.q.",NA(),INDEX(Data!$P$4:$Z$947,MATCH(Graphs!$CK320,Data!$A$4:$A$947,0),MATCH(Graphs!CR$4,Data!$P$3:$Z$3,0)))</f>
        <v>159.8252874</v>
      </c>
      <c r="CS320" s="24">
        <f t="array" ref="CS320">IF(INDEX(Data!$P$4:$Z$947,MATCH(Graphs!$CK320,Data!$A$4:$A$947,0),MATCH(Graphs!CS$4,Data!$P$3:$Z$3,0))="n.q.",NA(),INDEX(Data!$P$4:$Z$947,MATCH(Graphs!$CK320,Data!$A$4:$A$947,0),MATCH(Graphs!CS$4,Data!$P$3:$Z$3,0)))</f>
        <v>172.76</v>
      </c>
      <c r="CT320" s="24">
        <f t="array" ref="CT320">IF(INDEX(Data!$P$4:$Z$947,MATCH(Graphs!$CK320,Data!$A$4:$A$947,0),MATCH(Graphs!CT$4,Data!$P$3:$Z$3,0))="n.q.",NA(),INDEX(Data!$P$4:$Z$947,MATCH(Graphs!$CK320,Data!$A$4:$A$947,0),MATCH(Graphs!CT$4,Data!$P$3:$Z$3,0)))</f>
        <v>161.8390805</v>
      </c>
      <c r="CU320" s="24" t="str">
        <f t="array" ref="CU320">IF(INDEX(Data!$P$4:$Z$947,MATCH(Graphs!$CK320,Data!$A$4:$A$947,0),MATCH(Graphs!CU$4,Data!$P$3:$Z$3,0))="n.q.",NA(),INDEX(Data!$P$4:$Z$947,MATCH(Graphs!$CK320,Data!$A$4:$A$947,0),MATCH(Graphs!CU$4,Data!$P$3:$Z$3,0)))</f>
        <v>#N/A</v>
      </c>
      <c r="CV320" s="24" t="str">
        <f t="array" ref="CV320">IF(INDEX(Data!$P$4:$Z$947,MATCH(Graphs!$CK320,Data!$A$4:$A$947,0),MATCH(Graphs!CV$4,Data!$P$3:$Z$3,0))="n.q.",NA(),INDEX(Data!$P$4:$Z$947,MATCH(Graphs!$CK320,Data!$A$4:$A$947,0),MATCH(Graphs!CV$4,Data!$P$3:$Z$3,0)))</f>
        <v>#N/A</v>
      </c>
    </row>
    <row r="321" ht="14.25" customHeight="1"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5"/>
      <c r="CK321" s="22">
        <f>Data!A302</f>
        <v>43880</v>
      </c>
      <c r="CL321" s="24">
        <f t="array" ref="CL321">IF(INDEX(Data!$B$4:$L$947,MATCH(Graphs!$CK321,Data!$A$4:$A$947,0),MATCH(Graphs!CL$4,Data!$B$3:$L$3,0))="n.q.",NA(),INDEX(Data!$B$4:$L$947,MATCH(Graphs!$CK321,Data!$A$4:$A$947,0),MATCH(Graphs!CL$4,Data!$B$3:$L$3,0)))</f>
        <v>216.72</v>
      </c>
      <c r="CM321" s="24">
        <f t="array" ref="CM321">IF(INDEX(Data!$B$4:$L$947,MATCH(Graphs!$CK321,Data!$A$4:$A$947,0),MATCH(Graphs!CM$4,Data!$B$3:$L$3,0))="n.q.",NA(),INDEX(Data!$B$4:$L$947,MATCH(Graphs!$CK321,Data!$A$4:$A$947,0),MATCH(Graphs!CM$4,Data!$B$3:$L$3,0)))</f>
        <v>233.23</v>
      </c>
      <c r="CN321" s="24">
        <f t="array" ref="CN321">IF(INDEX(Data!$B$4:$L$947,MATCH(Graphs!$CK321,Data!$A$4:$A$947,0),MATCH(Graphs!CN$4,Data!$B$3:$L$3,0))="n.q.",NA(),INDEX(Data!$B$4:$L$947,MATCH(Graphs!$CK321,Data!$A$4:$A$947,0),MATCH(Graphs!CN$4,Data!$B$3:$L$3,0)))</f>
        <v>214</v>
      </c>
      <c r="CO321" s="24" t="str">
        <f t="array" ref="CO321">IF(INDEX(Data!$B$4:$L$947,MATCH(Graphs!$CK321,Data!$A$4:$A$947,0),MATCH(Graphs!CO$4,Data!$B$3:$L$3,0))="n.q.",NA(),INDEX(Data!$B$4:$L$947,MATCH(Graphs!$CK321,Data!$A$4:$A$947,0),MATCH(Graphs!CO$4,Data!$B$3:$L$3,0)))</f>
        <v>#N/A</v>
      </c>
      <c r="CP321" s="24" t="str">
        <f t="array" ref="CP321">IF(INDEX(Data!$B$4:$L$947,MATCH(Graphs!$CK321,Data!$A$4:$A$947,0),MATCH(Graphs!CP$4,Data!$B$3:$L$3,0))="n.q.",NA(),INDEX(Data!$B$4:$L$947,MATCH(Graphs!$CK321,Data!$A$4:$A$947,0),MATCH(Graphs!CP$4,Data!$B$3:$L$3,0)))</f>
        <v>#N/A</v>
      </c>
      <c r="CQ321" s="5"/>
      <c r="CR321" s="24">
        <f t="array" ref="CR321">IF(INDEX(Data!$P$4:$Z$947,MATCH(Graphs!$CK321,Data!$A$4:$A$947,0),MATCH(Graphs!CR$4,Data!$P$3:$Z$3,0))="n.q.",NA(),INDEX(Data!$P$4:$Z$947,MATCH(Graphs!$CK321,Data!$A$4:$A$947,0),MATCH(Graphs!CR$4,Data!$P$3:$Z$3,0)))</f>
        <v>163.8518519</v>
      </c>
      <c r="CS321" s="24">
        <f t="array" ref="CS321">IF(INDEX(Data!$P$4:$Z$947,MATCH(Graphs!$CK321,Data!$A$4:$A$947,0),MATCH(Graphs!CS$4,Data!$P$3:$Z$3,0))="n.q.",NA(),INDEX(Data!$P$4:$Z$947,MATCH(Graphs!$CK321,Data!$A$4:$A$947,0),MATCH(Graphs!CS$4,Data!$P$3:$Z$3,0)))</f>
        <v>174.51</v>
      </c>
      <c r="CT321" s="24">
        <f t="array" ref="CT321">IF(INDEX(Data!$P$4:$Z$947,MATCH(Graphs!$CK321,Data!$A$4:$A$947,0),MATCH(Graphs!CT$4,Data!$P$3:$Z$3,0))="n.q.",NA(),INDEX(Data!$P$4:$Z$947,MATCH(Graphs!$CK321,Data!$A$4:$A$947,0),MATCH(Graphs!CT$4,Data!$P$3:$Z$3,0)))</f>
        <v>167.5925926</v>
      </c>
      <c r="CU321" s="24" t="str">
        <f t="array" ref="CU321">IF(INDEX(Data!$P$4:$Z$947,MATCH(Graphs!$CK321,Data!$A$4:$A$947,0),MATCH(Graphs!CU$4,Data!$P$3:$Z$3,0))="n.q.",NA(),INDEX(Data!$P$4:$Z$947,MATCH(Graphs!$CK321,Data!$A$4:$A$947,0),MATCH(Graphs!CU$4,Data!$P$3:$Z$3,0)))</f>
        <v>#N/A</v>
      </c>
      <c r="CV321" s="24" t="str">
        <f t="array" ref="CV321">IF(INDEX(Data!$P$4:$Z$947,MATCH(Graphs!$CK321,Data!$A$4:$A$947,0),MATCH(Graphs!CV$4,Data!$P$3:$Z$3,0))="n.q.",NA(),INDEX(Data!$P$4:$Z$947,MATCH(Graphs!$CK321,Data!$A$4:$A$947,0),MATCH(Graphs!CV$4,Data!$P$3:$Z$3,0)))</f>
        <v>#N/A</v>
      </c>
    </row>
    <row r="322" ht="14.25" customHeight="1"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5"/>
      <c r="CK322" s="22">
        <f>Data!A303</f>
        <v>43873</v>
      </c>
      <c r="CL322" s="24">
        <f t="array" ref="CL322">IF(INDEX(Data!$B$4:$L$947,MATCH(Graphs!$CK322,Data!$A$4:$A$947,0),MATCH(Graphs!CL$4,Data!$B$3:$L$3,0))="n.q.",NA(),INDEX(Data!$B$4:$L$947,MATCH(Graphs!$CK322,Data!$A$4:$A$947,0),MATCH(Graphs!CL$4,Data!$B$3:$L$3,0)))</f>
        <v>216.07</v>
      </c>
      <c r="CM322" s="24">
        <f t="array" ref="CM322">IF(INDEX(Data!$B$4:$L$947,MATCH(Graphs!$CK322,Data!$A$4:$A$947,0),MATCH(Graphs!CM$4,Data!$B$3:$L$3,0))="n.q.",NA(),INDEX(Data!$B$4:$L$947,MATCH(Graphs!$CK322,Data!$A$4:$A$947,0),MATCH(Graphs!CM$4,Data!$B$3:$L$3,0)))</f>
        <v>231.49</v>
      </c>
      <c r="CN322" s="24">
        <f t="array" ref="CN322">IF(INDEX(Data!$B$4:$L$947,MATCH(Graphs!$CK322,Data!$A$4:$A$947,0),MATCH(Graphs!CN$4,Data!$B$3:$L$3,0))="n.q.",NA(),INDEX(Data!$B$4:$L$947,MATCH(Graphs!$CK322,Data!$A$4:$A$947,0),MATCH(Graphs!CN$4,Data!$B$3:$L$3,0)))</f>
        <v>217</v>
      </c>
      <c r="CO322" s="24" t="str">
        <f t="array" ref="CO322">IF(INDEX(Data!$B$4:$L$947,MATCH(Graphs!$CK322,Data!$A$4:$A$947,0),MATCH(Graphs!CO$4,Data!$B$3:$L$3,0))="n.q.",NA(),INDEX(Data!$B$4:$L$947,MATCH(Graphs!$CK322,Data!$A$4:$A$947,0),MATCH(Graphs!CO$4,Data!$B$3:$L$3,0)))</f>
        <v>#N/A</v>
      </c>
      <c r="CP322" s="24" t="str">
        <f t="array" ref="CP322">IF(INDEX(Data!$B$4:$L$947,MATCH(Graphs!$CK322,Data!$A$4:$A$947,0),MATCH(Graphs!CP$4,Data!$B$3:$L$3,0))="n.q.",NA(),INDEX(Data!$B$4:$L$947,MATCH(Graphs!$CK322,Data!$A$4:$A$947,0),MATCH(Graphs!CP$4,Data!$B$3:$L$3,0)))</f>
        <v>#N/A</v>
      </c>
      <c r="CQ322" s="5"/>
      <c r="CR322" s="24">
        <f t="array" ref="CR322">IF(INDEX(Data!$P$4:$Z$947,MATCH(Graphs!$CK322,Data!$A$4:$A$947,0),MATCH(Graphs!CR$4,Data!$P$3:$Z$3,0))="n.q.",NA(),INDEX(Data!$P$4:$Z$947,MATCH(Graphs!$CK322,Data!$A$4:$A$947,0),MATCH(Graphs!CR$4,Data!$P$3:$Z$3,0)))</f>
        <v>162.323621</v>
      </c>
      <c r="CS322" s="24">
        <f t="array" ref="CS322">IF(INDEX(Data!$P$4:$Z$947,MATCH(Graphs!$CK322,Data!$A$4:$A$947,0),MATCH(Graphs!CS$4,Data!$P$3:$Z$3,0))="n.q.",NA(),INDEX(Data!$P$4:$Z$947,MATCH(Graphs!$CK322,Data!$A$4:$A$947,0),MATCH(Graphs!CS$4,Data!$P$3:$Z$3,0)))</f>
        <v>173.76</v>
      </c>
      <c r="CT322" s="24">
        <f t="array" ref="CT322">IF(INDEX(Data!$P$4:$Z$947,MATCH(Graphs!$CK322,Data!$A$4:$A$947,0),MATCH(Graphs!CT$4,Data!$P$3:$Z$3,0))="n.q.",NA(),INDEX(Data!$P$4:$Z$947,MATCH(Graphs!$CK322,Data!$A$4:$A$947,0),MATCH(Graphs!CT$4,Data!$P$3:$Z$3,0)))</f>
        <v>164.9257834</v>
      </c>
      <c r="CU322" s="24" t="str">
        <f t="array" ref="CU322">IF(INDEX(Data!$P$4:$Z$947,MATCH(Graphs!$CK322,Data!$A$4:$A$947,0),MATCH(Graphs!CU$4,Data!$P$3:$Z$3,0))="n.q.",NA(),INDEX(Data!$P$4:$Z$947,MATCH(Graphs!$CK322,Data!$A$4:$A$947,0),MATCH(Graphs!CU$4,Data!$P$3:$Z$3,0)))</f>
        <v>#N/A</v>
      </c>
      <c r="CV322" s="24" t="str">
        <f t="array" ref="CV322">IF(INDEX(Data!$P$4:$Z$947,MATCH(Graphs!$CK322,Data!$A$4:$A$947,0),MATCH(Graphs!CV$4,Data!$P$3:$Z$3,0))="n.q.",NA(),INDEX(Data!$P$4:$Z$947,MATCH(Graphs!$CK322,Data!$A$4:$A$947,0),MATCH(Graphs!CV$4,Data!$P$3:$Z$3,0)))</f>
        <v>#N/A</v>
      </c>
    </row>
    <row r="323" ht="14.25" customHeight="1"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5"/>
      <c r="CK323" s="22">
        <f>Data!A304</f>
        <v>43866</v>
      </c>
      <c r="CL323" s="24">
        <f t="array" ref="CL323">IF(INDEX(Data!$B$4:$L$947,MATCH(Graphs!$CK323,Data!$A$4:$A$947,0),MATCH(Graphs!CL$4,Data!$B$3:$L$3,0))="n.q.",NA(),INDEX(Data!$B$4:$L$947,MATCH(Graphs!$CK323,Data!$A$4:$A$947,0),MATCH(Graphs!CL$4,Data!$B$3:$L$3,0)))</f>
        <v>218.74</v>
      </c>
      <c r="CM323" s="24">
        <f t="array" ref="CM323">IF(INDEX(Data!$B$4:$L$947,MATCH(Graphs!$CK323,Data!$A$4:$A$947,0),MATCH(Graphs!CM$4,Data!$B$3:$L$3,0))="n.q.",NA(),INDEX(Data!$B$4:$L$947,MATCH(Graphs!$CK323,Data!$A$4:$A$947,0),MATCH(Graphs!CM$4,Data!$B$3:$L$3,0)))</f>
        <v>232.5</v>
      </c>
      <c r="CN323" s="24">
        <f t="array" ref="CN323">IF(INDEX(Data!$B$4:$L$947,MATCH(Graphs!$CK323,Data!$A$4:$A$947,0),MATCH(Graphs!CN$4,Data!$B$3:$L$3,0))="n.q.",NA(),INDEX(Data!$B$4:$L$947,MATCH(Graphs!$CK323,Data!$A$4:$A$947,0),MATCH(Graphs!CN$4,Data!$B$3:$L$3,0)))</f>
        <v>221</v>
      </c>
      <c r="CO323" s="24" t="str">
        <f t="array" ref="CO323">IF(INDEX(Data!$B$4:$L$947,MATCH(Graphs!$CK323,Data!$A$4:$A$947,0),MATCH(Graphs!CO$4,Data!$B$3:$L$3,0))="n.q.",NA(),INDEX(Data!$B$4:$L$947,MATCH(Graphs!$CK323,Data!$A$4:$A$947,0),MATCH(Graphs!CO$4,Data!$B$3:$L$3,0)))</f>
        <v>#N/A</v>
      </c>
      <c r="CP323" s="24" t="str">
        <f t="array" ref="CP323">IF(INDEX(Data!$B$4:$L$947,MATCH(Graphs!$CK323,Data!$A$4:$A$947,0),MATCH(Graphs!CP$4,Data!$B$3:$L$3,0))="n.q.",NA(),INDEX(Data!$B$4:$L$947,MATCH(Graphs!$CK323,Data!$A$4:$A$947,0),MATCH(Graphs!CP$4,Data!$B$3:$L$3,0)))</f>
        <v>#N/A</v>
      </c>
      <c r="CQ323" s="5"/>
      <c r="CR323" s="24">
        <f t="array" ref="CR323">IF(INDEX(Data!$P$4:$Z$947,MATCH(Graphs!$CK323,Data!$A$4:$A$947,0),MATCH(Graphs!CR$4,Data!$P$3:$Z$3,0))="n.q.",NA(),INDEX(Data!$P$4:$Z$947,MATCH(Graphs!$CK323,Data!$A$4:$A$947,0),MATCH(Graphs!CR$4,Data!$P$3:$Z$3,0)))</f>
        <v>160.2649007</v>
      </c>
      <c r="CS323" s="24">
        <f t="array" ref="CS323">IF(INDEX(Data!$P$4:$Z$947,MATCH(Graphs!$CK323,Data!$A$4:$A$947,0),MATCH(Graphs!CS$4,Data!$P$3:$Z$3,0))="n.q.",NA(),INDEX(Data!$P$4:$Z$947,MATCH(Graphs!$CK323,Data!$A$4:$A$947,0),MATCH(Graphs!CS$4,Data!$P$3:$Z$3,0)))</f>
        <v>175.01</v>
      </c>
      <c r="CT323" s="24">
        <f t="array" ref="CT323">IF(INDEX(Data!$P$4:$Z$947,MATCH(Graphs!$CK323,Data!$A$4:$A$947,0),MATCH(Graphs!CT$4,Data!$P$3:$Z$3,0))="n.q.",NA(),INDEX(Data!$P$4:$Z$947,MATCH(Graphs!$CK323,Data!$A$4:$A$947,0),MATCH(Graphs!CT$4,Data!$P$3:$Z$3,0)))</f>
        <v>166.470108</v>
      </c>
      <c r="CU323" s="24" t="str">
        <f t="array" ref="CU323">IF(INDEX(Data!$P$4:$Z$947,MATCH(Graphs!$CK323,Data!$A$4:$A$947,0),MATCH(Graphs!CU$4,Data!$P$3:$Z$3,0))="n.q.",NA(),INDEX(Data!$P$4:$Z$947,MATCH(Graphs!$CK323,Data!$A$4:$A$947,0),MATCH(Graphs!CU$4,Data!$P$3:$Z$3,0)))</f>
        <v>#N/A</v>
      </c>
      <c r="CV323" s="24" t="str">
        <f t="array" ref="CV323">IF(INDEX(Data!$P$4:$Z$947,MATCH(Graphs!$CK323,Data!$A$4:$A$947,0),MATCH(Graphs!CV$4,Data!$P$3:$Z$3,0))="n.q.",NA(),INDEX(Data!$P$4:$Z$947,MATCH(Graphs!$CK323,Data!$A$4:$A$947,0),MATCH(Graphs!CV$4,Data!$P$3:$Z$3,0)))</f>
        <v>#N/A</v>
      </c>
    </row>
    <row r="324" ht="14.25" customHeight="1"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5"/>
      <c r="CK324" s="22">
        <f>Data!A305</f>
        <v>43859</v>
      </c>
      <c r="CL324" s="24">
        <f t="array" ref="CL324">IF(INDEX(Data!$B$4:$L$947,MATCH(Graphs!$CK324,Data!$A$4:$A$947,0),MATCH(Graphs!CL$4,Data!$B$3:$L$3,0))="n.q.",NA(),INDEX(Data!$B$4:$L$947,MATCH(Graphs!$CK324,Data!$A$4:$A$947,0),MATCH(Graphs!CL$4,Data!$B$3:$L$3,0)))</f>
        <v>216.54</v>
      </c>
      <c r="CM324" s="24">
        <f t="array" ref="CM324">IF(INDEX(Data!$B$4:$L$947,MATCH(Graphs!$CK324,Data!$A$4:$A$947,0),MATCH(Graphs!CM$4,Data!$B$3:$L$3,0))="n.q.",NA(),INDEX(Data!$B$4:$L$947,MATCH(Graphs!$CK324,Data!$A$4:$A$947,0),MATCH(Graphs!CM$4,Data!$B$3:$L$3,0)))</f>
        <v>232.22</v>
      </c>
      <c r="CN324" s="24">
        <f t="array" ref="CN324">IF(INDEX(Data!$B$4:$L$947,MATCH(Graphs!$CK324,Data!$A$4:$A$947,0),MATCH(Graphs!CN$4,Data!$B$3:$L$3,0))="n.q.",NA(),INDEX(Data!$B$4:$L$947,MATCH(Graphs!$CK324,Data!$A$4:$A$947,0),MATCH(Graphs!CN$4,Data!$B$3:$L$3,0)))</f>
        <v>223</v>
      </c>
      <c r="CO324" s="24" t="str">
        <f t="array" ref="CO324">IF(INDEX(Data!$B$4:$L$947,MATCH(Graphs!$CK324,Data!$A$4:$A$947,0),MATCH(Graphs!CO$4,Data!$B$3:$L$3,0))="n.q.",NA(),INDEX(Data!$B$4:$L$947,MATCH(Graphs!$CK324,Data!$A$4:$A$947,0),MATCH(Graphs!CO$4,Data!$B$3:$L$3,0)))</f>
        <v>#N/A</v>
      </c>
      <c r="CP324" s="24" t="str">
        <f t="array" ref="CP324">IF(INDEX(Data!$B$4:$L$947,MATCH(Graphs!$CK324,Data!$A$4:$A$947,0),MATCH(Graphs!CP$4,Data!$B$3:$L$3,0))="n.q.",NA(),INDEX(Data!$B$4:$L$947,MATCH(Graphs!$CK324,Data!$A$4:$A$947,0),MATCH(Graphs!CP$4,Data!$B$3:$L$3,0)))</f>
        <v>#N/A</v>
      </c>
      <c r="CQ324" s="5"/>
      <c r="CR324" s="24">
        <f t="array" ref="CR324">IF(INDEX(Data!$P$4:$Z$947,MATCH(Graphs!$CK324,Data!$A$4:$A$947,0),MATCH(Graphs!CR$4,Data!$P$3:$Z$3,0))="n.q.",NA(),INDEX(Data!$P$4:$Z$947,MATCH(Graphs!$CK324,Data!$A$4:$A$947,0),MATCH(Graphs!CR$4,Data!$P$3:$Z$3,0)))</f>
        <v>161.4853195</v>
      </c>
      <c r="CS324" s="24">
        <f t="array" ref="CS324">IF(INDEX(Data!$P$4:$Z$947,MATCH(Graphs!$CK324,Data!$A$4:$A$947,0),MATCH(Graphs!CS$4,Data!$P$3:$Z$3,0))="n.q.",NA(),INDEX(Data!$P$4:$Z$947,MATCH(Graphs!$CK324,Data!$A$4:$A$947,0),MATCH(Graphs!CS$4,Data!$P$3:$Z$3,0)))</f>
        <v>174.18</v>
      </c>
      <c r="CT324" s="24">
        <f t="array" ref="CT324">IF(INDEX(Data!$P$4:$Z$947,MATCH(Graphs!$CK324,Data!$A$4:$A$947,0),MATCH(Graphs!CT$4,Data!$P$3:$Z$3,0))="n.q.",NA(),INDEX(Data!$P$4:$Z$947,MATCH(Graphs!$CK324,Data!$A$4:$A$947,0),MATCH(Graphs!CT$4,Data!$P$3:$Z$3,0)))</f>
        <v>168.1665303</v>
      </c>
      <c r="CU324" s="24" t="str">
        <f t="array" ref="CU324">IF(INDEX(Data!$P$4:$Z$947,MATCH(Graphs!$CK324,Data!$A$4:$A$947,0),MATCH(Graphs!CU$4,Data!$P$3:$Z$3,0))="n.q.",NA(),INDEX(Data!$P$4:$Z$947,MATCH(Graphs!$CK324,Data!$A$4:$A$947,0),MATCH(Graphs!CU$4,Data!$P$3:$Z$3,0)))</f>
        <v>#N/A</v>
      </c>
      <c r="CV324" s="24" t="str">
        <f t="array" ref="CV324">IF(INDEX(Data!$P$4:$Z$947,MATCH(Graphs!$CK324,Data!$A$4:$A$947,0),MATCH(Graphs!CV$4,Data!$P$3:$Z$3,0))="n.q.",NA(),INDEX(Data!$P$4:$Z$947,MATCH(Graphs!$CK324,Data!$A$4:$A$947,0),MATCH(Graphs!CV$4,Data!$P$3:$Z$3,0)))</f>
        <v>#N/A</v>
      </c>
    </row>
    <row r="325" ht="14.25" customHeight="1"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5"/>
      <c r="CK325" s="22">
        <f>Data!A306</f>
        <v>43852</v>
      </c>
      <c r="CL325" s="24">
        <f t="array" ref="CL325">IF(INDEX(Data!$B$4:$L$947,MATCH(Graphs!$CK325,Data!$A$4:$A$947,0),MATCH(Graphs!CL$4,Data!$B$3:$L$3,0))="n.q.",NA(),INDEX(Data!$B$4:$L$947,MATCH(Graphs!$CK325,Data!$A$4:$A$947,0),MATCH(Graphs!CL$4,Data!$B$3:$L$3,0)))</f>
        <v>224.14</v>
      </c>
      <c r="CM325" s="24">
        <f t="array" ref="CM325">IF(INDEX(Data!$B$4:$L$947,MATCH(Graphs!$CK325,Data!$A$4:$A$947,0),MATCH(Graphs!CM$4,Data!$B$3:$L$3,0))="n.q.",NA(),INDEX(Data!$B$4:$L$947,MATCH(Graphs!$CK325,Data!$A$4:$A$947,0),MATCH(Graphs!CM$4,Data!$B$3:$L$3,0)))</f>
        <v>236.08</v>
      </c>
      <c r="CN325" s="24">
        <f t="array" ref="CN325">IF(INDEX(Data!$B$4:$L$947,MATCH(Graphs!$CK325,Data!$A$4:$A$947,0),MATCH(Graphs!CN$4,Data!$B$3:$L$3,0))="n.q.",NA(),INDEX(Data!$B$4:$L$947,MATCH(Graphs!$CK325,Data!$A$4:$A$947,0),MATCH(Graphs!CN$4,Data!$B$3:$L$3,0)))</f>
        <v>223</v>
      </c>
      <c r="CO325" s="24" t="str">
        <f t="array" ref="CO325">IF(INDEX(Data!$B$4:$L$947,MATCH(Graphs!$CK325,Data!$A$4:$A$947,0),MATCH(Graphs!CO$4,Data!$B$3:$L$3,0))="n.q.",NA(),INDEX(Data!$B$4:$L$947,MATCH(Graphs!$CK325,Data!$A$4:$A$947,0),MATCH(Graphs!CO$4,Data!$B$3:$L$3,0)))</f>
        <v>#N/A</v>
      </c>
      <c r="CP325" s="24" t="str">
        <f t="array" ref="CP325">IF(INDEX(Data!$B$4:$L$947,MATCH(Graphs!$CK325,Data!$A$4:$A$947,0),MATCH(Graphs!CP$4,Data!$B$3:$L$3,0))="n.q.",NA(),INDEX(Data!$B$4:$L$947,MATCH(Graphs!$CK325,Data!$A$4:$A$947,0),MATCH(Graphs!CP$4,Data!$B$3:$L$3,0)))</f>
        <v>#N/A</v>
      </c>
      <c r="CQ325" s="5"/>
      <c r="CR325" s="24">
        <f t="array" ref="CR325">IF(INDEX(Data!$P$4:$Z$947,MATCH(Graphs!$CK325,Data!$A$4:$A$947,0),MATCH(Graphs!CR$4,Data!$P$3:$Z$3,0))="n.q.",NA(),INDEX(Data!$P$4:$Z$947,MATCH(Graphs!$CK325,Data!$A$4:$A$947,0),MATCH(Graphs!CR$4,Data!$P$3:$Z$3,0)))</f>
        <v>161.8145743</v>
      </c>
      <c r="CS325" s="24">
        <f t="array" ref="CS325">IF(INDEX(Data!$P$4:$Z$947,MATCH(Graphs!$CK325,Data!$A$4:$A$947,0),MATCH(Graphs!CS$4,Data!$P$3:$Z$3,0))="n.q.",NA(),INDEX(Data!$P$4:$Z$947,MATCH(Graphs!$CK325,Data!$A$4:$A$947,0),MATCH(Graphs!CS$4,Data!$P$3:$Z$3,0)))</f>
        <v>176.08</v>
      </c>
      <c r="CT325" s="24">
        <f t="array" ref="CT325">IF(INDEX(Data!$P$4:$Z$947,MATCH(Graphs!$CK325,Data!$A$4:$A$947,0),MATCH(Graphs!CT$4,Data!$P$3:$Z$3,0))="n.q.",NA(),INDEX(Data!$P$4:$Z$947,MATCH(Graphs!$CK325,Data!$A$4:$A$947,0),MATCH(Graphs!CT$4,Data!$P$3:$Z$3,0)))</f>
        <v>164.1414141</v>
      </c>
      <c r="CU325" s="24" t="str">
        <f t="array" ref="CU325">IF(INDEX(Data!$P$4:$Z$947,MATCH(Graphs!$CK325,Data!$A$4:$A$947,0),MATCH(Graphs!CU$4,Data!$P$3:$Z$3,0))="n.q.",NA(),INDEX(Data!$P$4:$Z$947,MATCH(Graphs!$CK325,Data!$A$4:$A$947,0),MATCH(Graphs!CU$4,Data!$P$3:$Z$3,0)))</f>
        <v>#N/A</v>
      </c>
      <c r="CV325" s="24" t="str">
        <f t="array" ref="CV325">IF(INDEX(Data!$P$4:$Z$947,MATCH(Graphs!$CK325,Data!$A$4:$A$947,0),MATCH(Graphs!CV$4,Data!$P$3:$Z$3,0))="n.q.",NA(),INDEX(Data!$P$4:$Z$947,MATCH(Graphs!$CK325,Data!$A$4:$A$947,0),MATCH(Graphs!CV$4,Data!$P$3:$Z$3,0)))</f>
        <v>#N/A</v>
      </c>
    </row>
    <row r="326" ht="14.25" customHeight="1"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5"/>
      <c r="CK326" s="22">
        <f>Data!A307</f>
        <v>43845</v>
      </c>
      <c r="CL326" s="24">
        <f t="array" ref="CL326">IF(INDEX(Data!$B$4:$L$947,MATCH(Graphs!$CK326,Data!$A$4:$A$947,0),MATCH(Graphs!CL$4,Data!$B$3:$L$3,0))="n.q.",NA(),INDEX(Data!$B$4:$L$947,MATCH(Graphs!$CK326,Data!$A$4:$A$947,0),MATCH(Graphs!CL$4,Data!$B$3:$L$3,0)))</f>
        <v>225.14</v>
      </c>
      <c r="CM326" s="24">
        <f t="array" ref="CM326">IF(INDEX(Data!$B$4:$L$947,MATCH(Graphs!$CK326,Data!$A$4:$A$947,0),MATCH(Graphs!CM$4,Data!$B$3:$L$3,0))="n.q.",NA(),INDEX(Data!$B$4:$L$947,MATCH(Graphs!$CK326,Data!$A$4:$A$947,0),MATCH(Graphs!CM$4,Data!$B$3:$L$3,0)))</f>
        <v>239.39</v>
      </c>
      <c r="CN326" s="24">
        <f t="array" ref="CN326">IF(INDEX(Data!$B$4:$L$947,MATCH(Graphs!$CK326,Data!$A$4:$A$947,0),MATCH(Graphs!CN$4,Data!$B$3:$L$3,0))="n.q.",NA(),INDEX(Data!$B$4:$L$947,MATCH(Graphs!$CK326,Data!$A$4:$A$947,0),MATCH(Graphs!CN$4,Data!$B$3:$L$3,0)))</f>
        <v>217</v>
      </c>
      <c r="CO326" s="24" t="str">
        <f t="array" ref="CO326">IF(INDEX(Data!$B$4:$L$947,MATCH(Graphs!$CK326,Data!$A$4:$A$947,0),MATCH(Graphs!CO$4,Data!$B$3:$L$3,0))="n.q.",NA(),INDEX(Data!$B$4:$L$947,MATCH(Graphs!$CK326,Data!$A$4:$A$947,0),MATCH(Graphs!CO$4,Data!$B$3:$L$3,0)))</f>
        <v>#N/A</v>
      </c>
      <c r="CP326" s="24" t="str">
        <f t="array" ref="CP326">IF(INDEX(Data!$B$4:$L$947,MATCH(Graphs!$CK326,Data!$A$4:$A$947,0),MATCH(Graphs!CP$4,Data!$B$3:$L$3,0))="n.q.",NA(),INDEX(Data!$B$4:$L$947,MATCH(Graphs!$CK326,Data!$A$4:$A$947,0),MATCH(Graphs!CP$4,Data!$B$3:$L$3,0)))</f>
        <v>#N/A</v>
      </c>
      <c r="CQ326" s="5"/>
      <c r="CR326" s="24">
        <f t="array" ref="CR326">IF(INDEX(Data!$P$4:$Z$947,MATCH(Graphs!$CK326,Data!$A$4:$A$947,0),MATCH(Graphs!CR$4,Data!$P$3:$Z$3,0))="n.q.",NA(),INDEX(Data!$P$4:$Z$947,MATCH(Graphs!$CK326,Data!$A$4:$A$947,0),MATCH(Graphs!CR$4,Data!$P$3:$Z$3,0)))</f>
        <v>159.5315024</v>
      </c>
      <c r="CS326" s="24">
        <f t="array" ref="CS326">IF(INDEX(Data!$P$4:$Z$947,MATCH(Graphs!$CK326,Data!$A$4:$A$947,0),MATCH(Graphs!CS$4,Data!$P$3:$Z$3,0))="n.q.",NA(),INDEX(Data!$P$4:$Z$947,MATCH(Graphs!$CK326,Data!$A$4:$A$947,0),MATCH(Graphs!CS$4,Data!$P$3:$Z$3,0)))</f>
        <v>176.83</v>
      </c>
      <c r="CT326" s="24">
        <f t="array" ref="CT326">IF(INDEX(Data!$P$4:$Z$947,MATCH(Graphs!$CK326,Data!$A$4:$A$947,0),MATCH(Graphs!CT$4,Data!$P$3:$Z$3,0))="n.q.",NA(),INDEX(Data!$P$4:$Z$947,MATCH(Graphs!$CK326,Data!$A$4:$A$947,0),MATCH(Graphs!CT$4,Data!$P$3:$Z$3,0)))</f>
        <v>161.5508885</v>
      </c>
      <c r="CU326" s="24" t="str">
        <f t="array" ref="CU326">IF(INDEX(Data!$P$4:$Z$947,MATCH(Graphs!$CK326,Data!$A$4:$A$947,0),MATCH(Graphs!CU$4,Data!$P$3:$Z$3,0))="n.q.",NA(),INDEX(Data!$P$4:$Z$947,MATCH(Graphs!$CK326,Data!$A$4:$A$947,0),MATCH(Graphs!CU$4,Data!$P$3:$Z$3,0)))</f>
        <v>#N/A</v>
      </c>
      <c r="CV326" s="24" t="str">
        <f t="array" ref="CV326">IF(INDEX(Data!$P$4:$Z$947,MATCH(Graphs!$CK326,Data!$A$4:$A$947,0),MATCH(Graphs!CV$4,Data!$P$3:$Z$3,0))="n.q.",NA(),INDEX(Data!$P$4:$Z$947,MATCH(Graphs!$CK326,Data!$A$4:$A$947,0),MATCH(Graphs!CV$4,Data!$P$3:$Z$3,0)))</f>
        <v>#N/A</v>
      </c>
    </row>
    <row r="327" ht="14.25" customHeight="1"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5"/>
      <c r="CK327" s="22">
        <f>Data!A308</f>
        <v>43838</v>
      </c>
      <c r="CL327" s="24">
        <f t="array" ref="CL327">IF(INDEX(Data!$B$4:$L$947,MATCH(Graphs!$CK327,Data!$A$4:$A$947,0),MATCH(Graphs!CL$4,Data!$B$3:$L$3,0))="n.q.",NA(),INDEX(Data!$B$4:$L$947,MATCH(Graphs!$CK327,Data!$A$4:$A$947,0),MATCH(Graphs!CL$4,Data!$B$3:$L$3,0)))</f>
        <v>217.81</v>
      </c>
      <c r="CM327" s="24">
        <f t="array" ref="CM327">IF(INDEX(Data!$B$4:$L$947,MATCH(Graphs!$CK327,Data!$A$4:$A$947,0),MATCH(Graphs!CM$4,Data!$B$3:$L$3,0))="n.q.",NA(),INDEX(Data!$B$4:$L$947,MATCH(Graphs!$CK327,Data!$A$4:$A$947,0),MATCH(Graphs!CM$4,Data!$B$3:$L$3,0)))</f>
        <v>234.79</v>
      </c>
      <c r="CN327" s="24">
        <f t="array" ref="CN327">IF(INDEX(Data!$B$4:$L$947,MATCH(Graphs!$CK327,Data!$A$4:$A$947,0),MATCH(Graphs!CN$4,Data!$B$3:$L$3,0))="n.q.",NA(),INDEX(Data!$B$4:$L$947,MATCH(Graphs!$CK327,Data!$A$4:$A$947,0),MATCH(Graphs!CN$4,Data!$B$3:$L$3,0)))</f>
        <v>211</v>
      </c>
      <c r="CO327" s="24" t="str">
        <f t="array" ref="CO327">IF(INDEX(Data!$B$4:$L$947,MATCH(Graphs!$CK327,Data!$A$4:$A$947,0),MATCH(Graphs!CO$4,Data!$B$3:$L$3,0))="n.q.",NA(),INDEX(Data!$B$4:$L$947,MATCH(Graphs!$CK327,Data!$A$4:$A$947,0),MATCH(Graphs!CO$4,Data!$B$3:$L$3,0)))</f>
        <v>#N/A</v>
      </c>
      <c r="CP327" s="24" t="str">
        <f t="array" ref="CP327">IF(INDEX(Data!$B$4:$L$947,MATCH(Graphs!$CK327,Data!$A$4:$A$947,0),MATCH(Graphs!CP$4,Data!$B$3:$L$3,0))="n.q.",NA(),INDEX(Data!$B$4:$L$947,MATCH(Graphs!$CK327,Data!$A$4:$A$947,0),MATCH(Graphs!CP$4,Data!$B$3:$L$3,0)))</f>
        <v>#N/A</v>
      </c>
      <c r="CQ327" s="5"/>
      <c r="CR327" s="24">
        <f t="array" ref="CR327">IF(INDEX(Data!$P$4:$Z$947,MATCH(Graphs!$CK327,Data!$A$4:$A$947,0),MATCH(Graphs!CR$4,Data!$P$3:$Z$3,0))="n.q.",NA(),INDEX(Data!$P$4:$Z$947,MATCH(Graphs!$CK327,Data!$A$4:$A$947,0),MATCH(Graphs!CR$4,Data!$P$3:$Z$3,0)))</f>
        <v>157.705803</v>
      </c>
      <c r="CS327" s="24">
        <f t="array" ref="CS327">IF(INDEX(Data!$P$4:$Z$947,MATCH(Graphs!$CK327,Data!$A$4:$A$947,0),MATCH(Graphs!CS$4,Data!$P$3:$Z$3,0))="n.q.",NA(),INDEX(Data!$P$4:$Z$947,MATCH(Graphs!$CK327,Data!$A$4:$A$947,0),MATCH(Graphs!CS$4,Data!$P$3:$Z$3,0)))</f>
        <v>174.33</v>
      </c>
      <c r="CT327" s="24">
        <f t="array" ref="CT327">IF(INDEX(Data!$P$4:$Z$947,MATCH(Graphs!$CK327,Data!$A$4:$A$947,0),MATCH(Graphs!CT$4,Data!$P$3:$Z$3,0))="n.q.",NA(),INDEX(Data!$P$4:$Z$947,MATCH(Graphs!$CK327,Data!$A$4:$A$947,0),MATCH(Graphs!CT$4,Data!$P$3:$Z$3,0)))</f>
        <v>159.2442645</v>
      </c>
      <c r="CU327" s="24" t="str">
        <f t="array" ref="CU327">IF(INDEX(Data!$P$4:$Z$947,MATCH(Graphs!$CK327,Data!$A$4:$A$947,0),MATCH(Graphs!CU$4,Data!$P$3:$Z$3,0))="n.q.",NA(),INDEX(Data!$P$4:$Z$947,MATCH(Graphs!$CK327,Data!$A$4:$A$947,0),MATCH(Graphs!CU$4,Data!$P$3:$Z$3,0)))</f>
        <v>#N/A</v>
      </c>
      <c r="CV327" s="24" t="str">
        <f t="array" ref="CV327">IF(INDEX(Data!$P$4:$Z$947,MATCH(Graphs!$CK327,Data!$A$4:$A$947,0),MATCH(Graphs!CV$4,Data!$P$3:$Z$3,0))="n.q.",NA(),INDEX(Data!$P$4:$Z$947,MATCH(Graphs!$CK327,Data!$A$4:$A$947,0),MATCH(Graphs!CV$4,Data!$P$3:$Z$3,0)))</f>
        <v>#N/A</v>
      </c>
    </row>
    <row r="328" ht="14.25" customHeight="1"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5"/>
      <c r="CK328" s="22">
        <f>Data!A309</f>
        <v>43831</v>
      </c>
      <c r="CL328" s="24">
        <f t="array" ref="CL328">IF(INDEX(Data!$B$4:$L$947,MATCH(Graphs!$CK328,Data!$A$4:$A$947,0),MATCH(Graphs!CL$4,Data!$B$3:$L$3,0))="n.q.",NA(),INDEX(Data!$B$4:$L$947,MATCH(Graphs!$CK328,Data!$A$4:$A$947,0),MATCH(Graphs!CL$4,Data!$B$3:$L$3,0)))</f>
        <v>218.18</v>
      </c>
      <c r="CM328" s="24">
        <f t="array" ref="CM328">IF(INDEX(Data!$B$4:$L$947,MATCH(Graphs!$CK328,Data!$A$4:$A$947,0),MATCH(Graphs!CM$4,Data!$B$3:$L$3,0))="n.q.",NA(),INDEX(Data!$B$4:$L$947,MATCH(Graphs!$CK328,Data!$A$4:$A$947,0),MATCH(Graphs!CM$4,Data!$B$3:$L$3,0)))</f>
        <v>237.36</v>
      </c>
      <c r="CN328" s="24">
        <f t="array" ref="CN328">IF(INDEX(Data!$B$4:$L$947,MATCH(Graphs!$CK328,Data!$A$4:$A$947,0),MATCH(Graphs!CN$4,Data!$B$3:$L$3,0))="n.q.",NA(),INDEX(Data!$B$4:$L$947,MATCH(Graphs!$CK328,Data!$A$4:$A$947,0),MATCH(Graphs!CN$4,Data!$B$3:$L$3,0)))</f>
        <v>206</v>
      </c>
      <c r="CO328" s="24" t="str">
        <f t="array" ref="CO328">IF(INDEX(Data!$B$4:$L$947,MATCH(Graphs!$CK328,Data!$A$4:$A$947,0),MATCH(Graphs!CO$4,Data!$B$3:$L$3,0))="n.q.",NA(),INDEX(Data!$B$4:$L$947,MATCH(Graphs!$CK328,Data!$A$4:$A$947,0),MATCH(Graphs!CO$4,Data!$B$3:$L$3,0)))</f>
        <v>#N/A</v>
      </c>
      <c r="CP328" s="24" t="str">
        <f t="array" ref="CP328">IF(INDEX(Data!$B$4:$L$947,MATCH(Graphs!$CK328,Data!$A$4:$A$947,0),MATCH(Graphs!CP$4,Data!$B$3:$L$3,0))="n.q.",NA(),INDEX(Data!$B$4:$L$947,MATCH(Graphs!$CK328,Data!$A$4:$A$947,0),MATCH(Graphs!CP$4,Data!$B$3:$L$3,0)))</f>
        <v>#N/A</v>
      </c>
      <c r="CQ328" s="5"/>
      <c r="CR328" s="24">
        <f t="array" ref="CR328">IF(INDEX(Data!$P$4:$Z$947,MATCH(Graphs!$CK328,Data!$A$4:$A$947,0),MATCH(Graphs!CR$4,Data!$P$3:$Z$3,0))="n.q.",NA(),INDEX(Data!$P$4:$Z$947,MATCH(Graphs!$CK328,Data!$A$4:$A$947,0),MATCH(Graphs!CR$4,Data!$P$3:$Z$3,0)))</f>
        <v>156.2043796</v>
      </c>
      <c r="CS328" s="24" t="str">
        <f t="array" ref="CS328">IF(INDEX(Data!$P$4:$Z$947,MATCH(Graphs!$CK328,Data!$A$4:$A$947,0),MATCH(Graphs!CS$4,Data!$P$3:$Z$3,0))="n.q.",NA(),INDEX(Data!$P$4:$Z$947,MATCH(Graphs!$CK328,Data!$A$4:$A$947,0),MATCH(Graphs!CS$4,Data!$P$3:$Z$3,0)))</f>
        <v>#N/A</v>
      </c>
      <c r="CT328" s="24">
        <f t="array" ref="CT328">IF(INDEX(Data!$P$4:$Z$947,MATCH(Graphs!$CK328,Data!$A$4:$A$947,0),MATCH(Graphs!CT$4,Data!$P$3:$Z$3,0))="n.q.",NA(),INDEX(Data!$P$4:$Z$947,MATCH(Graphs!$CK328,Data!$A$4:$A$947,0),MATCH(Graphs!CT$4,Data!$P$3:$Z$3,0)))</f>
        <v>155.7771052</v>
      </c>
      <c r="CU328" s="24" t="str">
        <f t="array" ref="CU328">IF(INDEX(Data!$P$4:$Z$947,MATCH(Graphs!$CK328,Data!$A$4:$A$947,0),MATCH(Graphs!CU$4,Data!$P$3:$Z$3,0))="n.q.",NA(),INDEX(Data!$P$4:$Z$947,MATCH(Graphs!$CK328,Data!$A$4:$A$947,0),MATCH(Graphs!CU$4,Data!$P$3:$Z$3,0)))</f>
        <v>#N/A</v>
      </c>
      <c r="CV328" s="24" t="str">
        <f t="array" ref="CV328">IF(INDEX(Data!$P$4:$Z$947,MATCH(Graphs!$CK328,Data!$A$4:$A$947,0),MATCH(Graphs!CV$4,Data!$P$3:$Z$3,0))="n.q.",NA(),INDEX(Data!$P$4:$Z$947,MATCH(Graphs!$CK328,Data!$A$4:$A$947,0),MATCH(Graphs!CV$4,Data!$P$3:$Z$3,0)))</f>
        <v>#N/A</v>
      </c>
    </row>
    <row r="329" ht="14.25" customHeight="1"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5"/>
      <c r="CK329" s="22">
        <f>Data!A310</f>
        <v>43824</v>
      </c>
      <c r="CL329" s="24">
        <f t="array" ref="CL329">IF(INDEX(Data!$B$4:$L$947,MATCH(Graphs!$CK329,Data!$A$4:$A$947,0),MATCH(Graphs!CL$4,Data!$B$3:$L$3,0))="n.q.",NA(),INDEX(Data!$B$4:$L$947,MATCH(Graphs!$CK329,Data!$A$4:$A$947,0),MATCH(Graphs!CL$4,Data!$B$3:$L$3,0)))</f>
        <v>212.32</v>
      </c>
      <c r="CM329" s="24">
        <f t="array" ref="CM329">IF(INDEX(Data!$B$4:$L$947,MATCH(Graphs!$CK329,Data!$A$4:$A$947,0),MATCH(Graphs!CM$4,Data!$B$3:$L$3,0))="n.q.",NA(),INDEX(Data!$B$4:$L$947,MATCH(Graphs!$CK329,Data!$A$4:$A$947,0),MATCH(Graphs!CM$4,Data!$B$3:$L$3,0)))</f>
        <v>227.99</v>
      </c>
      <c r="CN329" s="24">
        <f t="array" ref="CN329">IF(INDEX(Data!$B$4:$L$947,MATCH(Graphs!$CK329,Data!$A$4:$A$947,0),MATCH(Graphs!CN$4,Data!$B$3:$L$3,0))="n.q.",NA(),INDEX(Data!$B$4:$L$947,MATCH(Graphs!$CK329,Data!$A$4:$A$947,0),MATCH(Graphs!CN$4,Data!$B$3:$L$3,0)))</f>
        <v>206</v>
      </c>
      <c r="CO329" s="24" t="str">
        <f t="array" ref="CO329">IF(INDEX(Data!$B$4:$L$947,MATCH(Graphs!$CK329,Data!$A$4:$A$947,0),MATCH(Graphs!CO$4,Data!$B$3:$L$3,0))="n.q.",NA(),INDEX(Data!$B$4:$L$947,MATCH(Graphs!$CK329,Data!$A$4:$A$947,0),MATCH(Graphs!CO$4,Data!$B$3:$L$3,0)))</f>
        <v>#N/A</v>
      </c>
      <c r="CP329" s="24" t="str">
        <f t="array" ref="CP329">IF(INDEX(Data!$B$4:$L$947,MATCH(Graphs!$CK329,Data!$A$4:$A$947,0),MATCH(Graphs!CP$4,Data!$B$3:$L$3,0))="n.q.",NA(),INDEX(Data!$B$4:$L$947,MATCH(Graphs!$CK329,Data!$A$4:$A$947,0),MATCH(Graphs!CP$4,Data!$B$3:$L$3,0)))</f>
        <v>#N/A</v>
      </c>
      <c r="CQ329" s="5"/>
      <c r="CR329" s="24">
        <f t="array" ref="CR329">IF(INDEX(Data!$P$4:$Z$947,MATCH(Graphs!$CK329,Data!$A$4:$A$947,0),MATCH(Graphs!CR$4,Data!$P$3:$Z$3,0))="n.q.",NA(),INDEX(Data!$P$4:$Z$947,MATCH(Graphs!$CK329,Data!$A$4:$A$947,0),MATCH(Graphs!CR$4,Data!$P$3:$Z$3,0)))</f>
        <v>158.2942238</v>
      </c>
      <c r="CS329" s="24" t="str">
        <f t="array" ref="CS329">IF(INDEX(Data!$P$4:$Z$947,MATCH(Graphs!$CK329,Data!$A$4:$A$947,0),MATCH(Graphs!CS$4,Data!$P$3:$Z$3,0))="n.q.",NA(),INDEX(Data!$P$4:$Z$947,MATCH(Graphs!$CK329,Data!$A$4:$A$947,0),MATCH(Graphs!CS$4,Data!$P$3:$Z$3,0)))</f>
        <v>#N/A</v>
      </c>
      <c r="CT329" s="24">
        <f t="array" ref="CT329">IF(INDEX(Data!$P$4:$Z$947,MATCH(Graphs!$CK329,Data!$A$4:$A$947,0),MATCH(Graphs!CT$4,Data!$P$3:$Z$3,0))="n.q.",NA(),INDEX(Data!$P$4:$Z$947,MATCH(Graphs!$CK329,Data!$A$4:$A$947,0),MATCH(Graphs!CT$4,Data!$P$3:$Z$3,0)))</f>
        <v>157.9422383</v>
      </c>
      <c r="CU329" s="24" t="str">
        <f t="array" ref="CU329">IF(INDEX(Data!$P$4:$Z$947,MATCH(Graphs!$CK329,Data!$A$4:$A$947,0),MATCH(Graphs!CU$4,Data!$P$3:$Z$3,0))="n.q.",NA(),INDEX(Data!$P$4:$Z$947,MATCH(Graphs!$CK329,Data!$A$4:$A$947,0),MATCH(Graphs!CU$4,Data!$P$3:$Z$3,0)))</f>
        <v>#N/A</v>
      </c>
      <c r="CV329" s="24" t="str">
        <f t="array" ref="CV329">IF(INDEX(Data!$P$4:$Z$947,MATCH(Graphs!$CK329,Data!$A$4:$A$947,0),MATCH(Graphs!CV$4,Data!$P$3:$Z$3,0))="n.q.",NA(),INDEX(Data!$P$4:$Z$947,MATCH(Graphs!$CK329,Data!$A$4:$A$947,0),MATCH(Graphs!CV$4,Data!$P$3:$Z$3,0)))</f>
        <v>#N/A</v>
      </c>
    </row>
    <row r="330" ht="14.25" customHeight="1"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5"/>
      <c r="CK330" s="22">
        <f>Data!A311</f>
        <v>43817</v>
      </c>
      <c r="CL330" s="24">
        <f t="array" ref="CL330">IF(INDEX(Data!$B$4:$L$947,MATCH(Graphs!$CK330,Data!$A$4:$A$947,0),MATCH(Graphs!CL$4,Data!$B$3:$L$3,0))="n.q.",NA(),INDEX(Data!$B$4:$L$947,MATCH(Graphs!$CK330,Data!$A$4:$A$947,0),MATCH(Graphs!CL$4,Data!$B$3:$L$3,0)))</f>
        <v>211.34</v>
      </c>
      <c r="CM330" s="24">
        <f t="array" ref="CM330">IF(INDEX(Data!$B$4:$L$947,MATCH(Graphs!$CK330,Data!$A$4:$A$947,0),MATCH(Graphs!CM$4,Data!$B$3:$L$3,0))="n.q.",NA(),INDEX(Data!$B$4:$L$947,MATCH(Graphs!$CK330,Data!$A$4:$A$947,0),MATCH(Graphs!CM$4,Data!$B$3:$L$3,0)))</f>
        <v>228.64</v>
      </c>
      <c r="CN330" s="24">
        <f t="array" ref="CN330">IF(INDEX(Data!$B$4:$L$947,MATCH(Graphs!$CK330,Data!$A$4:$A$947,0),MATCH(Graphs!CN$4,Data!$B$3:$L$3,0))="n.q.",NA(),INDEX(Data!$B$4:$L$947,MATCH(Graphs!$CK330,Data!$A$4:$A$947,0),MATCH(Graphs!CN$4,Data!$B$3:$L$3,0)))</f>
        <v>205</v>
      </c>
      <c r="CO330" s="24" t="str">
        <f t="array" ref="CO330">IF(INDEX(Data!$B$4:$L$947,MATCH(Graphs!$CK330,Data!$A$4:$A$947,0),MATCH(Graphs!CO$4,Data!$B$3:$L$3,0))="n.q.",NA(),INDEX(Data!$B$4:$L$947,MATCH(Graphs!$CK330,Data!$A$4:$A$947,0),MATCH(Graphs!CO$4,Data!$B$3:$L$3,0)))</f>
        <v>#N/A</v>
      </c>
      <c r="CP330" s="24" t="str">
        <f t="array" ref="CP330">IF(INDEX(Data!$B$4:$L$947,MATCH(Graphs!$CK330,Data!$A$4:$A$947,0),MATCH(Graphs!CP$4,Data!$B$3:$L$3,0))="n.q.",NA(),INDEX(Data!$B$4:$L$947,MATCH(Graphs!$CK330,Data!$A$4:$A$947,0),MATCH(Graphs!CP$4,Data!$B$3:$L$3,0)))</f>
        <v>#N/A</v>
      </c>
      <c r="CQ330" s="5"/>
      <c r="CR330" s="24">
        <f t="array" ref="CR330">IF(INDEX(Data!$P$4:$Z$947,MATCH(Graphs!$CK330,Data!$A$4:$A$947,0),MATCH(Graphs!CR$4,Data!$P$3:$Z$3,0))="n.q.",NA(),INDEX(Data!$P$4:$Z$947,MATCH(Graphs!$CK330,Data!$A$4:$A$947,0),MATCH(Graphs!CR$4,Data!$P$3:$Z$3,0)))</f>
        <v>157.2559604</v>
      </c>
      <c r="CS330" s="24">
        <f t="array" ref="CS330">IF(INDEX(Data!$P$4:$Z$947,MATCH(Graphs!$CK330,Data!$A$4:$A$947,0),MATCH(Graphs!CS$4,Data!$P$3:$Z$3,0))="n.q.",NA(),INDEX(Data!$P$4:$Z$947,MATCH(Graphs!$CK330,Data!$A$4:$A$947,0),MATCH(Graphs!CS$4,Data!$P$3:$Z$3,0)))</f>
        <v>171.15</v>
      </c>
      <c r="CT330" s="24">
        <f t="array" ref="CT330">IF(INDEX(Data!$P$4:$Z$947,MATCH(Graphs!$CK330,Data!$A$4:$A$947,0),MATCH(Graphs!CT$4,Data!$P$3:$Z$3,0))="n.q.",NA(),INDEX(Data!$P$4:$Z$947,MATCH(Graphs!$CK330,Data!$A$4:$A$947,0),MATCH(Graphs!CT$4,Data!$P$3:$Z$3,0)))</f>
        <v>155.6455241</v>
      </c>
      <c r="CU330" s="24" t="str">
        <f t="array" ref="CU330">IF(INDEX(Data!$P$4:$Z$947,MATCH(Graphs!$CK330,Data!$A$4:$A$947,0),MATCH(Graphs!CU$4,Data!$P$3:$Z$3,0))="n.q.",NA(),INDEX(Data!$P$4:$Z$947,MATCH(Graphs!$CK330,Data!$A$4:$A$947,0),MATCH(Graphs!CU$4,Data!$P$3:$Z$3,0)))</f>
        <v>#N/A</v>
      </c>
      <c r="CV330" s="24" t="str">
        <f t="array" ref="CV330">IF(INDEX(Data!$P$4:$Z$947,MATCH(Graphs!$CK330,Data!$A$4:$A$947,0),MATCH(Graphs!CV$4,Data!$P$3:$Z$3,0))="n.q.",NA(),INDEX(Data!$P$4:$Z$947,MATCH(Graphs!$CK330,Data!$A$4:$A$947,0),MATCH(Graphs!CV$4,Data!$P$3:$Z$3,0)))</f>
        <v>#N/A</v>
      </c>
    </row>
    <row r="331" ht="14.25" customHeight="1"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5"/>
      <c r="CK331" s="22">
        <f>Data!A312</f>
        <v>43810</v>
      </c>
      <c r="CL331" s="24">
        <f t="array" ref="CL331">IF(INDEX(Data!$B$4:$L$947,MATCH(Graphs!$CK331,Data!$A$4:$A$947,0),MATCH(Graphs!CL$4,Data!$B$3:$L$3,0))="n.q.",NA(),INDEX(Data!$B$4:$L$947,MATCH(Graphs!$CK331,Data!$A$4:$A$947,0),MATCH(Graphs!CL$4,Data!$B$3:$L$3,0)))</f>
        <v>207.24</v>
      </c>
      <c r="CM331" s="24">
        <f t="array" ref="CM331">IF(INDEX(Data!$B$4:$L$947,MATCH(Graphs!$CK331,Data!$A$4:$A$947,0),MATCH(Graphs!CM$4,Data!$B$3:$L$3,0))="n.q.",NA(),INDEX(Data!$B$4:$L$947,MATCH(Graphs!$CK331,Data!$A$4:$A$947,0),MATCH(Graphs!CM$4,Data!$B$3:$L$3,0)))</f>
        <v>215.23</v>
      </c>
      <c r="CN331" s="24">
        <f t="array" ref="CN331">IF(INDEX(Data!$B$4:$L$947,MATCH(Graphs!$CK331,Data!$A$4:$A$947,0),MATCH(Graphs!CN$4,Data!$B$3:$L$3,0))="n.q.",NA(),INDEX(Data!$B$4:$L$947,MATCH(Graphs!$CK331,Data!$A$4:$A$947,0),MATCH(Graphs!CN$4,Data!$B$3:$L$3,0)))</f>
        <v>203</v>
      </c>
      <c r="CO331" s="24" t="str">
        <f t="array" ref="CO331">IF(INDEX(Data!$B$4:$L$947,MATCH(Graphs!$CK331,Data!$A$4:$A$947,0),MATCH(Graphs!CO$4,Data!$B$3:$L$3,0))="n.q.",NA(),INDEX(Data!$B$4:$L$947,MATCH(Graphs!$CK331,Data!$A$4:$A$947,0),MATCH(Graphs!CO$4,Data!$B$3:$L$3,0)))</f>
        <v>#N/A</v>
      </c>
      <c r="CP331" s="24" t="str">
        <f t="array" ref="CP331">IF(INDEX(Data!$B$4:$L$947,MATCH(Graphs!$CK331,Data!$A$4:$A$947,0),MATCH(Graphs!CP$4,Data!$B$3:$L$3,0))="n.q.",NA(),INDEX(Data!$B$4:$L$947,MATCH(Graphs!$CK331,Data!$A$4:$A$947,0),MATCH(Graphs!CP$4,Data!$B$3:$L$3,0)))</f>
        <v>#N/A</v>
      </c>
      <c r="CQ331" s="5"/>
      <c r="CR331" s="24">
        <f t="array" ref="CR331">IF(INDEX(Data!$P$4:$Z$947,MATCH(Graphs!$CK331,Data!$A$4:$A$947,0),MATCH(Graphs!CR$4,Data!$P$3:$Z$3,0))="n.q.",NA(),INDEX(Data!$P$4:$Z$947,MATCH(Graphs!$CK331,Data!$A$4:$A$947,0),MATCH(Graphs!CR$4,Data!$P$3:$Z$3,0)))</f>
        <v>151.1602709</v>
      </c>
      <c r="CS331" s="24">
        <f t="array" ref="CS331">IF(INDEX(Data!$P$4:$Z$947,MATCH(Graphs!$CK331,Data!$A$4:$A$947,0),MATCH(Graphs!CS$4,Data!$P$3:$Z$3,0))="n.q.",NA(),INDEX(Data!$P$4:$Z$947,MATCH(Graphs!$CK331,Data!$A$4:$A$947,0),MATCH(Graphs!CS$4,Data!$P$3:$Z$3,0)))</f>
        <v>170.15</v>
      </c>
      <c r="CT331" s="24">
        <f t="array" ref="CT331">IF(INDEX(Data!$P$4:$Z$947,MATCH(Graphs!$CK331,Data!$A$4:$A$947,0),MATCH(Graphs!CT$4,Data!$P$3:$Z$3,0))="n.q.",NA(),INDEX(Data!$P$4:$Z$947,MATCH(Graphs!$CK331,Data!$A$4:$A$947,0),MATCH(Graphs!CT$4,Data!$P$3:$Z$3,0)))</f>
        <v>152.1444695</v>
      </c>
      <c r="CU331" s="24" t="str">
        <f t="array" ref="CU331">IF(INDEX(Data!$P$4:$Z$947,MATCH(Graphs!$CK331,Data!$A$4:$A$947,0),MATCH(Graphs!CU$4,Data!$P$3:$Z$3,0))="n.q.",NA(),INDEX(Data!$P$4:$Z$947,MATCH(Graphs!$CK331,Data!$A$4:$A$947,0),MATCH(Graphs!CU$4,Data!$P$3:$Z$3,0)))</f>
        <v>#N/A</v>
      </c>
      <c r="CV331" s="24" t="str">
        <f t="array" ref="CV331">IF(INDEX(Data!$P$4:$Z$947,MATCH(Graphs!$CK331,Data!$A$4:$A$947,0),MATCH(Graphs!CV$4,Data!$P$3:$Z$3,0))="n.q.",NA(),INDEX(Data!$P$4:$Z$947,MATCH(Graphs!$CK331,Data!$A$4:$A$947,0),MATCH(Graphs!CV$4,Data!$P$3:$Z$3,0)))</f>
        <v>#N/A</v>
      </c>
    </row>
    <row r="332" ht="14.25" customHeight="1"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5"/>
      <c r="CK332" s="22">
        <f>Data!A313</f>
        <v>43803</v>
      </c>
      <c r="CL332" s="24">
        <f t="array" ref="CL332">IF(INDEX(Data!$B$4:$L$947,MATCH(Graphs!$CK332,Data!$A$4:$A$947,0),MATCH(Graphs!CL$4,Data!$B$3:$L$3,0))="n.q.",NA(),INDEX(Data!$B$4:$L$947,MATCH(Graphs!$CK332,Data!$A$4:$A$947,0),MATCH(Graphs!CL$4,Data!$B$3:$L$3,0)))</f>
        <v>208.95</v>
      </c>
      <c r="CM332" s="24">
        <f t="array" ref="CM332">IF(INDEX(Data!$B$4:$L$947,MATCH(Graphs!$CK332,Data!$A$4:$A$947,0),MATCH(Graphs!CM$4,Data!$B$3:$L$3,0))="n.q.",NA(),INDEX(Data!$B$4:$L$947,MATCH(Graphs!$CK332,Data!$A$4:$A$947,0),MATCH(Graphs!CM$4,Data!$B$3:$L$3,0)))</f>
        <v>218.44</v>
      </c>
      <c r="CN332" s="24">
        <f t="array" ref="CN332">IF(INDEX(Data!$B$4:$L$947,MATCH(Graphs!$CK332,Data!$A$4:$A$947,0),MATCH(Graphs!CN$4,Data!$B$3:$L$3,0))="n.q.",NA(),INDEX(Data!$B$4:$L$947,MATCH(Graphs!$CK332,Data!$A$4:$A$947,0),MATCH(Graphs!CN$4,Data!$B$3:$L$3,0)))</f>
        <v>202</v>
      </c>
      <c r="CO332" s="24" t="str">
        <f t="array" ref="CO332">IF(INDEX(Data!$B$4:$L$947,MATCH(Graphs!$CK332,Data!$A$4:$A$947,0),MATCH(Graphs!CO$4,Data!$B$3:$L$3,0))="n.q.",NA(),INDEX(Data!$B$4:$L$947,MATCH(Graphs!$CK332,Data!$A$4:$A$947,0),MATCH(Graphs!CO$4,Data!$B$3:$L$3,0)))</f>
        <v>#N/A</v>
      </c>
      <c r="CP332" s="24" t="str">
        <f t="array" ref="CP332">IF(INDEX(Data!$B$4:$L$947,MATCH(Graphs!$CK332,Data!$A$4:$A$947,0),MATCH(Graphs!CP$4,Data!$B$3:$L$3,0))="n.q.",NA(),INDEX(Data!$B$4:$L$947,MATCH(Graphs!$CK332,Data!$A$4:$A$947,0),MATCH(Graphs!CP$4,Data!$B$3:$L$3,0)))</f>
        <v>#N/A</v>
      </c>
      <c r="CQ332" s="5"/>
      <c r="CR332" s="24">
        <f t="array" ref="CR332">IF(INDEX(Data!$P$4:$Z$947,MATCH(Graphs!$CK332,Data!$A$4:$A$947,0),MATCH(Graphs!CR$4,Data!$P$3:$Z$3,0))="n.q.",NA(),INDEX(Data!$P$4:$Z$947,MATCH(Graphs!$CK332,Data!$A$4:$A$947,0),MATCH(Graphs!CR$4,Data!$P$3:$Z$3,0)))</f>
        <v>153.659417</v>
      </c>
      <c r="CS332" s="24">
        <f t="array" ref="CS332">IF(INDEX(Data!$P$4:$Z$947,MATCH(Graphs!$CK332,Data!$A$4:$A$947,0),MATCH(Graphs!CS$4,Data!$P$3:$Z$3,0))="n.q.",NA(),INDEX(Data!$P$4:$Z$947,MATCH(Graphs!$CK332,Data!$A$4:$A$947,0),MATCH(Graphs!CS$4,Data!$P$3:$Z$3,0)))</f>
        <v>169.65</v>
      </c>
      <c r="CT332" s="24">
        <f t="array" ref="CT332">IF(INDEX(Data!$P$4:$Z$947,MATCH(Graphs!$CK332,Data!$A$4:$A$947,0),MATCH(Graphs!CT$4,Data!$P$3:$Z$3,0))="n.q.",NA(),INDEX(Data!$P$4:$Z$947,MATCH(Graphs!$CK332,Data!$A$4:$A$947,0),MATCH(Graphs!CT$4,Data!$P$3:$Z$3,0)))</f>
        <v>152.5133111</v>
      </c>
      <c r="CU332" s="24" t="str">
        <f t="array" ref="CU332">IF(INDEX(Data!$P$4:$Z$947,MATCH(Graphs!$CK332,Data!$A$4:$A$947,0),MATCH(Graphs!CU$4,Data!$P$3:$Z$3,0))="n.q.",NA(),INDEX(Data!$P$4:$Z$947,MATCH(Graphs!$CK332,Data!$A$4:$A$947,0),MATCH(Graphs!CU$4,Data!$P$3:$Z$3,0)))</f>
        <v>#N/A</v>
      </c>
      <c r="CV332" s="24" t="str">
        <f t="array" ref="CV332">IF(INDEX(Data!$P$4:$Z$947,MATCH(Graphs!$CK332,Data!$A$4:$A$947,0),MATCH(Graphs!CV$4,Data!$P$3:$Z$3,0))="n.q.",NA(),INDEX(Data!$P$4:$Z$947,MATCH(Graphs!$CK332,Data!$A$4:$A$947,0),MATCH(Graphs!CV$4,Data!$P$3:$Z$3,0)))</f>
        <v>#N/A</v>
      </c>
    </row>
    <row r="333" ht="14.25" customHeight="1"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5"/>
      <c r="CK333" s="22">
        <f>Data!A314</f>
        <v>43796</v>
      </c>
      <c r="CL333" s="24">
        <f t="array" ref="CL333">IF(INDEX(Data!$B$4:$L$947,MATCH(Graphs!$CK333,Data!$A$4:$A$947,0),MATCH(Graphs!CL$4,Data!$B$3:$L$3,0))="n.q.",NA(),INDEX(Data!$B$4:$L$947,MATCH(Graphs!$CK333,Data!$A$4:$A$947,0),MATCH(Graphs!CL$4,Data!$B$3:$L$3,0)))</f>
        <v>205.17</v>
      </c>
      <c r="CM333" s="24">
        <f t="array" ref="CM333">IF(INDEX(Data!$B$4:$L$947,MATCH(Graphs!$CK333,Data!$A$4:$A$947,0),MATCH(Graphs!CM$4,Data!$B$3:$L$3,0))="n.q.",NA(),INDEX(Data!$B$4:$L$947,MATCH(Graphs!$CK333,Data!$A$4:$A$947,0),MATCH(Graphs!CM$4,Data!$B$3:$L$3,0)))</f>
        <v>218.53</v>
      </c>
      <c r="CN333" s="24">
        <f t="array" ref="CN333">IF(INDEX(Data!$B$4:$L$947,MATCH(Graphs!$CK333,Data!$A$4:$A$947,0),MATCH(Graphs!CN$4,Data!$B$3:$L$3,0))="n.q.",NA(),INDEX(Data!$B$4:$L$947,MATCH(Graphs!$CK333,Data!$A$4:$A$947,0),MATCH(Graphs!CN$4,Data!$B$3:$L$3,0)))</f>
        <v>200</v>
      </c>
      <c r="CO333" s="24" t="str">
        <f t="array" ref="CO333">IF(INDEX(Data!$B$4:$L$947,MATCH(Graphs!$CK333,Data!$A$4:$A$947,0),MATCH(Graphs!CO$4,Data!$B$3:$L$3,0))="n.q.",NA(),INDEX(Data!$B$4:$L$947,MATCH(Graphs!$CK333,Data!$A$4:$A$947,0),MATCH(Graphs!CO$4,Data!$B$3:$L$3,0)))</f>
        <v>#N/A</v>
      </c>
      <c r="CP333" s="24" t="str">
        <f t="array" ref="CP333">IF(INDEX(Data!$B$4:$L$947,MATCH(Graphs!$CK333,Data!$A$4:$A$947,0),MATCH(Graphs!CP$4,Data!$B$3:$L$3,0))="n.q.",NA(),INDEX(Data!$B$4:$L$947,MATCH(Graphs!$CK333,Data!$A$4:$A$947,0),MATCH(Graphs!CP$4,Data!$B$3:$L$3,0)))</f>
        <v>#N/A</v>
      </c>
      <c r="CQ333" s="5"/>
      <c r="CR333" s="24">
        <f t="array" ref="CR333">IF(INDEX(Data!$P$4:$Z$947,MATCH(Graphs!$CK333,Data!$A$4:$A$947,0),MATCH(Graphs!CR$4,Data!$P$3:$Z$3,0))="n.q.",NA(),INDEX(Data!$P$4:$Z$947,MATCH(Graphs!$CK333,Data!$A$4:$A$947,0),MATCH(Graphs!CR$4,Data!$P$3:$Z$3,0)))</f>
        <v>152.9657553</v>
      </c>
      <c r="CS333" s="24">
        <f t="array" ref="CS333">IF(INDEX(Data!$P$4:$Z$947,MATCH(Graphs!$CK333,Data!$A$4:$A$947,0),MATCH(Graphs!CS$4,Data!$P$3:$Z$3,0))="n.q.",NA(),INDEX(Data!$P$4:$Z$947,MATCH(Graphs!$CK333,Data!$A$4:$A$947,0),MATCH(Graphs!CS$4,Data!$P$3:$Z$3,0)))</f>
        <v>168.97</v>
      </c>
      <c r="CT333" s="24">
        <f t="array" ref="CT333">IF(INDEX(Data!$P$4:$Z$947,MATCH(Graphs!$CK333,Data!$A$4:$A$947,0),MATCH(Graphs!CT$4,Data!$P$3:$Z$3,0))="n.q.",NA(),INDEX(Data!$P$4:$Z$947,MATCH(Graphs!$CK333,Data!$A$4:$A$947,0),MATCH(Graphs!CT$4,Data!$P$3:$Z$3,0)))</f>
        <v>152.6024162</v>
      </c>
      <c r="CU333" s="24" t="str">
        <f t="array" ref="CU333">IF(INDEX(Data!$P$4:$Z$947,MATCH(Graphs!$CK333,Data!$A$4:$A$947,0),MATCH(Graphs!CU$4,Data!$P$3:$Z$3,0))="n.q.",NA(),INDEX(Data!$P$4:$Z$947,MATCH(Graphs!$CK333,Data!$A$4:$A$947,0),MATCH(Graphs!CU$4,Data!$P$3:$Z$3,0)))</f>
        <v>#N/A</v>
      </c>
      <c r="CV333" s="24" t="str">
        <f t="array" ref="CV333">IF(INDEX(Data!$P$4:$Z$947,MATCH(Graphs!$CK333,Data!$A$4:$A$947,0),MATCH(Graphs!CV$4,Data!$P$3:$Z$3,0))="n.q.",NA(),INDEX(Data!$P$4:$Z$947,MATCH(Graphs!$CK333,Data!$A$4:$A$947,0),MATCH(Graphs!CV$4,Data!$P$3:$Z$3,0)))</f>
        <v>#N/A</v>
      </c>
    </row>
    <row r="334" ht="14.25" customHeight="1"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5"/>
      <c r="CK334" s="22">
        <f>Data!A315</f>
        <v>43789</v>
      </c>
      <c r="CL334" s="24">
        <f t="array" ref="CL334">IF(INDEX(Data!$B$4:$L$947,MATCH(Graphs!$CK334,Data!$A$4:$A$947,0),MATCH(Graphs!CL$4,Data!$B$3:$L$3,0))="n.q.",NA(),INDEX(Data!$B$4:$L$947,MATCH(Graphs!$CK334,Data!$A$4:$A$947,0),MATCH(Graphs!CL$4,Data!$B$3:$L$3,0)))</f>
        <v>204.18</v>
      </c>
      <c r="CM334" s="24">
        <f t="array" ref="CM334">IF(INDEX(Data!$B$4:$L$947,MATCH(Graphs!$CK334,Data!$A$4:$A$947,0),MATCH(Graphs!CM$4,Data!$B$3:$L$3,0))="n.q.",NA(),INDEX(Data!$B$4:$L$947,MATCH(Graphs!$CK334,Data!$A$4:$A$947,0),MATCH(Graphs!CM$4,Data!$B$3:$L$3,0)))</f>
        <v>218.99</v>
      </c>
      <c r="CN334" s="24">
        <f t="array" ref="CN334">IF(INDEX(Data!$B$4:$L$947,MATCH(Graphs!$CK334,Data!$A$4:$A$947,0),MATCH(Graphs!CN$4,Data!$B$3:$L$3,0))="n.q.",NA(),INDEX(Data!$B$4:$L$947,MATCH(Graphs!$CK334,Data!$A$4:$A$947,0),MATCH(Graphs!CN$4,Data!$B$3:$L$3,0)))</f>
        <v>198</v>
      </c>
      <c r="CO334" s="24" t="str">
        <f t="array" ref="CO334">IF(INDEX(Data!$B$4:$L$947,MATCH(Graphs!$CK334,Data!$A$4:$A$947,0),MATCH(Graphs!CO$4,Data!$B$3:$L$3,0))="n.q.",NA(),INDEX(Data!$B$4:$L$947,MATCH(Graphs!$CK334,Data!$A$4:$A$947,0),MATCH(Graphs!CO$4,Data!$B$3:$L$3,0)))</f>
        <v>#N/A</v>
      </c>
      <c r="CP334" s="24" t="str">
        <f t="array" ref="CP334">IF(INDEX(Data!$B$4:$L$947,MATCH(Graphs!$CK334,Data!$A$4:$A$947,0),MATCH(Graphs!CP$4,Data!$B$3:$L$3,0))="n.q.",NA(),INDEX(Data!$B$4:$L$947,MATCH(Graphs!$CK334,Data!$A$4:$A$947,0),MATCH(Graphs!CP$4,Data!$B$3:$L$3,0)))</f>
        <v>#N/A</v>
      </c>
      <c r="CQ334" s="5"/>
      <c r="CR334" s="24">
        <f t="array" ref="CR334">IF(INDEX(Data!$P$4:$Z$947,MATCH(Graphs!$CK334,Data!$A$4:$A$947,0),MATCH(Graphs!CR$4,Data!$P$3:$Z$3,0))="n.q.",NA(),INDEX(Data!$P$4:$Z$947,MATCH(Graphs!$CK334,Data!$A$4:$A$947,0),MATCH(Graphs!CR$4,Data!$P$3:$Z$3,0)))</f>
        <v>153.693824</v>
      </c>
      <c r="CS334" s="24">
        <f t="array" ref="CS334">IF(INDEX(Data!$P$4:$Z$947,MATCH(Graphs!$CK334,Data!$A$4:$A$947,0),MATCH(Graphs!CS$4,Data!$P$3:$Z$3,0))="n.q.",NA(),INDEX(Data!$P$4:$Z$947,MATCH(Graphs!$CK334,Data!$A$4:$A$947,0),MATCH(Graphs!CS$4,Data!$P$3:$Z$3,0)))</f>
        <v>166.72</v>
      </c>
      <c r="CT334" s="24">
        <f t="array" ref="CT334">IF(INDEX(Data!$P$4:$Z$947,MATCH(Graphs!$CK334,Data!$A$4:$A$947,0),MATCH(Graphs!CT$4,Data!$P$3:$Z$3,0))="n.q.",NA(),INDEX(Data!$P$4:$Z$947,MATCH(Graphs!$CK334,Data!$A$4:$A$947,0),MATCH(Graphs!CT$4,Data!$P$3:$Z$3,0)))</f>
        <v>151.9124695</v>
      </c>
      <c r="CU334" s="24" t="str">
        <f t="array" ref="CU334">IF(INDEX(Data!$P$4:$Z$947,MATCH(Graphs!$CK334,Data!$A$4:$A$947,0),MATCH(Graphs!CU$4,Data!$P$3:$Z$3,0))="n.q.",NA(),INDEX(Data!$P$4:$Z$947,MATCH(Graphs!$CK334,Data!$A$4:$A$947,0),MATCH(Graphs!CU$4,Data!$P$3:$Z$3,0)))</f>
        <v>#N/A</v>
      </c>
      <c r="CV334" s="24" t="str">
        <f t="array" ref="CV334">IF(INDEX(Data!$P$4:$Z$947,MATCH(Graphs!$CK334,Data!$A$4:$A$947,0),MATCH(Graphs!CV$4,Data!$P$3:$Z$3,0))="n.q.",NA(),INDEX(Data!$P$4:$Z$947,MATCH(Graphs!$CK334,Data!$A$4:$A$947,0),MATCH(Graphs!CV$4,Data!$P$3:$Z$3,0)))</f>
        <v>#N/A</v>
      </c>
    </row>
    <row r="335" ht="14.25" customHeight="1"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5"/>
      <c r="CK335" s="22">
        <f>Data!A316</f>
        <v>43782</v>
      </c>
      <c r="CL335" s="24">
        <f t="array" ref="CL335">IF(INDEX(Data!$B$4:$L$947,MATCH(Graphs!$CK335,Data!$A$4:$A$947,0),MATCH(Graphs!CL$4,Data!$B$3:$L$3,0))="n.q.",NA(),INDEX(Data!$B$4:$L$947,MATCH(Graphs!$CK335,Data!$A$4:$A$947,0),MATCH(Graphs!CL$4,Data!$B$3:$L$3,0)))</f>
        <v>199.85</v>
      </c>
      <c r="CM335" s="24">
        <f t="array" ref="CM335">IF(INDEX(Data!$B$4:$L$947,MATCH(Graphs!$CK335,Data!$A$4:$A$947,0),MATCH(Graphs!CM$4,Data!$B$3:$L$3,0))="n.q.",NA(),INDEX(Data!$B$4:$L$947,MATCH(Graphs!$CK335,Data!$A$4:$A$947,0),MATCH(Graphs!CM$4,Data!$B$3:$L$3,0)))</f>
        <v>218.17</v>
      </c>
      <c r="CN335" s="24">
        <f t="array" ref="CN335">IF(INDEX(Data!$B$4:$L$947,MATCH(Graphs!$CK335,Data!$A$4:$A$947,0),MATCH(Graphs!CN$4,Data!$B$3:$L$3,0))="n.q.",NA(),INDEX(Data!$B$4:$L$947,MATCH(Graphs!$CK335,Data!$A$4:$A$947,0),MATCH(Graphs!CN$4,Data!$B$3:$L$3,0)))</f>
        <v>197</v>
      </c>
      <c r="CO335" s="24" t="str">
        <f t="array" ref="CO335">IF(INDEX(Data!$B$4:$L$947,MATCH(Graphs!$CK335,Data!$A$4:$A$947,0),MATCH(Graphs!CO$4,Data!$B$3:$L$3,0))="n.q.",NA(),INDEX(Data!$B$4:$L$947,MATCH(Graphs!$CK335,Data!$A$4:$A$947,0),MATCH(Graphs!CO$4,Data!$B$3:$L$3,0)))</f>
        <v>#N/A</v>
      </c>
      <c r="CP335" s="24" t="str">
        <f t="array" ref="CP335">IF(INDEX(Data!$B$4:$L$947,MATCH(Graphs!$CK335,Data!$A$4:$A$947,0),MATCH(Graphs!CP$4,Data!$B$3:$L$3,0))="n.q.",NA(),INDEX(Data!$B$4:$L$947,MATCH(Graphs!$CK335,Data!$A$4:$A$947,0),MATCH(Graphs!CP$4,Data!$B$3:$L$3,0)))</f>
        <v>#N/A</v>
      </c>
      <c r="CQ335" s="5"/>
      <c r="CR335" s="24">
        <f t="array" ref="CR335">IF(INDEX(Data!$P$4:$Z$947,MATCH(Graphs!$CK335,Data!$A$4:$A$947,0),MATCH(Graphs!CR$4,Data!$P$3:$Z$3,0))="n.q.",NA(),INDEX(Data!$P$4:$Z$947,MATCH(Graphs!$CK335,Data!$A$4:$A$947,0),MATCH(Graphs!CR$4,Data!$P$3:$Z$3,0)))</f>
        <v>156.7599491</v>
      </c>
      <c r="CS335" s="24">
        <f t="array" ref="CS335">IF(INDEX(Data!$P$4:$Z$947,MATCH(Graphs!$CK335,Data!$A$4:$A$947,0),MATCH(Graphs!CS$4,Data!$P$3:$Z$3,0))="n.q.",NA(),INDEX(Data!$P$4:$Z$947,MATCH(Graphs!$CK335,Data!$A$4:$A$947,0),MATCH(Graphs!CS$4,Data!$P$3:$Z$3,0)))</f>
        <v>165.72</v>
      </c>
      <c r="CT335" s="24">
        <f t="array" ref="CT335">IF(INDEX(Data!$P$4:$Z$947,MATCH(Graphs!$CK335,Data!$A$4:$A$947,0),MATCH(Graphs!CT$4,Data!$P$3:$Z$3,0))="n.q.",NA(),INDEX(Data!$P$4:$Z$947,MATCH(Graphs!$CK335,Data!$A$4:$A$947,0),MATCH(Graphs!CT$4,Data!$P$3:$Z$3,0)))</f>
        <v>149.9182264</v>
      </c>
      <c r="CU335" s="24" t="str">
        <f t="array" ref="CU335">IF(INDEX(Data!$P$4:$Z$947,MATCH(Graphs!$CK335,Data!$A$4:$A$947,0),MATCH(Graphs!CU$4,Data!$P$3:$Z$3,0))="n.q.",NA(),INDEX(Data!$P$4:$Z$947,MATCH(Graphs!$CK335,Data!$A$4:$A$947,0),MATCH(Graphs!CU$4,Data!$P$3:$Z$3,0)))</f>
        <v>#N/A</v>
      </c>
      <c r="CV335" s="24" t="str">
        <f t="array" ref="CV335">IF(INDEX(Data!$P$4:$Z$947,MATCH(Graphs!$CK335,Data!$A$4:$A$947,0),MATCH(Graphs!CV$4,Data!$P$3:$Z$3,0))="n.q.",NA(),INDEX(Data!$P$4:$Z$947,MATCH(Graphs!$CK335,Data!$A$4:$A$947,0),MATCH(Graphs!CV$4,Data!$P$3:$Z$3,0)))</f>
        <v>#N/A</v>
      </c>
    </row>
    <row r="336" ht="14.25" customHeight="1"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5"/>
      <c r="CK336" s="22">
        <f>Data!A317</f>
        <v>43775</v>
      </c>
      <c r="CL336" s="24">
        <f t="array" ref="CL336">IF(INDEX(Data!$B$4:$L$947,MATCH(Graphs!$CK336,Data!$A$4:$A$947,0),MATCH(Graphs!CL$4,Data!$B$3:$L$3,0))="n.q.",NA(),INDEX(Data!$B$4:$L$947,MATCH(Graphs!$CK336,Data!$A$4:$A$947,0),MATCH(Graphs!CL$4,Data!$B$3:$L$3,0)))</f>
        <v>201.57</v>
      </c>
      <c r="CM336" s="24">
        <f t="array" ref="CM336">IF(INDEX(Data!$B$4:$L$947,MATCH(Graphs!$CK336,Data!$A$4:$A$947,0),MATCH(Graphs!CM$4,Data!$B$3:$L$3,0))="n.q.",NA(),INDEX(Data!$B$4:$L$947,MATCH(Graphs!$CK336,Data!$A$4:$A$947,0),MATCH(Graphs!CM$4,Data!$B$3:$L$3,0)))</f>
        <v>217.8</v>
      </c>
      <c r="CN336" s="24">
        <f t="array" ref="CN336">IF(INDEX(Data!$B$4:$L$947,MATCH(Graphs!$CK336,Data!$A$4:$A$947,0),MATCH(Graphs!CN$4,Data!$B$3:$L$3,0))="n.q.",NA(),INDEX(Data!$B$4:$L$947,MATCH(Graphs!$CK336,Data!$A$4:$A$947,0),MATCH(Graphs!CN$4,Data!$B$3:$L$3,0)))</f>
        <v>197</v>
      </c>
      <c r="CO336" s="24" t="str">
        <f t="array" ref="CO336">IF(INDEX(Data!$B$4:$L$947,MATCH(Graphs!$CK336,Data!$A$4:$A$947,0),MATCH(Graphs!CO$4,Data!$B$3:$L$3,0))="n.q.",NA(),INDEX(Data!$B$4:$L$947,MATCH(Graphs!$CK336,Data!$A$4:$A$947,0),MATCH(Graphs!CO$4,Data!$B$3:$L$3,0)))</f>
        <v>#N/A</v>
      </c>
      <c r="CP336" s="24" t="str">
        <f t="array" ref="CP336">IF(INDEX(Data!$B$4:$L$947,MATCH(Graphs!$CK336,Data!$A$4:$A$947,0),MATCH(Graphs!CP$4,Data!$B$3:$L$3,0))="n.q.",NA(),INDEX(Data!$B$4:$L$947,MATCH(Graphs!$CK336,Data!$A$4:$A$947,0),MATCH(Graphs!CP$4,Data!$B$3:$L$3,0)))</f>
        <v>#N/A</v>
      </c>
      <c r="CQ336" s="5"/>
      <c r="CR336" s="24">
        <f t="array" ref="CR336">IF(INDEX(Data!$P$4:$Z$947,MATCH(Graphs!$CK336,Data!$A$4:$A$947,0),MATCH(Graphs!CR$4,Data!$P$3:$Z$3,0))="n.q.",NA(),INDEX(Data!$P$4:$Z$947,MATCH(Graphs!$CK336,Data!$A$4:$A$947,0),MATCH(Graphs!CR$4,Data!$P$3:$Z$3,0)))</f>
        <v>156.1045987</v>
      </c>
      <c r="CS336" s="24">
        <f t="array" ref="CS336">IF(INDEX(Data!$P$4:$Z$947,MATCH(Graphs!$CK336,Data!$A$4:$A$947,0),MATCH(Graphs!CS$4,Data!$P$3:$Z$3,0))="n.q.",NA(),INDEX(Data!$P$4:$Z$947,MATCH(Graphs!$CK336,Data!$A$4:$A$947,0),MATCH(Graphs!CS$4,Data!$P$3:$Z$3,0)))</f>
        <v>168.72</v>
      </c>
      <c r="CT336" s="24">
        <f t="array" ref="CT336">IF(INDEX(Data!$P$4:$Z$947,MATCH(Graphs!$CK336,Data!$A$4:$A$947,0),MATCH(Graphs!CT$4,Data!$P$3:$Z$3,0))="n.q.",NA(),INDEX(Data!$P$4:$Z$947,MATCH(Graphs!$CK336,Data!$A$4:$A$947,0),MATCH(Graphs!CT$4,Data!$P$3:$Z$3,0)))</f>
        <v>149.6844004</v>
      </c>
      <c r="CU336" s="24" t="str">
        <f t="array" ref="CU336">IF(INDEX(Data!$P$4:$Z$947,MATCH(Graphs!$CK336,Data!$A$4:$A$947,0),MATCH(Graphs!CU$4,Data!$P$3:$Z$3,0))="n.q.",NA(),INDEX(Data!$P$4:$Z$947,MATCH(Graphs!$CK336,Data!$A$4:$A$947,0),MATCH(Graphs!CU$4,Data!$P$3:$Z$3,0)))</f>
        <v>#N/A</v>
      </c>
      <c r="CV336" s="24" t="str">
        <f t="array" ref="CV336">IF(INDEX(Data!$P$4:$Z$947,MATCH(Graphs!$CK336,Data!$A$4:$A$947,0),MATCH(Graphs!CV$4,Data!$P$3:$Z$3,0))="n.q.",NA(),INDEX(Data!$P$4:$Z$947,MATCH(Graphs!$CK336,Data!$A$4:$A$947,0),MATCH(Graphs!CV$4,Data!$P$3:$Z$3,0)))</f>
        <v>#N/A</v>
      </c>
    </row>
    <row r="337" ht="14.25" customHeight="1"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5"/>
      <c r="CK337" s="22">
        <f>Data!A318</f>
        <v>43768</v>
      </c>
      <c r="CL337" s="24">
        <f t="array" ref="CL337">IF(INDEX(Data!$B$4:$L$947,MATCH(Graphs!$CK337,Data!$A$4:$A$947,0),MATCH(Graphs!CL$4,Data!$B$3:$L$3,0))="n.q.",NA(),INDEX(Data!$B$4:$L$947,MATCH(Graphs!$CK337,Data!$A$4:$A$947,0),MATCH(Graphs!CL$4,Data!$B$3:$L$3,0)))</f>
        <v>200.88</v>
      </c>
      <c r="CM337" s="24">
        <f t="array" ref="CM337">IF(INDEX(Data!$B$4:$L$947,MATCH(Graphs!$CK337,Data!$A$4:$A$947,0),MATCH(Graphs!CM$4,Data!$B$3:$L$3,0))="n.q.",NA(),INDEX(Data!$B$4:$L$947,MATCH(Graphs!$CK337,Data!$A$4:$A$947,0),MATCH(Graphs!CM$4,Data!$B$3:$L$3,0)))</f>
        <v>214.31</v>
      </c>
      <c r="CN337" s="24">
        <f t="array" ref="CN337">IF(INDEX(Data!$B$4:$L$947,MATCH(Graphs!$CK337,Data!$A$4:$A$947,0),MATCH(Graphs!CN$4,Data!$B$3:$L$3,0))="n.q.",NA(),INDEX(Data!$B$4:$L$947,MATCH(Graphs!$CK337,Data!$A$4:$A$947,0),MATCH(Graphs!CN$4,Data!$B$3:$L$3,0)))</f>
        <v>200</v>
      </c>
      <c r="CO337" s="24" t="str">
        <f t="array" ref="CO337">IF(INDEX(Data!$B$4:$L$947,MATCH(Graphs!$CK337,Data!$A$4:$A$947,0),MATCH(Graphs!CO$4,Data!$B$3:$L$3,0))="n.q.",NA(),INDEX(Data!$B$4:$L$947,MATCH(Graphs!$CK337,Data!$A$4:$A$947,0),MATCH(Graphs!CO$4,Data!$B$3:$L$3,0)))</f>
        <v>#N/A</v>
      </c>
      <c r="CP337" s="24" t="str">
        <f t="array" ref="CP337">IF(INDEX(Data!$B$4:$L$947,MATCH(Graphs!$CK337,Data!$A$4:$A$947,0),MATCH(Graphs!CP$4,Data!$B$3:$L$3,0))="n.q.",NA(),INDEX(Data!$B$4:$L$947,MATCH(Graphs!$CK337,Data!$A$4:$A$947,0),MATCH(Graphs!CP$4,Data!$B$3:$L$3,0)))</f>
        <v>#N/A</v>
      </c>
      <c r="CQ337" s="5"/>
      <c r="CR337" s="24">
        <f t="array" ref="CR337">IF(INDEX(Data!$P$4:$Z$947,MATCH(Graphs!$CK337,Data!$A$4:$A$947,0),MATCH(Graphs!CR$4,Data!$P$3:$Z$3,0))="n.q.",NA(),INDEX(Data!$P$4:$Z$947,MATCH(Graphs!$CK337,Data!$A$4:$A$947,0),MATCH(Graphs!CR$4,Data!$P$3:$Z$3,0)))</f>
        <v>159.4273366</v>
      </c>
      <c r="CS337" s="24">
        <f t="array" ref="CS337">IF(INDEX(Data!$P$4:$Z$947,MATCH(Graphs!$CK337,Data!$A$4:$A$947,0),MATCH(Graphs!CS$4,Data!$P$3:$Z$3,0))="n.q.",NA(),INDEX(Data!$P$4:$Z$947,MATCH(Graphs!$CK337,Data!$A$4:$A$947,0),MATCH(Graphs!CS$4,Data!$P$3:$Z$3,0)))</f>
        <v>168.47</v>
      </c>
      <c r="CT337" s="24">
        <f t="array" ref="CT337">IF(INDEX(Data!$P$4:$Z$947,MATCH(Graphs!$CK337,Data!$A$4:$A$947,0),MATCH(Graphs!CT$4,Data!$P$3:$Z$3,0))="n.q.",NA(),INDEX(Data!$P$4:$Z$947,MATCH(Graphs!$CK337,Data!$A$4:$A$947,0),MATCH(Graphs!CT$4,Data!$P$3:$Z$3,0)))</f>
        <v>149.4687556</v>
      </c>
      <c r="CU337" s="24" t="str">
        <f t="array" ref="CU337">IF(INDEX(Data!$P$4:$Z$947,MATCH(Graphs!$CK337,Data!$A$4:$A$947,0),MATCH(Graphs!CU$4,Data!$P$3:$Z$3,0))="n.q.",NA(),INDEX(Data!$P$4:$Z$947,MATCH(Graphs!$CK337,Data!$A$4:$A$947,0),MATCH(Graphs!CU$4,Data!$P$3:$Z$3,0)))</f>
        <v>#N/A</v>
      </c>
      <c r="CV337" s="24" t="str">
        <f t="array" ref="CV337">IF(INDEX(Data!$P$4:$Z$947,MATCH(Graphs!$CK337,Data!$A$4:$A$947,0),MATCH(Graphs!CV$4,Data!$P$3:$Z$3,0))="n.q.",NA(),INDEX(Data!$P$4:$Z$947,MATCH(Graphs!$CK337,Data!$A$4:$A$947,0),MATCH(Graphs!CV$4,Data!$P$3:$Z$3,0)))</f>
        <v>#N/A</v>
      </c>
    </row>
    <row r="338" ht="14.25" customHeight="1"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5"/>
      <c r="CK338" s="22">
        <f>Data!A319</f>
        <v>43761</v>
      </c>
      <c r="CL338" s="24">
        <f t="array" ref="CL338">IF(INDEX(Data!$B$4:$L$947,MATCH(Graphs!$CK338,Data!$A$4:$A$947,0),MATCH(Graphs!CL$4,Data!$B$3:$L$3,0))="n.q.",NA(),INDEX(Data!$B$4:$L$947,MATCH(Graphs!$CK338,Data!$A$4:$A$947,0),MATCH(Graphs!CL$4,Data!$B$3:$L$3,0)))</f>
        <v>201.3</v>
      </c>
      <c r="CM338" s="24">
        <f t="array" ref="CM338">IF(INDEX(Data!$B$4:$L$947,MATCH(Graphs!$CK338,Data!$A$4:$A$947,0),MATCH(Graphs!CM$4,Data!$B$3:$L$3,0))="n.q.",NA(),INDEX(Data!$B$4:$L$947,MATCH(Graphs!$CK338,Data!$A$4:$A$947,0),MATCH(Graphs!CM$4,Data!$B$3:$L$3,0)))</f>
        <v>214.31</v>
      </c>
      <c r="CN338" s="24">
        <f t="array" ref="CN338">IF(INDEX(Data!$B$4:$L$947,MATCH(Graphs!$CK338,Data!$A$4:$A$947,0),MATCH(Graphs!CN$4,Data!$B$3:$L$3,0))="n.q.",NA(),INDEX(Data!$B$4:$L$947,MATCH(Graphs!$CK338,Data!$A$4:$A$947,0),MATCH(Graphs!CN$4,Data!$B$3:$L$3,0)))</f>
        <v>201</v>
      </c>
      <c r="CO338" s="24" t="str">
        <f t="array" ref="CO338">IF(INDEX(Data!$B$4:$L$947,MATCH(Graphs!$CK338,Data!$A$4:$A$947,0),MATCH(Graphs!CO$4,Data!$B$3:$L$3,0))="n.q.",NA(),INDEX(Data!$B$4:$L$947,MATCH(Graphs!$CK338,Data!$A$4:$A$947,0),MATCH(Graphs!CO$4,Data!$B$3:$L$3,0)))</f>
        <v>#N/A</v>
      </c>
      <c r="CP338" s="24" t="str">
        <f t="array" ref="CP338">IF(INDEX(Data!$B$4:$L$947,MATCH(Graphs!$CK338,Data!$A$4:$A$947,0),MATCH(Graphs!CP$4,Data!$B$3:$L$3,0))="n.q.",NA(),INDEX(Data!$B$4:$L$947,MATCH(Graphs!$CK338,Data!$A$4:$A$947,0),MATCH(Graphs!CP$4,Data!$B$3:$L$3,0)))</f>
        <v>#N/A</v>
      </c>
      <c r="CQ338" s="5"/>
      <c r="CR338" s="24">
        <f t="array" ref="CR338">IF(INDEX(Data!$P$4:$Z$947,MATCH(Graphs!$CK338,Data!$A$4:$A$947,0),MATCH(Graphs!CR$4,Data!$P$3:$Z$3,0))="n.q.",NA(),INDEX(Data!$P$4:$Z$947,MATCH(Graphs!$CK338,Data!$A$4:$A$947,0),MATCH(Graphs!CR$4,Data!$P$3:$Z$3,0)))</f>
        <v>156.7023285</v>
      </c>
      <c r="CS338" s="24">
        <f t="array" ref="CS338">IF(INDEX(Data!$P$4:$Z$947,MATCH(Graphs!$CK338,Data!$A$4:$A$947,0),MATCH(Graphs!CS$4,Data!$P$3:$Z$3,0))="n.q.",NA(),INDEX(Data!$P$4:$Z$947,MATCH(Graphs!$CK338,Data!$A$4:$A$947,0),MATCH(Graphs!CS$4,Data!$P$3:$Z$3,0)))</f>
        <v>167.54</v>
      </c>
      <c r="CT338" s="24">
        <f t="array" ref="CT338">IF(INDEX(Data!$P$4:$Z$947,MATCH(Graphs!$CK338,Data!$A$4:$A$947,0),MATCH(Graphs!CT$4,Data!$P$3:$Z$3,0))="n.q.",NA(),INDEX(Data!$P$4:$Z$947,MATCH(Graphs!$CK338,Data!$A$4:$A$947,0),MATCH(Graphs!CT$4,Data!$P$3:$Z$3,0)))</f>
        <v>148.3412748</v>
      </c>
      <c r="CU338" s="24" t="str">
        <f t="array" ref="CU338">IF(INDEX(Data!$P$4:$Z$947,MATCH(Graphs!$CK338,Data!$A$4:$A$947,0),MATCH(Graphs!CU$4,Data!$P$3:$Z$3,0))="n.q.",NA(),INDEX(Data!$P$4:$Z$947,MATCH(Graphs!$CK338,Data!$A$4:$A$947,0),MATCH(Graphs!CU$4,Data!$P$3:$Z$3,0)))</f>
        <v>#N/A</v>
      </c>
      <c r="CV338" s="24" t="str">
        <f t="array" ref="CV338">IF(INDEX(Data!$P$4:$Z$947,MATCH(Graphs!$CK338,Data!$A$4:$A$947,0),MATCH(Graphs!CV$4,Data!$P$3:$Z$3,0))="n.q.",NA(),INDEX(Data!$P$4:$Z$947,MATCH(Graphs!$CK338,Data!$A$4:$A$947,0),MATCH(Graphs!CV$4,Data!$P$3:$Z$3,0)))</f>
        <v>#N/A</v>
      </c>
    </row>
    <row r="339" ht="14.25" customHeight="1"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5"/>
      <c r="CK339" s="22">
        <f>Data!A320</f>
        <v>43754</v>
      </c>
      <c r="CL339" s="24">
        <f t="array" ref="CL339">IF(INDEX(Data!$B$4:$L$947,MATCH(Graphs!$CK339,Data!$A$4:$A$947,0),MATCH(Graphs!CL$4,Data!$B$3:$L$3,0))="n.q.",NA(),INDEX(Data!$B$4:$L$947,MATCH(Graphs!$CK339,Data!$A$4:$A$947,0),MATCH(Graphs!CL$4,Data!$B$3:$L$3,0)))</f>
        <v>199.57</v>
      </c>
      <c r="CM339" s="24">
        <f t="array" ref="CM339">IF(INDEX(Data!$B$4:$L$947,MATCH(Graphs!$CK339,Data!$A$4:$A$947,0),MATCH(Graphs!CM$4,Data!$B$3:$L$3,0))="n.q.",NA(),INDEX(Data!$B$4:$L$947,MATCH(Graphs!$CK339,Data!$A$4:$A$947,0),MATCH(Graphs!CM$4,Data!$B$3:$L$3,0)))</f>
        <v>216.79</v>
      </c>
      <c r="CN339" s="24">
        <f t="array" ref="CN339">IF(INDEX(Data!$B$4:$L$947,MATCH(Graphs!$CK339,Data!$A$4:$A$947,0),MATCH(Graphs!CN$4,Data!$B$3:$L$3,0))="n.q.",NA(),INDEX(Data!$B$4:$L$947,MATCH(Graphs!$CK339,Data!$A$4:$A$947,0),MATCH(Graphs!CN$4,Data!$B$3:$L$3,0)))</f>
        <v>196</v>
      </c>
      <c r="CO339" s="24" t="str">
        <f t="array" ref="CO339">IF(INDEX(Data!$B$4:$L$947,MATCH(Graphs!$CK339,Data!$A$4:$A$947,0),MATCH(Graphs!CO$4,Data!$B$3:$L$3,0))="n.q.",NA(),INDEX(Data!$B$4:$L$947,MATCH(Graphs!$CK339,Data!$A$4:$A$947,0),MATCH(Graphs!CO$4,Data!$B$3:$L$3,0)))</f>
        <v>#N/A</v>
      </c>
      <c r="CP339" s="24" t="str">
        <f t="array" ref="CP339">IF(INDEX(Data!$B$4:$L$947,MATCH(Graphs!$CK339,Data!$A$4:$A$947,0),MATCH(Graphs!CP$4,Data!$B$3:$L$3,0))="n.q.",NA(),INDEX(Data!$B$4:$L$947,MATCH(Graphs!$CK339,Data!$A$4:$A$947,0),MATCH(Graphs!CP$4,Data!$B$3:$L$3,0)))</f>
        <v>#N/A</v>
      </c>
      <c r="CQ339" s="5"/>
      <c r="CR339" s="24">
        <f t="array" ref="CR339">IF(INDEX(Data!$P$4:$Z$947,MATCH(Graphs!$CK339,Data!$A$4:$A$947,0),MATCH(Graphs!CR$4,Data!$P$3:$Z$3,0))="n.q.",NA(),INDEX(Data!$P$4:$Z$947,MATCH(Graphs!$CK339,Data!$A$4:$A$947,0),MATCH(Graphs!CR$4,Data!$P$3:$Z$3,0)))</f>
        <v>156.30839</v>
      </c>
      <c r="CS339" s="24">
        <f t="array" ref="CS339">IF(INDEX(Data!$P$4:$Z$947,MATCH(Graphs!$CK339,Data!$A$4:$A$947,0),MATCH(Graphs!CS$4,Data!$P$3:$Z$3,0))="n.q.",NA(),INDEX(Data!$P$4:$Z$947,MATCH(Graphs!$CK339,Data!$A$4:$A$947,0),MATCH(Graphs!CS$4,Data!$P$3:$Z$3,0)))</f>
        <v>167.79</v>
      </c>
      <c r="CT339" s="24">
        <f t="array" ref="CT339">IF(INDEX(Data!$P$4:$Z$947,MATCH(Graphs!$CK339,Data!$A$4:$A$947,0),MATCH(Graphs!CT$4,Data!$P$3:$Z$3,0))="n.q.",NA(),INDEX(Data!$P$4:$Z$947,MATCH(Graphs!$CK339,Data!$A$4:$A$947,0),MATCH(Graphs!CT$4,Data!$P$3:$Z$3,0)))</f>
        <v>150.5668934</v>
      </c>
      <c r="CU339" s="24" t="str">
        <f t="array" ref="CU339">IF(INDEX(Data!$P$4:$Z$947,MATCH(Graphs!$CK339,Data!$A$4:$A$947,0),MATCH(Graphs!CU$4,Data!$P$3:$Z$3,0))="n.q.",NA(),INDEX(Data!$P$4:$Z$947,MATCH(Graphs!$CK339,Data!$A$4:$A$947,0),MATCH(Graphs!CU$4,Data!$P$3:$Z$3,0)))</f>
        <v>#N/A</v>
      </c>
      <c r="CV339" s="24" t="str">
        <f t="array" ref="CV339">IF(INDEX(Data!$P$4:$Z$947,MATCH(Graphs!$CK339,Data!$A$4:$A$947,0),MATCH(Graphs!CV$4,Data!$P$3:$Z$3,0))="n.q.",NA(),INDEX(Data!$P$4:$Z$947,MATCH(Graphs!$CK339,Data!$A$4:$A$947,0),MATCH(Graphs!CV$4,Data!$P$3:$Z$3,0)))</f>
        <v>#N/A</v>
      </c>
    </row>
    <row r="340" ht="14.25" customHeight="1"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5"/>
      <c r="CK340" s="22">
        <f>Data!A321</f>
        <v>43747</v>
      </c>
      <c r="CL340" s="24">
        <f t="array" ref="CL340">IF(INDEX(Data!$B$4:$L$947,MATCH(Graphs!$CK340,Data!$A$4:$A$947,0),MATCH(Graphs!CL$4,Data!$B$3:$L$3,0))="n.q.",NA(),INDEX(Data!$B$4:$L$947,MATCH(Graphs!$CK340,Data!$A$4:$A$947,0),MATCH(Graphs!CL$4,Data!$B$3:$L$3,0)))</f>
        <v>196.08</v>
      </c>
      <c r="CM340" s="24">
        <f t="array" ref="CM340">IF(INDEX(Data!$B$4:$L$947,MATCH(Graphs!$CK340,Data!$A$4:$A$947,0),MATCH(Graphs!CM$4,Data!$B$3:$L$3,0))="n.q.",NA(),INDEX(Data!$B$4:$L$947,MATCH(Graphs!$CK340,Data!$A$4:$A$947,0),MATCH(Graphs!CM$4,Data!$B$3:$L$3,0)))</f>
        <v>210.63</v>
      </c>
      <c r="CN340" s="24">
        <f t="array" ref="CN340">IF(INDEX(Data!$B$4:$L$947,MATCH(Graphs!$CK340,Data!$A$4:$A$947,0),MATCH(Graphs!CN$4,Data!$B$3:$L$3,0))="n.q.",NA(),INDEX(Data!$B$4:$L$947,MATCH(Graphs!$CK340,Data!$A$4:$A$947,0),MATCH(Graphs!CN$4,Data!$B$3:$L$3,0)))</f>
        <v>189</v>
      </c>
      <c r="CO340" s="24" t="str">
        <f t="array" ref="CO340">IF(INDEX(Data!$B$4:$L$947,MATCH(Graphs!$CK340,Data!$A$4:$A$947,0),MATCH(Graphs!CO$4,Data!$B$3:$L$3,0))="n.q.",NA(),INDEX(Data!$B$4:$L$947,MATCH(Graphs!$CK340,Data!$A$4:$A$947,0),MATCH(Graphs!CO$4,Data!$B$3:$L$3,0)))</f>
        <v>#N/A</v>
      </c>
      <c r="CP340" s="24" t="str">
        <f t="array" ref="CP340">IF(INDEX(Data!$B$4:$L$947,MATCH(Graphs!$CK340,Data!$A$4:$A$947,0),MATCH(Graphs!CP$4,Data!$B$3:$L$3,0))="n.q.",NA(),INDEX(Data!$B$4:$L$947,MATCH(Graphs!$CK340,Data!$A$4:$A$947,0),MATCH(Graphs!CP$4,Data!$B$3:$L$3,0)))</f>
        <v>#N/A</v>
      </c>
      <c r="CQ340" s="5"/>
      <c r="CR340" s="24">
        <f t="array" ref="CR340">IF(INDEX(Data!$P$4:$Z$947,MATCH(Graphs!$CK340,Data!$A$4:$A$947,0),MATCH(Graphs!CR$4,Data!$P$3:$Z$3,0))="n.q.",NA(),INDEX(Data!$P$4:$Z$947,MATCH(Graphs!$CK340,Data!$A$4:$A$947,0),MATCH(Graphs!CR$4,Data!$P$3:$Z$3,0)))</f>
        <v>154.9676714</v>
      </c>
      <c r="CS340" s="24">
        <f t="array" ref="CS340">IF(INDEX(Data!$P$4:$Z$947,MATCH(Graphs!$CK340,Data!$A$4:$A$947,0),MATCH(Graphs!CS$4,Data!$P$3:$Z$3,0))="n.q.",NA(),INDEX(Data!$P$4:$Z$947,MATCH(Graphs!$CK340,Data!$A$4:$A$947,0),MATCH(Graphs!CS$4,Data!$P$3:$Z$3,0)))</f>
        <v>166.29</v>
      </c>
      <c r="CT340" s="24">
        <f t="array" ref="CT340">IF(INDEX(Data!$P$4:$Z$947,MATCH(Graphs!$CK340,Data!$A$4:$A$947,0),MATCH(Graphs!CT$4,Data!$P$3:$Z$3,0))="n.q.",NA(),INDEX(Data!$P$4:$Z$947,MATCH(Graphs!$CK340,Data!$A$4:$A$947,0),MATCH(Graphs!CT$4,Data!$P$3:$Z$3,0)))</f>
        <v>150.2595392</v>
      </c>
      <c r="CU340" s="24" t="str">
        <f t="array" ref="CU340">IF(INDEX(Data!$P$4:$Z$947,MATCH(Graphs!$CK340,Data!$A$4:$A$947,0),MATCH(Graphs!CU$4,Data!$P$3:$Z$3,0))="n.q.",NA(),INDEX(Data!$P$4:$Z$947,MATCH(Graphs!$CK340,Data!$A$4:$A$947,0),MATCH(Graphs!CU$4,Data!$P$3:$Z$3,0)))</f>
        <v>#N/A</v>
      </c>
      <c r="CV340" s="24" t="str">
        <f t="array" ref="CV340">IF(INDEX(Data!$P$4:$Z$947,MATCH(Graphs!$CK340,Data!$A$4:$A$947,0),MATCH(Graphs!CV$4,Data!$P$3:$Z$3,0))="n.q.",NA(),INDEX(Data!$P$4:$Z$947,MATCH(Graphs!$CK340,Data!$A$4:$A$947,0),MATCH(Graphs!CV$4,Data!$P$3:$Z$3,0)))</f>
        <v>#N/A</v>
      </c>
    </row>
    <row r="341" ht="14.25" customHeight="1"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5"/>
      <c r="CK341" s="22">
        <f>Data!A322</f>
        <v>43740</v>
      </c>
      <c r="CL341" s="24">
        <f t="array" ref="CL341">IF(INDEX(Data!$B$4:$L$947,MATCH(Graphs!$CK341,Data!$A$4:$A$947,0),MATCH(Graphs!CL$4,Data!$B$3:$L$3,0))="n.q.",NA(),INDEX(Data!$B$4:$L$947,MATCH(Graphs!$CK341,Data!$A$4:$A$947,0),MATCH(Graphs!CL$4,Data!$B$3:$L$3,0)))</f>
        <v>190.01</v>
      </c>
      <c r="CM341" s="24">
        <f t="array" ref="CM341">IF(INDEX(Data!$B$4:$L$947,MATCH(Graphs!$CK341,Data!$A$4:$A$947,0),MATCH(Graphs!CM$4,Data!$B$3:$L$3,0))="n.q.",NA(),INDEX(Data!$B$4:$L$947,MATCH(Graphs!$CK341,Data!$A$4:$A$947,0),MATCH(Graphs!CM$4,Data!$B$3:$L$3,0)))</f>
        <v>206.04</v>
      </c>
      <c r="CN341" s="24">
        <f t="array" ref="CN341">IF(INDEX(Data!$B$4:$L$947,MATCH(Graphs!$CK341,Data!$A$4:$A$947,0),MATCH(Graphs!CN$4,Data!$B$3:$L$3,0))="n.q.",NA(),INDEX(Data!$B$4:$L$947,MATCH(Graphs!$CK341,Data!$A$4:$A$947,0),MATCH(Graphs!CN$4,Data!$B$3:$L$3,0)))</f>
        <v>187</v>
      </c>
      <c r="CO341" s="24" t="str">
        <f t="array" ref="CO341">IF(INDEX(Data!$B$4:$L$947,MATCH(Graphs!$CK341,Data!$A$4:$A$947,0),MATCH(Graphs!CO$4,Data!$B$3:$L$3,0))="n.q.",NA(),INDEX(Data!$B$4:$L$947,MATCH(Graphs!$CK341,Data!$A$4:$A$947,0),MATCH(Graphs!CO$4,Data!$B$3:$L$3,0)))</f>
        <v>#N/A</v>
      </c>
      <c r="CP341" s="24" t="str">
        <f t="array" ref="CP341">IF(INDEX(Data!$B$4:$L$947,MATCH(Graphs!$CK341,Data!$A$4:$A$947,0),MATCH(Graphs!CP$4,Data!$B$3:$L$3,0))="n.q.",NA(),INDEX(Data!$B$4:$L$947,MATCH(Graphs!$CK341,Data!$A$4:$A$947,0),MATCH(Graphs!CP$4,Data!$B$3:$L$3,0)))</f>
        <v>#N/A</v>
      </c>
      <c r="CQ341" s="5"/>
      <c r="CR341" s="24">
        <f t="array" ref="CR341">IF(INDEX(Data!$P$4:$Z$947,MATCH(Graphs!$CK341,Data!$A$4:$A$947,0),MATCH(Graphs!CR$4,Data!$P$3:$Z$3,0))="n.q.",NA(),INDEX(Data!$P$4:$Z$947,MATCH(Graphs!$CK341,Data!$A$4:$A$947,0),MATCH(Graphs!CR$4,Data!$P$3:$Z$3,0)))</f>
        <v>154.1418764</v>
      </c>
      <c r="CS341" s="24">
        <f t="array" ref="CS341">IF(INDEX(Data!$P$4:$Z$947,MATCH(Graphs!$CK341,Data!$A$4:$A$947,0),MATCH(Graphs!CS$4,Data!$P$3:$Z$3,0))="n.q.",NA(),INDEX(Data!$P$4:$Z$947,MATCH(Graphs!$CK341,Data!$A$4:$A$947,0),MATCH(Graphs!CS$4,Data!$P$3:$Z$3,0)))</f>
        <v>167.54</v>
      </c>
      <c r="CT341" s="24">
        <f t="array" ref="CT341">IF(INDEX(Data!$P$4:$Z$947,MATCH(Graphs!$CK341,Data!$A$4:$A$947,0),MATCH(Graphs!CT$4,Data!$P$3:$Z$3,0))="n.q.",NA(),INDEX(Data!$P$4:$Z$947,MATCH(Graphs!$CK341,Data!$A$4:$A$947,0),MATCH(Graphs!CT$4,Data!$P$3:$Z$3,0)))</f>
        <v>148.2837529</v>
      </c>
      <c r="CU341" s="24" t="str">
        <f t="array" ref="CU341">IF(INDEX(Data!$P$4:$Z$947,MATCH(Graphs!$CK341,Data!$A$4:$A$947,0),MATCH(Graphs!CU$4,Data!$P$3:$Z$3,0))="n.q.",NA(),INDEX(Data!$P$4:$Z$947,MATCH(Graphs!$CK341,Data!$A$4:$A$947,0),MATCH(Graphs!CU$4,Data!$P$3:$Z$3,0)))</f>
        <v>#N/A</v>
      </c>
      <c r="CV341" s="24" t="str">
        <f t="array" ref="CV341">IF(INDEX(Data!$P$4:$Z$947,MATCH(Graphs!$CK341,Data!$A$4:$A$947,0),MATCH(Graphs!CV$4,Data!$P$3:$Z$3,0))="n.q.",NA(),INDEX(Data!$P$4:$Z$947,MATCH(Graphs!$CK341,Data!$A$4:$A$947,0),MATCH(Graphs!CV$4,Data!$P$3:$Z$3,0)))</f>
        <v>#N/A</v>
      </c>
    </row>
    <row r="342" ht="14.25" customHeight="1"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5"/>
      <c r="CK342" s="22">
        <f>Data!A323</f>
        <v>43733</v>
      </c>
      <c r="CL342" s="24">
        <f t="array" ref="CL342">IF(INDEX(Data!$B$4:$L$947,MATCH(Graphs!$CK342,Data!$A$4:$A$947,0),MATCH(Graphs!CL$4,Data!$B$3:$L$3,0))="n.q.",NA(),INDEX(Data!$B$4:$L$947,MATCH(Graphs!$CK342,Data!$A$4:$A$947,0),MATCH(Graphs!CL$4,Data!$B$3:$L$3,0)))</f>
        <v>183.72</v>
      </c>
      <c r="CM342" s="24">
        <f t="array" ref="CM342">IF(INDEX(Data!$B$4:$L$947,MATCH(Graphs!$CK342,Data!$A$4:$A$947,0),MATCH(Graphs!CM$4,Data!$B$3:$L$3,0))="n.q.",NA(),INDEX(Data!$B$4:$L$947,MATCH(Graphs!$CK342,Data!$A$4:$A$947,0),MATCH(Graphs!CM$4,Data!$B$3:$L$3,0)))</f>
        <v>205.4</v>
      </c>
      <c r="CN342" s="24">
        <f t="array" ref="CN342">IF(INDEX(Data!$B$4:$L$947,MATCH(Graphs!$CK342,Data!$A$4:$A$947,0),MATCH(Graphs!CN$4,Data!$B$3:$L$3,0))="n.q.",NA(),INDEX(Data!$B$4:$L$947,MATCH(Graphs!$CK342,Data!$A$4:$A$947,0),MATCH(Graphs!CN$4,Data!$B$3:$L$3,0)))</f>
        <v>182</v>
      </c>
      <c r="CO342" s="24" t="str">
        <f t="array" ref="CO342">IF(INDEX(Data!$B$4:$L$947,MATCH(Graphs!$CK342,Data!$A$4:$A$947,0),MATCH(Graphs!CO$4,Data!$B$3:$L$3,0))="n.q.",NA(),INDEX(Data!$B$4:$L$947,MATCH(Graphs!$CK342,Data!$A$4:$A$947,0),MATCH(Graphs!CO$4,Data!$B$3:$L$3,0)))</f>
        <v>#N/A</v>
      </c>
      <c r="CP342" s="24" t="str">
        <f t="array" ref="CP342">IF(INDEX(Data!$B$4:$L$947,MATCH(Graphs!$CK342,Data!$A$4:$A$947,0),MATCH(Graphs!CP$4,Data!$B$3:$L$3,0))="n.q.",NA(),INDEX(Data!$B$4:$L$947,MATCH(Graphs!$CK342,Data!$A$4:$A$947,0),MATCH(Graphs!CP$4,Data!$B$3:$L$3,0)))</f>
        <v>#N/A</v>
      </c>
      <c r="CQ342" s="5"/>
      <c r="CR342" s="24">
        <f t="array" ref="CR342">IF(INDEX(Data!$P$4:$Z$947,MATCH(Graphs!$CK342,Data!$A$4:$A$947,0),MATCH(Graphs!CR$4,Data!$P$3:$Z$3,0))="n.q.",NA(),INDEX(Data!$P$4:$Z$947,MATCH(Graphs!$CK342,Data!$A$4:$A$947,0),MATCH(Graphs!CR$4,Data!$P$3:$Z$3,0)))</f>
        <v>150.2913859</v>
      </c>
      <c r="CS342" s="24">
        <f t="array" ref="CS342">IF(INDEX(Data!$P$4:$Z$947,MATCH(Graphs!$CK342,Data!$A$4:$A$947,0),MATCH(Graphs!CS$4,Data!$P$3:$Z$3,0))="n.q.",NA(),INDEX(Data!$P$4:$Z$947,MATCH(Graphs!$CK342,Data!$A$4:$A$947,0),MATCH(Graphs!CS$4,Data!$P$3:$Z$3,0)))</f>
        <v>165.79</v>
      </c>
      <c r="CT342" s="24">
        <f t="array" ref="CT342">IF(INDEX(Data!$P$4:$Z$947,MATCH(Graphs!$CK342,Data!$A$4:$A$947,0),MATCH(Graphs!CT$4,Data!$P$3:$Z$3,0))="n.q.",NA(),INDEX(Data!$P$4:$Z$947,MATCH(Graphs!$CK342,Data!$A$4:$A$947,0),MATCH(Graphs!CT$4,Data!$P$3:$Z$3,0)))</f>
        <v>144.7823712</v>
      </c>
      <c r="CU342" s="24" t="str">
        <f t="array" ref="CU342">IF(INDEX(Data!$P$4:$Z$947,MATCH(Graphs!$CK342,Data!$A$4:$A$947,0),MATCH(Graphs!CU$4,Data!$P$3:$Z$3,0))="n.q.",NA(),INDEX(Data!$P$4:$Z$947,MATCH(Graphs!$CK342,Data!$A$4:$A$947,0),MATCH(Graphs!CU$4,Data!$P$3:$Z$3,0)))</f>
        <v>#N/A</v>
      </c>
      <c r="CV342" s="24" t="str">
        <f t="array" ref="CV342">IF(INDEX(Data!$P$4:$Z$947,MATCH(Graphs!$CK342,Data!$A$4:$A$947,0),MATCH(Graphs!CV$4,Data!$P$3:$Z$3,0))="n.q.",NA(),INDEX(Data!$P$4:$Z$947,MATCH(Graphs!$CK342,Data!$A$4:$A$947,0),MATCH(Graphs!CV$4,Data!$P$3:$Z$3,0)))</f>
        <v>#N/A</v>
      </c>
    </row>
    <row r="343" ht="14.25" customHeight="1"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5"/>
      <c r="CK343" s="22">
        <f>Data!A324</f>
        <v>43726</v>
      </c>
      <c r="CL343" s="24">
        <f t="array" ref="CL343">IF(INDEX(Data!$B$4:$L$947,MATCH(Graphs!$CK343,Data!$A$4:$A$947,0),MATCH(Graphs!CL$4,Data!$B$3:$L$3,0))="n.q.",NA(),INDEX(Data!$B$4:$L$947,MATCH(Graphs!$CK343,Data!$A$4:$A$947,0),MATCH(Graphs!CL$4,Data!$B$3:$L$3,0)))</f>
        <v>185.98</v>
      </c>
      <c r="CM343" s="24">
        <f t="array" ref="CM343">IF(INDEX(Data!$B$4:$L$947,MATCH(Graphs!$CK343,Data!$A$4:$A$947,0),MATCH(Graphs!CM$4,Data!$B$3:$L$3,0))="n.q.",NA(),INDEX(Data!$B$4:$L$947,MATCH(Graphs!$CK343,Data!$A$4:$A$947,0),MATCH(Graphs!CM$4,Data!$B$3:$L$3,0)))</f>
        <v>205.67</v>
      </c>
      <c r="CN343" s="24">
        <f t="array" ref="CN343">IF(INDEX(Data!$B$4:$L$947,MATCH(Graphs!$CK343,Data!$A$4:$A$947,0),MATCH(Graphs!CN$4,Data!$B$3:$L$3,0))="n.q.",NA(),INDEX(Data!$B$4:$L$947,MATCH(Graphs!$CK343,Data!$A$4:$A$947,0),MATCH(Graphs!CN$4,Data!$B$3:$L$3,0)))</f>
        <v>180</v>
      </c>
      <c r="CO343" s="24" t="str">
        <f t="array" ref="CO343">IF(INDEX(Data!$B$4:$L$947,MATCH(Graphs!$CK343,Data!$A$4:$A$947,0),MATCH(Graphs!CO$4,Data!$B$3:$L$3,0))="n.q.",NA(),INDEX(Data!$B$4:$L$947,MATCH(Graphs!$CK343,Data!$A$4:$A$947,0),MATCH(Graphs!CO$4,Data!$B$3:$L$3,0)))</f>
        <v>#N/A</v>
      </c>
      <c r="CP343" s="24" t="str">
        <f t="array" ref="CP343">IF(INDEX(Data!$B$4:$L$947,MATCH(Graphs!$CK343,Data!$A$4:$A$947,0),MATCH(Graphs!CP$4,Data!$B$3:$L$3,0))="n.q.",NA(),INDEX(Data!$B$4:$L$947,MATCH(Graphs!$CK343,Data!$A$4:$A$947,0),MATCH(Graphs!CP$4,Data!$B$3:$L$3,0)))</f>
        <v>#N/A</v>
      </c>
      <c r="CQ343" s="5"/>
      <c r="CR343" s="24">
        <f t="array" ref="CR343">IF(INDEX(Data!$P$4:$Z$947,MATCH(Graphs!$CK343,Data!$A$4:$A$947,0),MATCH(Graphs!CR$4,Data!$P$3:$Z$3,0))="n.q.",NA(),INDEX(Data!$P$4:$Z$947,MATCH(Graphs!$CK343,Data!$A$4:$A$947,0),MATCH(Graphs!CR$4,Data!$P$3:$Z$3,0)))</f>
        <v>147.1908079</v>
      </c>
      <c r="CS343" s="24">
        <f t="array" ref="CS343">IF(INDEX(Data!$P$4:$Z$947,MATCH(Graphs!$CK343,Data!$A$4:$A$947,0),MATCH(Graphs!CS$4,Data!$P$3:$Z$3,0))="n.q.",NA(),INDEX(Data!$P$4:$Z$947,MATCH(Graphs!$CK343,Data!$A$4:$A$947,0),MATCH(Graphs!CS$4,Data!$P$3:$Z$3,0)))</f>
        <v>165.79</v>
      </c>
      <c r="CT343" s="24">
        <f t="array" ref="CT343">IF(INDEX(Data!$P$4:$Z$947,MATCH(Graphs!$CK343,Data!$A$4:$A$947,0),MATCH(Graphs!CT$4,Data!$P$3:$Z$3,0))="n.q.",NA(),INDEX(Data!$P$4:$Z$947,MATCH(Graphs!$CK343,Data!$A$4:$A$947,0),MATCH(Graphs!CT$4,Data!$P$3:$Z$3,0)))</f>
        <v>142.947616</v>
      </c>
      <c r="CU343" s="24" t="str">
        <f t="array" ref="CU343">IF(INDEX(Data!$P$4:$Z$947,MATCH(Graphs!$CK343,Data!$A$4:$A$947,0),MATCH(Graphs!CU$4,Data!$P$3:$Z$3,0))="n.q.",NA(),INDEX(Data!$P$4:$Z$947,MATCH(Graphs!$CK343,Data!$A$4:$A$947,0),MATCH(Graphs!CU$4,Data!$P$3:$Z$3,0)))</f>
        <v>#N/A</v>
      </c>
      <c r="CV343" s="24" t="str">
        <f t="array" ref="CV343">IF(INDEX(Data!$P$4:$Z$947,MATCH(Graphs!$CK343,Data!$A$4:$A$947,0),MATCH(Graphs!CV$4,Data!$P$3:$Z$3,0))="n.q.",NA(),INDEX(Data!$P$4:$Z$947,MATCH(Graphs!$CK343,Data!$A$4:$A$947,0),MATCH(Graphs!CV$4,Data!$P$3:$Z$3,0)))</f>
        <v>#N/A</v>
      </c>
    </row>
    <row r="344" ht="14.25" customHeight="1"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5"/>
      <c r="CK344" s="22">
        <f>Data!A325</f>
        <v>43719</v>
      </c>
      <c r="CL344" s="24">
        <f t="array" ref="CL344">IF(INDEX(Data!$B$4:$L$947,MATCH(Graphs!$CK344,Data!$A$4:$A$947,0),MATCH(Graphs!CL$4,Data!$B$3:$L$3,0))="n.q.",NA(),INDEX(Data!$B$4:$L$947,MATCH(Graphs!$CK344,Data!$A$4:$A$947,0),MATCH(Graphs!CL$4,Data!$B$3:$L$3,0)))</f>
        <v>185.48</v>
      </c>
      <c r="CM344" s="24">
        <f t="array" ref="CM344">IF(INDEX(Data!$B$4:$L$947,MATCH(Graphs!$CK344,Data!$A$4:$A$947,0),MATCH(Graphs!CM$4,Data!$B$3:$L$3,0))="n.q.",NA(),INDEX(Data!$B$4:$L$947,MATCH(Graphs!$CK344,Data!$A$4:$A$947,0),MATCH(Graphs!CM$4,Data!$B$3:$L$3,0)))</f>
        <v>201.54</v>
      </c>
      <c r="CN344" s="24">
        <f t="array" ref="CN344">IF(INDEX(Data!$B$4:$L$947,MATCH(Graphs!$CK344,Data!$A$4:$A$947,0),MATCH(Graphs!CN$4,Data!$B$3:$L$3,0))="n.q.",NA(),INDEX(Data!$B$4:$L$947,MATCH(Graphs!$CK344,Data!$A$4:$A$947,0),MATCH(Graphs!CN$4,Data!$B$3:$L$3,0)))</f>
        <v>178</v>
      </c>
      <c r="CO344" s="24" t="str">
        <f t="array" ref="CO344">IF(INDEX(Data!$B$4:$L$947,MATCH(Graphs!$CK344,Data!$A$4:$A$947,0),MATCH(Graphs!CO$4,Data!$B$3:$L$3,0))="n.q.",NA(),INDEX(Data!$B$4:$L$947,MATCH(Graphs!$CK344,Data!$A$4:$A$947,0),MATCH(Graphs!CO$4,Data!$B$3:$L$3,0)))</f>
        <v>#N/A</v>
      </c>
      <c r="CP344" s="24" t="str">
        <f t="array" ref="CP344">IF(INDEX(Data!$B$4:$L$947,MATCH(Graphs!$CK344,Data!$A$4:$A$947,0),MATCH(Graphs!CP$4,Data!$B$3:$L$3,0))="n.q.",NA(),INDEX(Data!$B$4:$L$947,MATCH(Graphs!$CK344,Data!$A$4:$A$947,0),MATCH(Graphs!CP$4,Data!$B$3:$L$3,0)))</f>
        <v>#N/A</v>
      </c>
      <c r="CQ344" s="5"/>
      <c r="CR344" s="24">
        <f t="array" ref="CR344">IF(INDEX(Data!$P$4:$Z$947,MATCH(Graphs!$CK344,Data!$A$4:$A$947,0),MATCH(Graphs!CR$4,Data!$P$3:$Z$3,0))="n.q.",NA(),INDEX(Data!$P$4:$Z$947,MATCH(Graphs!$CK344,Data!$A$4:$A$947,0),MATCH(Graphs!CR$4,Data!$P$3:$Z$3,0)))</f>
        <v>143.8335</v>
      </c>
      <c r="CS344" s="24">
        <f t="array" ref="CS344">IF(INDEX(Data!$P$4:$Z$947,MATCH(Graphs!$CK344,Data!$A$4:$A$947,0),MATCH(Graphs!CS$4,Data!$P$3:$Z$3,0))="n.q.",NA(),INDEX(Data!$P$4:$Z$947,MATCH(Graphs!$CK344,Data!$A$4:$A$947,0),MATCH(Graphs!CS$4,Data!$P$3:$Z$3,0)))</f>
        <v>165.79</v>
      </c>
      <c r="CT344" s="24">
        <f t="array" ref="CT344">IF(INDEX(Data!$P$4:$Z$947,MATCH(Graphs!$CK344,Data!$A$4:$A$947,0),MATCH(Graphs!CT$4,Data!$P$3:$Z$3,0))="n.q.",NA(),INDEX(Data!$P$4:$Z$947,MATCH(Graphs!$CK344,Data!$A$4:$A$947,0),MATCH(Graphs!CT$4,Data!$P$3:$Z$3,0)))</f>
        <v>141.7795147</v>
      </c>
      <c r="CU344" s="24" t="str">
        <f t="array" ref="CU344">IF(INDEX(Data!$P$4:$Z$947,MATCH(Graphs!$CK344,Data!$A$4:$A$947,0),MATCH(Graphs!CU$4,Data!$P$3:$Z$3,0))="n.q.",NA(),INDEX(Data!$P$4:$Z$947,MATCH(Graphs!$CK344,Data!$A$4:$A$947,0),MATCH(Graphs!CU$4,Data!$P$3:$Z$3,0)))</f>
        <v>#N/A</v>
      </c>
      <c r="CV344" s="24" t="str">
        <f t="array" ref="CV344">IF(INDEX(Data!$P$4:$Z$947,MATCH(Graphs!$CK344,Data!$A$4:$A$947,0),MATCH(Graphs!CV$4,Data!$P$3:$Z$3,0))="n.q.",NA(),INDEX(Data!$P$4:$Z$947,MATCH(Graphs!$CK344,Data!$A$4:$A$947,0),MATCH(Graphs!CV$4,Data!$P$3:$Z$3,0)))</f>
        <v>#N/A</v>
      </c>
    </row>
    <row r="345" ht="14.25" customHeight="1"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5"/>
      <c r="CK345" s="22">
        <f>Data!A326</f>
        <v>43712</v>
      </c>
      <c r="CL345" s="24">
        <f t="array" ref="CL345">IF(INDEX(Data!$B$4:$L$947,MATCH(Graphs!$CK345,Data!$A$4:$A$947,0),MATCH(Graphs!CL$4,Data!$B$3:$L$3,0))="n.q.",NA(),INDEX(Data!$B$4:$L$947,MATCH(Graphs!$CK345,Data!$A$4:$A$947,0),MATCH(Graphs!CL$4,Data!$B$3:$L$3,0)))</f>
        <v>182.16</v>
      </c>
      <c r="CM345" s="24">
        <f t="array" ref="CM345">IF(INDEX(Data!$B$4:$L$947,MATCH(Graphs!$CK345,Data!$A$4:$A$947,0),MATCH(Graphs!CM$4,Data!$B$3:$L$3,0))="n.q.",NA(),INDEX(Data!$B$4:$L$947,MATCH(Graphs!$CK345,Data!$A$4:$A$947,0),MATCH(Graphs!CM$4,Data!$B$3:$L$3,0)))</f>
        <v>194.74</v>
      </c>
      <c r="CN345" s="24">
        <f t="array" ref="CN345">IF(INDEX(Data!$B$4:$L$947,MATCH(Graphs!$CK345,Data!$A$4:$A$947,0),MATCH(Graphs!CN$4,Data!$B$3:$L$3,0))="n.q.",NA(),INDEX(Data!$B$4:$L$947,MATCH(Graphs!$CK345,Data!$A$4:$A$947,0),MATCH(Graphs!CN$4,Data!$B$3:$L$3,0)))</f>
        <v>178</v>
      </c>
      <c r="CO345" s="24" t="str">
        <f t="array" ref="CO345">IF(INDEX(Data!$B$4:$L$947,MATCH(Graphs!$CK345,Data!$A$4:$A$947,0),MATCH(Graphs!CO$4,Data!$B$3:$L$3,0))="n.q.",NA(),INDEX(Data!$B$4:$L$947,MATCH(Graphs!$CK345,Data!$A$4:$A$947,0),MATCH(Graphs!CO$4,Data!$B$3:$L$3,0)))</f>
        <v>#N/A</v>
      </c>
      <c r="CP345" s="24" t="str">
        <f t="array" ref="CP345">IF(INDEX(Data!$B$4:$L$947,MATCH(Graphs!$CK345,Data!$A$4:$A$947,0),MATCH(Graphs!CP$4,Data!$B$3:$L$3,0))="n.q.",NA(),INDEX(Data!$B$4:$L$947,MATCH(Graphs!$CK345,Data!$A$4:$A$947,0),MATCH(Graphs!CP$4,Data!$B$3:$L$3,0)))</f>
        <v>#N/A</v>
      </c>
      <c r="CQ345" s="5"/>
      <c r="CR345" s="24">
        <f t="array" ref="CR345">IF(INDEX(Data!$P$4:$Z$947,MATCH(Graphs!$CK345,Data!$A$4:$A$947,0),MATCH(Graphs!CR$4,Data!$P$3:$Z$3,0))="n.q.",NA(),INDEX(Data!$P$4:$Z$947,MATCH(Graphs!$CK345,Data!$A$4:$A$947,0),MATCH(Graphs!CR$4,Data!$P$3:$Z$3,0)))</f>
        <v>142.3851879</v>
      </c>
      <c r="CS345" s="24">
        <f t="array" ref="CS345">IF(INDEX(Data!$P$4:$Z$947,MATCH(Graphs!$CK345,Data!$A$4:$A$947,0),MATCH(Graphs!CS$4,Data!$P$3:$Z$3,0))="n.q.",NA(),INDEX(Data!$P$4:$Z$947,MATCH(Graphs!$CK345,Data!$A$4:$A$947,0),MATCH(Graphs!CS$4,Data!$P$3:$Z$3,0)))</f>
        <v>163.79</v>
      </c>
      <c r="CT345" s="24">
        <f t="array" ref="CT345">IF(INDEX(Data!$P$4:$Z$947,MATCH(Graphs!$CK345,Data!$A$4:$A$947,0),MATCH(Graphs!CT$4,Data!$P$3:$Z$3,0))="n.q.",NA(),INDEX(Data!$P$4:$Z$947,MATCH(Graphs!$CK345,Data!$A$4:$A$947,0),MATCH(Graphs!CT$4,Data!$P$3:$Z$3,0)))</f>
        <v>143.4017063</v>
      </c>
      <c r="CU345" s="24" t="str">
        <f t="array" ref="CU345">IF(INDEX(Data!$P$4:$Z$947,MATCH(Graphs!$CK345,Data!$A$4:$A$947,0),MATCH(Graphs!CU$4,Data!$P$3:$Z$3,0))="n.q.",NA(),INDEX(Data!$P$4:$Z$947,MATCH(Graphs!$CK345,Data!$A$4:$A$947,0),MATCH(Graphs!CU$4,Data!$P$3:$Z$3,0)))</f>
        <v>#N/A</v>
      </c>
      <c r="CV345" s="24" t="str">
        <f t="array" ref="CV345">IF(INDEX(Data!$P$4:$Z$947,MATCH(Graphs!$CK345,Data!$A$4:$A$947,0),MATCH(Graphs!CV$4,Data!$P$3:$Z$3,0))="n.q.",NA(),INDEX(Data!$P$4:$Z$947,MATCH(Graphs!$CK345,Data!$A$4:$A$947,0),MATCH(Graphs!CV$4,Data!$P$3:$Z$3,0)))</f>
        <v>#N/A</v>
      </c>
    </row>
    <row r="346" ht="14.25" customHeight="1"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5"/>
      <c r="CK346" s="22">
        <f>Data!A327</f>
        <v>43705</v>
      </c>
      <c r="CL346" s="24">
        <f t="array" ref="CL346">IF(INDEX(Data!$B$4:$L$947,MATCH(Graphs!$CK346,Data!$A$4:$A$947,0),MATCH(Graphs!CL$4,Data!$B$3:$L$3,0))="n.q.",NA(),INDEX(Data!$B$4:$L$947,MATCH(Graphs!$CK346,Data!$A$4:$A$947,0),MATCH(Graphs!CL$4,Data!$B$3:$L$3,0)))</f>
        <v>185.77</v>
      </c>
      <c r="CM346" s="24">
        <f t="array" ref="CM346">IF(INDEX(Data!$B$4:$L$947,MATCH(Graphs!$CK346,Data!$A$4:$A$947,0),MATCH(Graphs!CM$4,Data!$B$3:$L$3,0))="n.q.",NA(),INDEX(Data!$B$4:$L$947,MATCH(Graphs!$CK346,Data!$A$4:$A$947,0),MATCH(Graphs!CM$4,Data!$B$3:$L$3,0)))</f>
        <v>202.92</v>
      </c>
      <c r="CN346" s="24">
        <f t="array" ref="CN346">IF(INDEX(Data!$B$4:$L$947,MATCH(Graphs!$CK346,Data!$A$4:$A$947,0),MATCH(Graphs!CN$4,Data!$B$3:$L$3,0))="n.q.",NA(),INDEX(Data!$B$4:$L$947,MATCH(Graphs!$CK346,Data!$A$4:$A$947,0),MATCH(Graphs!CN$4,Data!$B$3:$L$3,0)))</f>
        <v>178</v>
      </c>
      <c r="CO346" s="24" t="str">
        <f t="array" ref="CO346">IF(INDEX(Data!$B$4:$L$947,MATCH(Graphs!$CK346,Data!$A$4:$A$947,0),MATCH(Graphs!CO$4,Data!$B$3:$L$3,0))="n.q.",NA(),INDEX(Data!$B$4:$L$947,MATCH(Graphs!$CK346,Data!$A$4:$A$947,0),MATCH(Graphs!CO$4,Data!$B$3:$L$3,0)))</f>
        <v>#N/A</v>
      </c>
      <c r="CP346" s="24" t="str">
        <f t="array" ref="CP346">IF(INDEX(Data!$B$4:$L$947,MATCH(Graphs!$CK346,Data!$A$4:$A$947,0),MATCH(Graphs!CP$4,Data!$B$3:$L$3,0))="n.q.",NA(),INDEX(Data!$B$4:$L$947,MATCH(Graphs!$CK346,Data!$A$4:$A$947,0),MATCH(Graphs!CP$4,Data!$B$3:$L$3,0)))</f>
        <v>#N/A</v>
      </c>
      <c r="CQ346" s="5"/>
      <c r="CR346" s="24">
        <f t="array" ref="CR346">IF(INDEX(Data!$P$4:$Z$947,MATCH(Graphs!$CK346,Data!$A$4:$A$947,0),MATCH(Graphs!CR$4,Data!$P$3:$Z$3,0))="n.q.",NA(),INDEX(Data!$P$4:$Z$947,MATCH(Graphs!$CK346,Data!$A$4:$A$947,0),MATCH(Graphs!CR$4,Data!$P$3:$Z$3,0)))</f>
        <v>146.9728413</v>
      </c>
      <c r="CS346" s="24" t="str">
        <f t="array" ref="CS346">IF(INDEX(Data!$P$4:$Z$947,MATCH(Graphs!$CK346,Data!$A$4:$A$947,0),MATCH(Graphs!CS$4,Data!$P$3:$Z$3,0))="n.q.",NA(),INDEX(Data!$P$4:$Z$947,MATCH(Graphs!$CK346,Data!$A$4:$A$947,0),MATCH(Graphs!CS$4,Data!$P$3:$Z$3,0)))</f>
        <v>#N/A</v>
      </c>
      <c r="CT346" s="24">
        <f t="array" ref="CT346">IF(INDEX(Data!$P$4:$Z$947,MATCH(Graphs!$CK346,Data!$A$4:$A$947,0),MATCH(Graphs!CT$4,Data!$P$3:$Z$3,0))="n.q.",NA(),INDEX(Data!$P$4:$Z$947,MATCH(Graphs!$CK346,Data!$A$4:$A$947,0),MATCH(Graphs!CT$4,Data!$P$3:$Z$3,0)))</f>
        <v>144.3652441</v>
      </c>
      <c r="CU346" s="24" t="str">
        <f t="array" ref="CU346">IF(INDEX(Data!$P$4:$Z$947,MATCH(Graphs!$CK346,Data!$A$4:$A$947,0),MATCH(Graphs!CU$4,Data!$P$3:$Z$3,0))="n.q.",NA(),INDEX(Data!$P$4:$Z$947,MATCH(Graphs!$CK346,Data!$A$4:$A$947,0),MATCH(Graphs!CU$4,Data!$P$3:$Z$3,0)))</f>
        <v>#N/A</v>
      </c>
      <c r="CV346" s="24" t="str">
        <f t="array" ref="CV346">IF(INDEX(Data!$P$4:$Z$947,MATCH(Graphs!$CK346,Data!$A$4:$A$947,0),MATCH(Graphs!CV$4,Data!$P$3:$Z$3,0))="n.q.",NA(),INDEX(Data!$P$4:$Z$947,MATCH(Graphs!$CK346,Data!$A$4:$A$947,0),MATCH(Graphs!CV$4,Data!$P$3:$Z$3,0)))</f>
        <v>#N/A</v>
      </c>
    </row>
    <row r="347" ht="14.25" customHeight="1"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5"/>
      <c r="CK347" s="22">
        <f>Data!A328</f>
        <v>43698</v>
      </c>
      <c r="CL347" s="24">
        <f t="array" ref="CL347">IF(INDEX(Data!$B$4:$L$947,MATCH(Graphs!$CK347,Data!$A$4:$A$947,0),MATCH(Graphs!CL$4,Data!$B$3:$L$3,0))="n.q.",NA(),INDEX(Data!$B$4:$L$947,MATCH(Graphs!$CK347,Data!$A$4:$A$947,0),MATCH(Graphs!CL$4,Data!$B$3:$L$3,0)))</f>
        <v>183.86</v>
      </c>
      <c r="CM347" s="24">
        <f t="array" ref="CM347">IF(INDEX(Data!$B$4:$L$947,MATCH(Graphs!$CK347,Data!$A$4:$A$947,0),MATCH(Graphs!CM$4,Data!$B$3:$L$3,0))="n.q.",NA(),INDEX(Data!$B$4:$L$947,MATCH(Graphs!$CK347,Data!$A$4:$A$947,0),MATCH(Graphs!CM$4,Data!$B$3:$L$3,0)))</f>
        <v>200.71</v>
      </c>
      <c r="CN347" s="24">
        <f t="array" ref="CN347">IF(INDEX(Data!$B$4:$L$947,MATCH(Graphs!$CK347,Data!$A$4:$A$947,0),MATCH(Graphs!CN$4,Data!$B$3:$L$3,0))="n.q.",NA(),INDEX(Data!$B$4:$L$947,MATCH(Graphs!$CK347,Data!$A$4:$A$947,0),MATCH(Graphs!CN$4,Data!$B$3:$L$3,0)))</f>
        <v>181</v>
      </c>
      <c r="CO347" s="24" t="str">
        <f t="array" ref="CO347">IF(INDEX(Data!$B$4:$L$947,MATCH(Graphs!$CK347,Data!$A$4:$A$947,0),MATCH(Graphs!CO$4,Data!$B$3:$L$3,0))="n.q.",NA(),INDEX(Data!$B$4:$L$947,MATCH(Graphs!$CK347,Data!$A$4:$A$947,0),MATCH(Graphs!CO$4,Data!$B$3:$L$3,0)))</f>
        <v>#N/A</v>
      </c>
      <c r="CP347" s="24" t="str">
        <f t="array" ref="CP347">IF(INDEX(Data!$B$4:$L$947,MATCH(Graphs!$CK347,Data!$A$4:$A$947,0),MATCH(Graphs!CP$4,Data!$B$3:$L$3,0))="n.q.",NA(),INDEX(Data!$B$4:$L$947,MATCH(Graphs!$CK347,Data!$A$4:$A$947,0),MATCH(Graphs!CP$4,Data!$B$3:$L$3,0)))</f>
        <v>#N/A</v>
      </c>
      <c r="CQ347" s="5"/>
      <c r="CR347" s="24">
        <f t="array" ref="CR347">IF(INDEX(Data!$P$4:$Z$947,MATCH(Graphs!$CK347,Data!$A$4:$A$947,0),MATCH(Graphs!CR$4,Data!$P$3:$Z$3,0))="n.q.",NA(),INDEX(Data!$P$4:$Z$947,MATCH(Graphs!$CK347,Data!$A$4:$A$947,0),MATCH(Graphs!CR$4,Data!$P$3:$Z$3,0)))</f>
        <v>148.018732</v>
      </c>
      <c r="CS347" s="24">
        <f t="array" ref="CS347">IF(INDEX(Data!$P$4:$Z$947,MATCH(Graphs!$CK347,Data!$A$4:$A$947,0),MATCH(Graphs!CS$4,Data!$P$3:$Z$3,0))="n.q.",NA(),INDEX(Data!$P$4:$Z$947,MATCH(Graphs!$CK347,Data!$A$4:$A$947,0),MATCH(Graphs!CS$4,Data!$P$3:$Z$3,0)))</f>
        <v>167.79</v>
      </c>
      <c r="CT347" s="24">
        <f t="array" ref="CT347">IF(INDEX(Data!$P$4:$Z$947,MATCH(Graphs!$CK347,Data!$A$4:$A$947,0),MATCH(Graphs!CT$4,Data!$P$3:$Z$3,0))="n.q.",NA(),INDEX(Data!$P$4:$Z$947,MATCH(Graphs!$CK347,Data!$A$4:$A$947,0),MATCH(Graphs!CT$4,Data!$P$3:$Z$3,0)))</f>
        <v>145.8933718</v>
      </c>
      <c r="CU347" s="24" t="str">
        <f t="array" ref="CU347">IF(INDEX(Data!$P$4:$Z$947,MATCH(Graphs!$CK347,Data!$A$4:$A$947,0),MATCH(Graphs!CU$4,Data!$P$3:$Z$3,0))="n.q.",NA(),INDEX(Data!$P$4:$Z$947,MATCH(Graphs!$CK347,Data!$A$4:$A$947,0),MATCH(Graphs!CU$4,Data!$P$3:$Z$3,0)))</f>
        <v>#N/A</v>
      </c>
      <c r="CV347" s="24" t="str">
        <f t="array" ref="CV347">IF(INDEX(Data!$P$4:$Z$947,MATCH(Graphs!$CK347,Data!$A$4:$A$947,0),MATCH(Graphs!CV$4,Data!$P$3:$Z$3,0))="n.q.",NA(),INDEX(Data!$P$4:$Z$947,MATCH(Graphs!$CK347,Data!$A$4:$A$947,0),MATCH(Graphs!CV$4,Data!$P$3:$Z$3,0)))</f>
        <v>#N/A</v>
      </c>
    </row>
    <row r="348" ht="14.25" customHeight="1"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5"/>
      <c r="CK348" s="22">
        <f>Data!A329</f>
        <v>43691</v>
      </c>
      <c r="CL348" s="24">
        <f t="array" ref="CL348">IF(INDEX(Data!$B$4:$L$947,MATCH(Graphs!$CK348,Data!$A$4:$A$947,0),MATCH(Graphs!CL$4,Data!$B$3:$L$3,0))="n.q.",NA(),INDEX(Data!$B$4:$L$947,MATCH(Graphs!$CK348,Data!$A$4:$A$947,0),MATCH(Graphs!CL$4,Data!$B$3:$L$3,0)))</f>
        <v>187.01</v>
      </c>
      <c r="CM348" s="24">
        <f t="array" ref="CM348">IF(INDEX(Data!$B$4:$L$947,MATCH(Graphs!$CK348,Data!$A$4:$A$947,0),MATCH(Graphs!CM$4,Data!$B$3:$L$3,0))="n.q.",NA(),INDEX(Data!$B$4:$L$947,MATCH(Graphs!$CK348,Data!$A$4:$A$947,0),MATCH(Graphs!CM$4,Data!$B$3:$L$3,0)))</f>
        <v>198.32</v>
      </c>
      <c r="CN348" s="24">
        <f t="array" ref="CN348">IF(INDEX(Data!$B$4:$L$947,MATCH(Graphs!$CK348,Data!$A$4:$A$947,0),MATCH(Graphs!CN$4,Data!$B$3:$L$3,0))="n.q.",NA(),INDEX(Data!$B$4:$L$947,MATCH(Graphs!$CK348,Data!$A$4:$A$947,0),MATCH(Graphs!CN$4,Data!$B$3:$L$3,0)))</f>
        <v>185</v>
      </c>
      <c r="CO348" s="24" t="str">
        <f t="array" ref="CO348">IF(INDEX(Data!$B$4:$L$947,MATCH(Graphs!$CK348,Data!$A$4:$A$947,0),MATCH(Graphs!CO$4,Data!$B$3:$L$3,0))="n.q.",NA(),INDEX(Data!$B$4:$L$947,MATCH(Graphs!$CK348,Data!$A$4:$A$947,0),MATCH(Graphs!CO$4,Data!$B$3:$L$3,0)))</f>
        <v>#N/A</v>
      </c>
      <c r="CP348" s="24" t="str">
        <f t="array" ref="CP348">IF(INDEX(Data!$B$4:$L$947,MATCH(Graphs!$CK348,Data!$A$4:$A$947,0),MATCH(Graphs!CP$4,Data!$B$3:$L$3,0))="n.q.",NA(),INDEX(Data!$B$4:$L$947,MATCH(Graphs!$CK348,Data!$A$4:$A$947,0),MATCH(Graphs!CP$4,Data!$B$3:$L$3,0)))</f>
        <v>#N/A</v>
      </c>
      <c r="CQ348" s="5"/>
      <c r="CR348" s="24">
        <f t="array" ref="CR348">IF(INDEX(Data!$P$4:$Z$947,MATCH(Graphs!$CK348,Data!$A$4:$A$947,0),MATCH(Graphs!CR$4,Data!$P$3:$Z$3,0))="n.q.",NA(),INDEX(Data!$P$4:$Z$947,MATCH(Graphs!$CK348,Data!$A$4:$A$947,0),MATCH(Graphs!CR$4,Data!$P$3:$Z$3,0)))</f>
        <v>145.6739364</v>
      </c>
      <c r="CS348" s="24">
        <f t="array" ref="CS348">IF(INDEX(Data!$P$4:$Z$947,MATCH(Graphs!$CK348,Data!$A$4:$A$947,0),MATCH(Graphs!CS$4,Data!$P$3:$Z$3,0))="n.q.",NA(),INDEX(Data!$P$4:$Z$947,MATCH(Graphs!$CK348,Data!$A$4:$A$947,0),MATCH(Graphs!CS$4,Data!$P$3:$Z$3,0)))</f>
        <v>171.79</v>
      </c>
      <c r="CT348" s="24">
        <f t="array" ref="CT348">IF(INDEX(Data!$P$4:$Z$947,MATCH(Graphs!$CK348,Data!$A$4:$A$947,0),MATCH(Graphs!CT$4,Data!$P$3:$Z$3,0))="n.q.",NA(),INDEX(Data!$P$4:$Z$947,MATCH(Graphs!$CK348,Data!$A$4:$A$947,0),MATCH(Graphs!CT$4,Data!$P$3:$Z$3,0)))</f>
        <v>147.4794423</v>
      </c>
      <c r="CU348" s="24" t="str">
        <f t="array" ref="CU348">IF(INDEX(Data!$P$4:$Z$947,MATCH(Graphs!$CK348,Data!$A$4:$A$947,0),MATCH(Graphs!CU$4,Data!$P$3:$Z$3,0))="n.q.",NA(),INDEX(Data!$P$4:$Z$947,MATCH(Graphs!$CK348,Data!$A$4:$A$947,0),MATCH(Graphs!CU$4,Data!$P$3:$Z$3,0)))</f>
        <v>#N/A</v>
      </c>
      <c r="CV348" s="24" t="str">
        <f t="array" ref="CV348">IF(INDEX(Data!$P$4:$Z$947,MATCH(Graphs!$CK348,Data!$A$4:$A$947,0),MATCH(Graphs!CV$4,Data!$P$3:$Z$3,0))="n.q.",NA(),INDEX(Data!$P$4:$Z$947,MATCH(Graphs!$CK348,Data!$A$4:$A$947,0),MATCH(Graphs!CV$4,Data!$P$3:$Z$3,0)))</f>
        <v>#N/A</v>
      </c>
    </row>
    <row r="349" ht="14.25" customHeight="1"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5"/>
      <c r="CK349" s="22">
        <f>Data!A330</f>
        <v>43684</v>
      </c>
      <c r="CL349" s="24">
        <f t="array" ref="CL349">IF(INDEX(Data!$B$4:$L$947,MATCH(Graphs!$CK349,Data!$A$4:$A$947,0),MATCH(Graphs!CL$4,Data!$B$3:$L$3,0))="n.q.",NA(),INDEX(Data!$B$4:$L$947,MATCH(Graphs!$CK349,Data!$A$4:$A$947,0),MATCH(Graphs!CL$4,Data!$B$3:$L$3,0)))</f>
        <v>190.37</v>
      </c>
      <c r="CM349" s="24">
        <f t="array" ref="CM349">IF(INDEX(Data!$B$4:$L$947,MATCH(Graphs!$CK349,Data!$A$4:$A$947,0),MATCH(Graphs!CM$4,Data!$B$3:$L$3,0))="n.q.",NA(),INDEX(Data!$B$4:$L$947,MATCH(Graphs!$CK349,Data!$A$4:$A$947,0),MATCH(Graphs!CM$4,Data!$B$3:$L$3,0)))</f>
        <v>208.98</v>
      </c>
      <c r="CN349" s="24">
        <f t="array" ref="CN349">IF(INDEX(Data!$B$4:$L$947,MATCH(Graphs!$CK349,Data!$A$4:$A$947,0),MATCH(Graphs!CN$4,Data!$B$3:$L$3,0))="n.q.",NA(),INDEX(Data!$B$4:$L$947,MATCH(Graphs!$CK349,Data!$A$4:$A$947,0),MATCH(Graphs!CN$4,Data!$B$3:$L$3,0)))</f>
        <v>186</v>
      </c>
      <c r="CO349" s="24" t="str">
        <f t="array" ref="CO349">IF(INDEX(Data!$B$4:$L$947,MATCH(Graphs!$CK349,Data!$A$4:$A$947,0),MATCH(Graphs!CO$4,Data!$B$3:$L$3,0))="n.q.",NA(),INDEX(Data!$B$4:$L$947,MATCH(Graphs!$CK349,Data!$A$4:$A$947,0),MATCH(Graphs!CO$4,Data!$B$3:$L$3,0)))</f>
        <v>#N/A</v>
      </c>
      <c r="CP349" s="24" t="str">
        <f t="array" ref="CP349">IF(INDEX(Data!$B$4:$L$947,MATCH(Graphs!$CK349,Data!$A$4:$A$947,0),MATCH(Graphs!CP$4,Data!$B$3:$L$3,0))="n.q.",NA(),INDEX(Data!$B$4:$L$947,MATCH(Graphs!$CK349,Data!$A$4:$A$947,0),MATCH(Graphs!CP$4,Data!$B$3:$L$3,0)))</f>
        <v>#N/A</v>
      </c>
      <c r="CQ349" s="5"/>
      <c r="CR349" s="24">
        <f t="array" ref="CR349">IF(INDEX(Data!$P$4:$Z$947,MATCH(Graphs!$CK349,Data!$A$4:$A$947,0),MATCH(Graphs!CR$4,Data!$P$3:$Z$3,0))="n.q.",NA(),INDEX(Data!$P$4:$Z$947,MATCH(Graphs!$CK349,Data!$A$4:$A$947,0),MATCH(Graphs!CR$4,Data!$P$3:$Z$3,0)))</f>
        <v>165.354401</v>
      </c>
      <c r="CS349" s="24">
        <f t="array" ref="CS349">IF(INDEX(Data!$P$4:$Z$947,MATCH(Graphs!$CK349,Data!$A$4:$A$947,0),MATCH(Graphs!CS$4,Data!$P$3:$Z$3,0))="n.q.",NA(),INDEX(Data!$P$4:$Z$947,MATCH(Graphs!$CK349,Data!$A$4:$A$947,0),MATCH(Graphs!CS$4,Data!$P$3:$Z$3,0)))</f>
        <v>173.29</v>
      </c>
      <c r="CT349" s="24">
        <f t="array" ref="CT349">IF(INDEX(Data!$P$4:$Z$947,MATCH(Graphs!$CK349,Data!$A$4:$A$947,0),MATCH(Graphs!CT$4,Data!$P$3:$Z$3,0))="n.q.",NA(),INDEX(Data!$P$4:$Z$947,MATCH(Graphs!$CK349,Data!$A$4:$A$947,0),MATCH(Graphs!CT$4,Data!$P$3:$Z$3,0)))</f>
        <v>166.934476</v>
      </c>
      <c r="CU349" s="24" t="str">
        <f t="array" ref="CU349">IF(INDEX(Data!$P$4:$Z$947,MATCH(Graphs!$CK349,Data!$A$4:$A$947,0),MATCH(Graphs!CU$4,Data!$P$3:$Z$3,0))="n.q.",NA(),INDEX(Data!$P$4:$Z$947,MATCH(Graphs!$CK349,Data!$A$4:$A$947,0),MATCH(Graphs!CU$4,Data!$P$3:$Z$3,0)))</f>
        <v>#N/A</v>
      </c>
      <c r="CV349" s="24" t="str">
        <f t="array" ref="CV349">IF(INDEX(Data!$P$4:$Z$947,MATCH(Graphs!$CK349,Data!$A$4:$A$947,0),MATCH(Graphs!CV$4,Data!$P$3:$Z$3,0))="n.q.",NA(),INDEX(Data!$P$4:$Z$947,MATCH(Graphs!$CK349,Data!$A$4:$A$947,0),MATCH(Graphs!CV$4,Data!$P$3:$Z$3,0)))</f>
        <v>#N/A</v>
      </c>
    </row>
    <row r="350" ht="14.25" customHeight="1"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5"/>
      <c r="CK350" s="22">
        <f>Data!A331</f>
        <v>43677</v>
      </c>
      <c r="CL350" s="24">
        <f t="array" ref="CL350">IF(INDEX(Data!$B$4:$L$947,MATCH(Graphs!$CK350,Data!$A$4:$A$947,0),MATCH(Graphs!CL$4,Data!$B$3:$L$3,0))="n.q.",NA(),INDEX(Data!$B$4:$L$947,MATCH(Graphs!$CK350,Data!$A$4:$A$947,0),MATCH(Graphs!CL$4,Data!$B$3:$L$3,0)))</f>
        <v>192.41</v>
      </c>
      <c r="CM350" s="24">
        <f t="array" ref="CM350">IF(INDEX(Data!$B$4:$L$947,MATCH(Graphs!$CK350,Data!$A$4:$A$947,0),MATCH(Graphs!CM$4,Data!$B$3:$L$3,0))="n.q.",NA(),INDEX(Data!$B$4:$L$947,MATCH(Graphs!$CK350,Data!$A$4:$A$947,0),MATCH(Graphs!CM$4,Data!$B$3:$L$3,0)))</f>
        <v>212.29</v>
      </c>
      <c r="CN350" s="24">
        <f t="array" ref="CN350">IF(INDEX(Data!$B$4:$L$947,MATCH(Graphs!$CK350,Data!$A$4:$A$947,0),MATCH(Graphs!CN$4,Data!$B$3:$L$3,0))="n.q.",NA(),INDEX(Data!$B$4:$L$947,MATCH(Graphs!$CK350,Data!$A$4:$A$947,0),MATCH(Graphs!CN$4,Data!$B$3:$L$3,0)))</f>
        <v>186</v>
      </c>
      <c r="CO350" s="24" t="str">
        <f t="array" ref="CO350">IF(INDEX(Data!$B$4:$L$947,MATCH(Graphs!$CK350,Data!$A$4:$A$947,0),MATCH(Graphs!CO$4,Data!$B$3:$L$3,0))="n.q.",NA(),INDEX(Data!$B$4:$L$947,MATCH(Graphs!$CK350,Data!$A$4:$A$947,0),MATCH(Graphs!CO$4,Data!$B$3:$L$3,0)))</f>
        <v>#N/A</v>
      </c>
      <c r="CP350" s="24" t="str">
        <f t="array" ref="CP350">IF(INDEX(Data!$B$4:$L$947,MATCH(Graphs!$CK350,Data!$A$4:$A$947,0),MATCH(Graphs!CP$4,Data!$B$3:$L$3,0))="n.q.",NA(),INDEX(Data!$B$4:$L$947,MATCH(Graphs!$CK350,Data!$A$4:$A$947,0),MATCH(Graphs!CP$4,Data!$B$3:$L$3,0)))</f>
        <v>#N/A</v>
      </c>
      <c r="CQ350" s="5"/>
      <c r="CR350" s="24">
        <f t="array" ref="CR350">IF(INDEX(Data!$P$4:$Z$947,MATCH(Graphs!$CK350,Data!$A$4:$A$947,0),MATCH(Graphs!CR$4,Data!$P$3:$Z$3,0))="n.q.",NA(),INDEX(Data!$P$4:$Z$947,MATCH(Graphs!$CK350,Data!$A$4:$A$947,0),MATCH(Graphs!CR$4,Data!$P$3:$Z$3,0)))</f>
        <v>166.7294413</v>
      </c>
      <c r="CS350" s="24">
        <f t="array" ref="CS350">IF(INDEX(Data!$P$4:$Z$947,MATCH(Graphs!$CK350,Data!$A$4:$A$947,0),MATCH(Graphs!CS$4,Data!$P$3:$Z$3,0))="n.q.",NA(),INDEX(Data!$P$4:$Z$947,MATCH(Graphs!$CK350,Data!$A$4:$A$947,0),MATCH(Graphs!CS$4,Data!$P$3:$Z$3,0)))</f>
        <v>178.66</v>
      </c>
      <c r="CT350" s="24">
        <f t="array" ref="CT350">IF(INDEX(Data!$P$4:$Z$947,MATCH(Graphs!$CK350,Data!$A$4:$A$947,0),MATCH(Graphs!CT$4,Data!$P$3:$Z$3,0))="n.q.",NA(),INDEX(Data!$P$4:$Z$947,MATCH(Graphs!$CK350,Data!$A$4:$A$947,0),MATCH(Graphs!CT$4,Data!$P$3:$Z$3,0)))</f>
        <v>168.5947449</v>
      </c>
      <c r="CU350" s="24" t="str">
        <f t="array" ref="CU350">IF(INDEX(Data!$P$4:$Z$947,MATCH(Graphs!$CK350,Data!$A$4:$A$947,0),MATCH(Graphs!CU$4,Data!$P$3:$Z$3,0))="n.q.",NA(),INDEX(Data!$P$4:$Z$947,MATCH(Graphs!$CK350,Data!$A$4:$A$947,0),MATCH(Graphs!CU$4,Data!$P$3:$Z$3,0)))</f>
        <v>#N/A</v>
      </c>
      <c r="CV350" s="24" t="str">
        <f t="array" ref="CV350">IF(INDEX(Data!$P$4:$Z$947,MATCH(Graphs!$CK350,Data!$A$4:$A$947,0),MATCH(Graphs!CV$4,Data!$P$3:$Z$3,0))="n.q.",NA(),INDEX(Data!$P$4:$Z$947,MATCH(Graphs!$CK350,Data!$A$4:$A$947,0),MATCH(Graphs!CV$4,Data!$P$3:$Z$3,0)))</f>
        <v>#N/A</v>
      </c>
    </row>
    <row r="351" ht="14.25" customHeight="1"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5"/>
      <c r="CK351" s="22">
        <f>Data!A332</f>
        <v>43670</v>
      </c>
      <c r="CL351" s="24">
        <f t="array" ref="CL351">IF(INDEX(Data!$B$4:$L$947,MATCH(Graphs!$CK351,Data!$A$4:$A$947,0),MATCH(Graphs!CL$4,Data!$B$3:$L$3,0))="n.q.",NA(),INDEX(Data!$B$4:$L$947,MATCH(Graphs!$CK351,Data!$A$4:$A$947,0),MATCH(Graphs!CL$4,Data!$B$3:$L$3,0)))</f>
        <v>193.11</v>
      </c>
      <c r="CM351" s="24">
        <f t="array" ref="CM351">IF(INDEX(Data!$B$4:$L$947,MATCH(Graphs!$CK351,Data!$A$4:$A$947,0),MATCH(Graphs!CM$4,Data!$B$3:$L$3,0))="n.q.",NA(),INDEX(Data!$B$4:$L$947,MATCH(Graphs!$CK351,Data!$A$4:$A$947,0),MATCH(Graphs!CM$4,Data!$B$3:$L$3,0)))</f>
        <v>214.77</v>
      </c>
      <c r="CN351" s="24">
        <f t="array" ref="CN351">IF(INDEX(Data!$B$4:$L$947,MATCH(Graphs!$CK351,Data!$A$4:$A$947,0),MATCH(Graphs!CN$4,Data!$B$3:$L$3,0))="n.q.",NA(),INDEX(Data!$B$4:$L$947,MATCH(Graphs!$CK351,Data!$A$4:$A$947,0),MATCH(Graphs!CN$4,Data!$B$3:$L$3,0)))</f>
        <v>185</v>
      </c>
      <c r="CO351" s="24" t="str">
        <f t="array" ref="CO351">IF(INDEX(Data!$B$4:$L$947,MATCH(Graphs!$CK351,Data!$A$4:$A$947,0),MATCH(Graphs!CO$4,Data!$B$3:$L$3,0))="n.q.",NA(),INDEX(Data!$B$4:$L$947,MATCH(Graphs!$CK351,Data!$A$4:$A$947,0),MATCH(Graphs!CO$4,Data!$B$3:$L$3,0)))</f>
        <v>#N/A</v>
      </c>
      <c r="CP351" s="24" t="str">
        <f t="array" ref="CP351">IF(INDEX(Data!$B$4:$L$947,MATCH(Graphs!$CK351,Data!$A$4:$A$947,0),MATCH(Graphs!CP$4,Data!$B$3:$L$3,0))="n.q.",NA(),INDEX(Data!$B$4:$L$947,MATCH(Graphs!$CK351,Data!$A$4:$A$947,0),MATCH(Graphs!CP$4,Data!$B$3:$L$3,0)))</f>
        <v>#N/A</v>
      </c>
      <c r="CQ351" s="5"/>
      <c r="CR351" s="24">
        <f t="array" ref="CR351">IF(INDEX(Data!$P$4:$Z$947,MATCH(Graphs!$CK351,Data!$A$4:$A$947,0),MATCH(Graphs!CR$4,Data!$P$3:$Z$3,0))="n.q.",NA(),INDEX(Data!$P$4:$Z$947,MATCH(Graphs!$CK351,Data!$A$4:$A$947,0),MATCH(Graphs!CR$4,Data!$P$3:$Z$3,0)))</f>
        <v>177.4057451</v>
      </c>
      <c r="CS351" s="24">
        <f t="array" ref="CS351">IF(INDEX(Data!$P$4:$Z$947,MATCH(Graphs!$CK351,Data!$A$4:$A$947,0),MATCH(Graphs!CS$4,Data!$P$3:$Z$3,0))="n.q.",NA(),INDEX(Data!$P$4:$Z$947,MATCH(Graphs!$CK351,Data!$A$4:$A$947,0),MATCH(Graphs!CS$4,Data!$P$3:$Z$3,0)))</f>
        <v>185.1267576</v>
      </c>
      <c r="CT351" s="24">
        <f t="array" ref="CT351">IF(INDEX(Data!$P$4:$Z$947,MATCH(Graphs!$CK351,Data!$A$4:$A$947,0),MATCH(Graphs!CT$4,Data!$P$3:$Z$3,0))="n.q.",NA(),INDEX(Data!$P$4:$Z$947,MATCH(Graphs!$CK351,Data!$A$4:$A$947,0),MATCH(Graphs!CT$4,Data!$P$3:$Z$3,0)))</f>
        <v>175.9425494</v>
      </c>
      <c r="CU351" s="24" t="str">
        <f t="array" ref="CU351">IF(INDEX(Data!$P$4:$Z$947,MATCH(Graphs!$CK351,Data!$A$4:$A$947,0),MATCH(Graphs!CU$4,Data!$P$3:$Z$3,0))="n.q.",NA(),INDEX(Data!$P$4:$Z$947,MATCH(Graphs!$CK351,Data!$A$4:$A$947,0),MATCH(Graphs!CU$4,Data!$P$3:$Z$3,0)))</f>
        <v>#N/A</v>
      </c>
      <c r="CV351" s="24" t="str">
        <f t="array" ref="CV351">IF(INDEX(Data!$P$4:$Z$947,MATCH(Graphs!$CK351,Data!$A$4:$A$947,0),MATCH(Graphs!CV$4,Data!$P$3:$Z$3,0))="n.q.",NA(),INDEX(Data!$P$4:$Z$947,MATCH(Graphs!$CK351,Data!$A$4:$A$947,0),MATCH(Graphs!CV$4,Data!$P$3:$Z$3,0)))</f>
        <v>#N/A</v>
      </c>
    </row>
    <row r="352" ht="14.25" customHeight="1"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5"/>
      <c r="CK352" s="22">
        <f>Data!A333</f>
        <v>43663</v>
      </c>
      <c r="CL352" s="24">
        <f t="array" ref="CL352">IF(INDEX(Data!$B$4:$L$947,MATCH(Graphs!$CK352,Data!$A$4:$A$947,0),MATCH(Graphs!CL$4,Data!$B$3:$L$3,0))="n.q.",NA(),INDEX(Data!$B$4:$L$947,MATCH(Graphs!$CK352,Data!$A$4:$A$947,0),MATCH(Graphs!CL$4,Data!$B$3:$L$3,0)))</f>
        <v>196.79</v>
      </c>
      <c r="CM352" s="24">
        <f t="array" ref="CM352">IF(INDEX(Data!$B$4:$L$947,MATCH(Graphs!$CK352,Data!$A$4:$A$947,0),MATCH(Graphs!CM$4,Data!$B$3:$L$3,0))="n.q.",NA(),INDEX(Data!$B$4:$L$947,MATCH(Graphs!$CK352,Data!$A$4:$A$947,0),MATCH(Graphs!CM$4,Data!$B$3:$L$3,0)))</f>
        <v>217.43</v>
      </c>
      <c r="CN352" s="24">
        <f t="array" ref="CN352">IF(INDEX(Data!$B$4:$L$947,MATCH(Graphs!$CK352,Data!$A$4:$A$947,0),MATCH(Graphs!CN$4,Data!$B$3:$L$3,0))="n.q.",NA(),INDEX(Data!$B$4:$L$947,MATCH(Graphs!$CK352,Data!$A$4:$A$947,0),MATCH(Graphs!CN$4,Data!$B$3:$L$3,0)))</f>
        <v>184</v>
      </c>
      <c r="CO352" s="24" t="str">
        <f t="array" ref="CO352">IF(INDEX(Data!$B$4:$L$947,MATCH(Graphs!$CK352,Data!$A$4:$A$947,0),MATCH(Graphs!CO$4,Data!$B$3:$L$3,0))="n.q.",NA(),INDEX(Data!$B$4:$L$947,MATCH(Graphs!$CK352,Data!$A$4:$A$947,0),MATCH(Graphs!CO$4,Data!$B$3:$L$3,0)))</f>
        <v>#N/A</v>
      </c>
      <c r="CP352" s="24" t="str">
        <f t="array" ref="CP352">IF(INDEX(Data!$B$4:$L$947,MATCH(Graphs!$CK352,Data!$A$4:$A$947,0),MATCH(Graphs!CP$4,Data!$B$3:$L$3,0))="n.q.",NA(),INDEX(Data!$B$4:$L$947,MATCH(Graphs!$CK352,Data!$A$4:$A$947,0),MATCH(Graphs!CP$4,Data!$B$3:$L$3,0)))</f>
        <v>#N/A</v>
      </c>
      <c r="CQ352" s="5"/>
      <c r="CR352" s="24">
        <f t="array" ref="CR352">IF(INDEX(Data!$P$4:$Z$947,MATCH(Graphs!$CK352,Data!$A$4:$A$947,0),MATCH(Graphs!CR$4,Data!$P$3:$Z$3,0))="n.q.",NA(),INDEX(Data!$P$4:$Z$947,MATCH(Graphs!$CK352,Data!$A$4:$A$947,0),MATCH(Graphs!CR$4,Data!$P$3:$Z$3,0)))</f>
        <v>178.6714222</v>
      </c>
      <c r="CS352" s="24">
        <f t="array" ref="CS352">IF(INDEX(Data!$P$4:$Z$947,MATCH(Graphs!$CK352,Data!$A$4:$A$947,0),MATCH(Graphs!CS$4,Data!$P$3:$Z$3,0))="n.q.",NA(),INDEX(Data!$P$4:$Z$947,MATCH(Graphs!$CK352,Data!$A$4:$A$947,0),MATCH(Graphs!CS$4,Data!$P$3:$Z$3,0)))</f>
        <v>182.16</v>
      </c>
      <c r="CT352" s="24">
        <f t="array" ref="CT352">IF(INDEX(Data!$P$4:$Z$947,MATCH(Graphs!$CK352,Data!$A$4:$A$947,0),MATCH(Graphs!CT$4,Data!$P$3:$Z$3,0))="n.q.",NA(),INDEX(Data!$P$4:$Z$947,MATCH(Graphs!$CK352,Data!$A$4:$A$947,0),MATCH(Graphs!CT$4,Data!$P$3:$Z$3,0)))</f>
        <v>174.7659385</v>
      </c>
      <c r="CU352" s="24" t="str">
        <f t="array" ref="CU352">IF(INDEX(Data!$P$4:$Z$947,MATCH(Graphs!$CK352,Data!$A$4:$A$947,0),MATCH(Graphs!CU$4,Data!$P$3:$Z$3,0))="n.q.",NA(),INDEX(Data!$P$4:$Z$947,MATCH(Graphs!$CK352,Data!$A$4:$A$947,0),MATCH(Graphs!CU$4,Data!$P$3:$Z$3,0)))</f>
        <v>#N/A</v>
      </c>
      <c r="CV352" s="24" t="str">
        <f t="array" ref="CV352">IF(INDEX(Data!$P$4:$Z$947,MATCH(Graphs!$CK352,Data!$A$4:$A$947,0),MATCH(Graphs!CV$4,Data!$P$3:$Z$3,0))="n.q.",NA(),INDEX(Data!$P$4:$Z$947,MATCH(Graphs!$CK352,Data!$A$4:$A$947,0),MATCH(Graphs!CV$4,Data!$P$3:$Z$3,0)))</f>
        <v>#N/A</v>
      </c>
    </row>
    <row r="353" ht="14.25" customHeight="1"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5"/>
      <c r="CK353" s="22">
        <f>Data!A334</f>
        <v>43656</v>
      </c>
      <c r="CL353" s="24">
        <f t="array" ref="CL353">IF(INDEX(Data!$B$4:$L$947,MATCH(Graphs!$CK353,Data!$A$4:$A$947,0),MATCH(Graphs!CL$4,Data!$B$3:$L$3,0))="n.q.",NA(),INDEX(Data!$B$4:$L$947,MATCH(Graphs!$CK353,Data!$A$4:$A$947,0),MATCH(Graphs!CL$4,Data!$B$3:$L$3,0)))</f>
        <v>194.42</v>
      </c>
      <c r="CM353" s="24">
        <f t="array" ref="CM353">IF(INDEX(Data!$B$4:$L$947,MATCH(Graphs!$CK353,Data!$A$4:$A$947,0),MATCH(Graphs!CM$4,Data!$B$3:$L$3,0))="n.q.",NA(),INDEX(Data!$B$4:$L$947,MATCH(Graphs!$CK353,Data!$A$4:$A$947,0),MATCH(Graphs!CM$4,Data!$B$3:$L$3,0)))</f>
        <v>220.28</v>
      </c>
      <c r="CN353" s="24">
        <f t="array" ref="CN353">IF(INDEX(Data!$B$4:$L$947,MATCH(Graphs!$CK353,Data!$A$4:$A$947,0),MATCH(Graphs!CN$4,Data!$B$3:$L$3,0))="n.q.",NA(),INDEX(Data!$B$4:$L$947,MATCH(Graphs!$CK353,Data!$A$4:$A$947,0),MATCH(Graphs!CN$4,Data!$B$3:$L$3,0)))</f>
        <v>181</v>
      </c>
      <c r="CO353" s="24" t="str">
        <f t="array" ref="CO353">IF(INDEX(Data!$B$4:$L$947,MATCH(Graphs!$CK353,Data!$A$4:$A$947,0),MATCH(Graphs!CO$4,Data!$B$3:$L$3,0))="n.q.",NA(),INDEX(Data!$B$4:$L$947,MATCH(Graphs!$CK353,Data!$A$4:$A$947,0),MATCH(Graphs!CO$4,Data!$B$3:$L$3,0)))</f>
        <v>#N/A</v>
      </c>
      <c r="CP353" s="24" t="str">
        <f t="array" ref="CP353">IF(INDEX(Data!$B$4:$L$947,MATCH(Graphs!$CK353,Data!$A$4:$A$947,0),MATCH(Graphs!CP$4,Data!$B$3:$L$3,0))="n.q.",NA(),INDEX(Data!$B$4:$L$947,MATCH(Graphs!$CK353,Data!$A$4:$A$947,0),MATCH(Graphs!CP$4,Data!$B$3:$L$3,0)))</f>
        <v>#N/A</v>
      </c>
      <c r="CQ353" s="5"/>
      <c r="CR353" s="24">
        <f t="array" ref="CR353">IF(INDEX(Data!$P$4:$Z$947,MATCH(Graphs!$CK353,Data!$A$4:$A$947,0),MATCH(Graphs!CR$4,Data!$P$3:$Z$3,0))="n.q.",NA(),INDEX(Data!$P$4:$Z$947,MATCH(Graphs!$CK353,Data!$A$4:$A$947,0),MATCH(Graphs!CR$4,Data!$P$3:$Z$3,0)))</f>
        <v>179.0374332</v>
      </c>
      <c r="CS353" s="24">
        <f t="array" ref="CS353">IF(INDEX(Data!$P$4:$Z$947,MATCH(Graphs!$CK353,Data!$A$4:$A$947,0),MATCH(Graphs!CS$4,Data!$P$3:$Z$3,0))="n.q.",NA(),INDEX(Data!$P$4:$Z$947,MATCH(Graphs!$CK353,Data!$A$4:$A$947,0),MATCH(Graphs!CS$4,Data!$P$3:$Z$3,0)))</f>
        <v>182.66</v>
      </c>
      <c r="CT353" s="24">
        <f t="array" ref="CT353">IF(INDEX(Data!$P$4:$Z$947,MATCH(Graphs!$CK353,Data!$A$4:$A$947,0),MATCH(Graphs!CT$4,Data!$P$3:$Z$3,0))="n.q.",NA(),INDEX(Data!$P$4:$Z$947,MATCH(Graphs!$CK353,Data!$A$4:$A$947,0),MATCH(Graphs!CT$4,Data!$P$3:$Z$3,0)))</f>
        <v>173.7967914</v>
      </c>
      <c r="CU353" s="24" t="str">
        <f t="array" ref="CU353">IF(INDEX(Data!$P$4:$Z$947,MATCH(Graphs!$CK353,Data!$A$4:$A$947,0),MATCH(Graphs!CU$4,Data!$P$3:$Z$3,0))="n.q.",NA(),INDEX(Data!$P$4:$Z$947,MATCH(Graphs!$CK353,Data!$A$4:$A$947,0),MATCH(Graphs!CU$4,Data!$P$3:$Z$3,0)))</f>
        <v>#N/A</v>
      </c>
      <c r="CV353" s="24" t="str">
        <f t="array" ref="CV353">IF(INDEX(Data!$P$4:$Z$947,MATCH(Graphs!$CK353,Data!$A$4:$A$947,0),MATCH(Graphs!CV$4,Data!$P$3:$Z$3,0))="n.q.",NA(),INDEX(Data!$P$4:$Z$947,MATCH(Graphs!$CK353,Data!$A$4:$A$947,0),MATCH(Graphs!CV$4,Data!$P$3:$Z$3,0)))</f>
        <v>#N/A</v>
      </c>
    </row>
    <row r="354" ht="14.25" customHeight="1"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5"/>
      <c r="CK354" s="22">
        <f>Data!A335</f>
        <v>43649</v>
      </c>
      <c r="CL354" s="24">
        <f t="array" ref="CL354">IF(INDEX(Data!$B$4:$L$947,MATCH(Graphs!$CK354,Data!$A$4:$A$947,0),MATCH(Graphs!CL$4,Data!$B$3:$L$3,0))="n.q.",NA(),INDEX(Data!$B$4:$L$947,MATCH(Graphs!$CK354,Data!$A$4:$A$947,0),MATCH(Graphs!CL$4,Data!$B$3:$L$3,0)))</f>
        <v>198.33</v>
      </c>
      <c r="CM354" s="24">
        <f t="array" ref="CM354">IF(INDEX(Data!$B$4:$L$947,MATCH(Graphs!$CK354,Data!$A$4:$A$947,0),MATCH(Graphs!CM$4,Data!$B$3:$L$3,0))="n.q.",NA(),INDEX(Data!$B$4:$L$947,MATCH(Graphs!$CK354,Data!$A$4:$A$947,0),MATCH(Graphs!CM$4,Data!$B$3:$L$3,0)))</f>
        <v>221.11</v>
      </c>
      <c r="CN354" s="24">
        <f t="array" ref="CN354">IF(INDEX(Data!$B$4:$L$947,MATCH(Graphs!$CK354,Data!$A$4:$A$947,0),MATCH(Graphs!CN$4,Data!$B$3:$L$3,0))="n.q.",NA(),INDEX(Data!$B$4:$L$947,MATCH(Graphs!$CK354,Data!$A$4:$A$947,0),MATCH(Graphs!CN$4,Data!$B$3:$L$3,0)))</f>
        <v>180</v>
      </c>
      <c r="CO354" s="24" t="str">
        <f t="array" ref="CO354">IF(INDEX(Data!$B$4:$L$947,MATCH(Graphs!$CK354,Data!$A$4:$A$947,0),MATCH(Graphs!CO$4,Data!$B$3:$L$3,0))="n.q.",NA(),INDEX(Data!$B$4:$L$947,MATCH(Graphs!$CK354,Data!$A$4:$A$947,0),MATCH(Graphs!CO$4,Data!$B$3:$L$3,0)))</f>
        <v>#N/A</v>
      </c>
      <c r="CP354" s="24" t="str">
        <f t="array" ref="CP354">IF(INDEX(Data!$B$4:$L$947,MATCH(Graphs!$CK354,Data!$A$4:$A$947,0),MATCH(Graphs!CP$4,Data!$B$3:$L$3,0))="n.q.",NA(),INDEX(Data!$B$4:$L$947,MATCH(Graphs!$CK354,Data!$A$4:$A$947,0),MATCH(Graphs!CP$4,Data!$B$3:$L$3,0)))</f>
        <v>#N/A</v>
      </c>
      <c r="CQ354" s="5"/>
      <c r="CR354" s="24">
        <f t="array" ref="CR354">IF(INDEX(Data!$P$4:$Z$947,MATCH(Graphs!$CK354,Data!$A$4:$A$947,0),MATCH(Graphs!CR$4,Data!$P$3:$Z$3,0))="n.q.",NA(),INDEX(Data!$P$4:$Z$947,MATCH(Graphs!$CK354,Data!$A$4:$A$947,0),MATCH(Graphs!CR$4,Data!$P$3:$Z$3,0)))</f>
        <v>177.0920039</v>
      </c>
      <c r="CS354" s="24">
        <f t="array" ref="CS354">IF(INDEX(Data!$P$4:$Z$947,MATCH(Graphs!$CK354,Data!$A$4:$A$947,0),MATCH(Graphs!CS$4,Data!$P$3:$Z$3,0))="n.q.",NA(),INDEX(Data!$P$4:$Z$947,MATCH(Graphs!$CK354,Data!$A$4:$A$947,0),MATCH(Graphs!CS$4,Data!$P$3:$Z$3,0)))</f>
        <v>182.16</v>
      </c>
      <c r="CT354" s="24">
        <f t="array" ref="CT354">IF(INDEX(Data!$P$4:$Z$947,MATCH(Graphs!$CK354,Data!$A$4:$A$947,0),MATCH(Graphs!CT$4,Data!$P$3:$Z$3,0))="n.q.",NA(),INDEX(Data!$P$4:$Z$947,MATCH(Graphs!$CK354,Data!$A$4:$A$947,0),MATCH(Graphs!CT$4,Data!$P$3:$Z$3,0)))</f>
        <v>171.7878332</v>
      </c>
      <c r="CU354" s="24" t="str">
        <f t="array" ref="CU354">IF(INDEX(Data!$P$4:$Z$947,MATCH(Graphs!$CK354,Data!$A$4:$A$947,0),MATCH(Graphs!CU$4,Data!$P$3:$Z$3,0))="n.q.",NA(),INDEX(Data!$P$4:$Z$947,MATCH(Graphs!$CK354,Data!$A$4:$A$947,0),MATCH(Graphs!CU$4,Data!$P$3:$Z$3,0)))</f>
        <v>#N/A</v>
      </c>
      <c r="CV354" s="24" t="str">
        <f t="array" ref="CV354">IF(INDEX(Data!$P$4:$Z$947,MATCH(Graphs!$CK354,Data!$A$4:$A$947,0),MATCH(Graphs!CV$4,Data!$P$3:$Z$3,0))="n.q.",NA(),INDEX(Data!$P$4:$Z$947,MATCH(Graphs!$CK354,Data!$A$4:$A$947,0),MATCH(Graphs!CV$4,Data!$P$3:$Z$3,0)))</f>
        <v>#N/A</v>
      </c>
    </row>
    <row r="355" ht="14.25" customHeight="1"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5"/>
      <c r="CK355" s="22">
        <f>Data!A336</f>
        <v>43642</v>
      </c>
      <c r="CL355" s="24">
        <f t="array" ref="CL355">IF(INDEX(Data!$B$4:$L$947,MATCH(Graphs!$CK355,Data!$A$4:$A$947,0),MATCH(Graphs!CL$4,Data!$B$3:$L$3,0))="n.q.",NA(),INDEX(Data!$B$4:$L$947,MATCH(Graphs!$CK355,Data!$A$4:$A$947,0),MATCH(Graphs!CL$4,Data!$B$3:$L$3,0)))</f>
        <v>219.6</v>
      </c>
      <c r="CM355" s="24">
        <f t="array" ref="CM355">IF(INDEX(Data!$B$4:$L$947,MATCH(Graphs!$CK355,Data!$A$4:$A$947,0),MATCH(Graphs!CM$4,Data!$B$3:$L$3,0))="n.q.",NA(),INDEX(Data!$B$4:$L$947,MATCH(Graphs!$CK355,Data!$A$4:$A$947,0),MATCH(Graphs!CM$4,Data!$B$3:$L$3,0)))</f>
        <v>231.12</v>
      </c>
      <c r="CN355" s="24">
        <f t="array" ref="CN355">IF(INDEX(Data!$B$4:$L$947,MATCH(Graphs!$CK355,Data!$A$4:$A$947,0),MATCH(Graphs!CN$4,Data!$B$3:$L$3,0))="n.q.",NA(),INDEX(Data!$B$4:$L$947,MATCH(Graphs!$CK355,Data!$A$4:$A$947,0),MATCH(Graphs!CN$4,Data!$B$3:$L$3,0)))</f>
        <v>182</v>
      </c>
      <c r="CO355" s="24" t="str">
        <f t="array" ref="CO355">IF(INDEX(Data!$B$4:$L$947,MATCH(Graphs!$CK355,Data!$A$4:$A$947,0),MATCH(Graphs!CO$4,Data!$B$3:$L$3,0))="n.q.",NA(),INDEX(Data!$B$4:$L$947,MATCH(Graphs!$CK355,Data!$A$4:$A$947,0),MATCH(Graphs!CO$4,Data!$B$3:$L$3,0)))</f>
        <v>#N/A</v>
      </c>
      <c r="CP355" s="24" t="str">
        <f t="array" ref="CP355">IF(INDEX(Data!$B$4:$L$947,MATCH(Graphs!$CK355,Data!$A$4:$A$947,0),MATCH(Graphs!CP$4,Data!$B$3:$L$3,0))="n.q.",NA(),INDEX(Data!$B$4:$L$947,MATCH(Graphs!$CK355,Data!$A$4:$A$947,0),MATCH(Graphs!CP$4,Data!$B$3:$L$3,0)))</f>
        <v>#N/A</v>
      </c>
      <c r="CQ355" s="5"/>
      <c r="CR355" s="24">
        <f t="array" ref="CR355">IF(INDEX(Data!$P$4:$Z$947,MATCH(Graphs!$CK355,Data!$A$4:$A$947,0),MATCH(Graphs!CR$4,Data!$P$3:$Z$3,0))="n.q.",NA(),INDEX(Data!$P$4:$Z$947,MATCH(Graphs!$CK355,Data!$A$4:$A$947,0),MATCH(Graphs!CR$4,Data!$P$3:$Z$3,0)))</f>
        <v>179.5722584</v>
      </c>
      <c r="CS355" s="24">
        <f t="array" ref="CS355">IF(INDEX(Data!$P$4:$Z$947,MATCH(Graphs!$CK355,Data!$A$4:$A$947,0),MATCH(Graphs!CS$4,Data!$P$3:$Z$3,0))="n.q.",NA(),INDEX(Data!$P$4:$Z$947,MATCH(Graphs!$CK355,Data!$A$4:$A$947,0),MATCH(Graphs!CS$4,Data!$P$3:$Z$3,0)))</f>
        <v>181.23</v>
      </c>
      <c r="CT355" s="24">
        <f t="array" ref="CT355">IF(INDEX(Data!$P$4:$Z$947,MATCH(Graphs!$CK355,Data!$A$4:$A$947,0),MATCH(Graphs!CT$4,Data!$P$3:$Z$3,0))="n.q.",NA(),INDEX(Data!$P$4:$Z$947,MATCH(Graphs!$CK355,Data!$A$4:$A$947,0),MATCH(Graphs!CT$4,Data!$P$3:$Z$3,0)))</f>
        <v>168.9843337</v>
      </c>
      <c r="CU355" s="24" t="str">
        <f t="array" ref="CU355">IF(INDEX(Data!$P$4:$Z$947,MATCH(Graphs!$CK355,Data!$A$4:$A$947,0),MATCH(Graphs!CU$4,Data!$P$3:$Z$3,0))="n.q.",NA(),INDEX(Data!$P$4:$Z$947,MATCH(Graphs!$CK355,Data!$A$4:$A$947,0),MATCH(Graphs!CU$4,Data!$P$3:$Z$3,0)))</f>
        <v>#N/A</v>
      </c>
      <c r="CV355" s="24" t="str">
        <f t="array" ref="CV355">IF(INDEX(Data!$P$4:$Z$947,MATCH(Graphs!$CK355,Data!$A$4:$A$947,0),MATCH(Graphs!CV$4,Data!$P$3:$Z$3,0))="n.q.",NA(),INDEX(Data!$P$4:$Z$947,MATCH(Graphs!$CK355,Data!$A$4:$A$947,0),MATCH(Graphs!CV$4,Data!$P$3:$Z$3,0)))</f>
        <v>#N/A</v>
      </c>
    </row>
    <row r="356" ht="14.25" customHeight="1"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5"/>
      <c r="CK356" s="22">
        <f>Data!A337</f>
        <v>43635</v>
      </c>
      <c r="CL356" s="24">
        <f t="array" ref="CL356">IF(INDEX(Data!$B$4:$L$947,MATCH(Graphs!$CK356,Data!$A$4:$A$947,0),MATCH(Graphs!CL$4,Data!$B$3:$L$3,0))="n.q.",NA(),INDEX(Data!$B$4:$L$947,MATCH(Graphs!$CK356,Data!$A$4:$A$947,0),MATCH(Graphs!CL$4,Data!$B$3:$L$3,0)))</f>
        <v>215.38</v>
      </c>
      <c r="CM356" s="24">
        <f t="array" ref="CM356">IF(INDEX(Data!$B$4:$L$947,MATCH(Graphs!$CK356,Data!$A$4:$A$947,0),MATCH(Graphs!CM$4,Data!$B$3:$L$3,0))="n.q.",NA(),INDEX(Data!$B$4:$L$947,MATCH(Graphs!$CK356,Data!$A$4:$A$947,0),MATCH(Graphs!CM$4,Data!$B$3:$L$3,0)))</f>
        <v>225.06</v>
      </c>
      <c r="CN356" s="24">
        <f t="array" ref="CN356">IF(INDEX(Data!$B$4:$L$947,MATCH(Graphs!$CK356,Data!$A$4:$A$947,0),MATCH(Graphs!CN$4,Data!$B$3:$L$3,0))="n.q.",NA(),INDEX(Data!$B$4:$L$947,MATCH(Graphs!$CK356,Data!$A$4:$A$947,0),MATCH(Graphs!CN$4,Data!$B$3:$L$3,0)))</f>
        <v>180</v>
      </c>
      <c r="CO356" s="24" t="str">
        <f t="array" ref="CO356">IF(INDEX(Data!$B$4:$L$947,MATCH(Graphs!$CK356,Data!$A$4:$A$947,0),MATCH(Graphs!CO$4,Data!$B$3:$L$3,0))="n.q.",NA(),INDEX(Data!$B$4:$L$947,MATCH(Graphs!$CK356,Data!$A$4:$A$947,0),MATCH(Graphs!CO$4,Data!$B$3:$L$3,0)))</f>
        <v>#N/A</v>
      </c>
      <c r="CP356" s="24" t="str">
        <f t="array" ref="CP356">IF(INDEX(Data!$B$4:$L$947,MATCH(Graphs!$CK356,Data!$A$4:$A$947,0),MATCH(Graphs!CP$4,Data!$B$3:$L$3,0))="n.q.",NA(),INDEX(Data!$B$4:$L$947,MATCH(Graphs!$CK356,Data!$A$4:$A$947,0),MATCH(Graphs!CP$4,Data!$B$3:$L$3,0)))</f>
        <v>#N/A</v>
      </c>
      <c r="CQ356" s="5"/>
      <c r="CR356" s="24">
        <f t="array" ref="CR356">IF(INDEX(Data!$P$4:$Z$947,MATCH(Graphs!$CK356,Data!$A$4:$A$947,0),MATCH(Graphs!CR$4,Data!$P$3:$Z$3,0))="n.q.",NA(),INDEX(Data!$P$4:$Z$947,MATCH(Graphs!$CK356,Data!$A$4:$A$947,0),MATCH(Graphs!CR$4,Data!$P$3:$Z$3,0)))</f>
        <v>179.8608013</v>
      </c>
      <c r="CS356" s="24" t="str">
        <f t="array" ref="CS356">IF(INDEX(Data!$P$4:$Z$947,MATCH(Graphs!$CK356,Data!$A$4:$A$947,0),MATCH(Graphs!CS$4,Data!$P$3:$Z$3,0))="n.q.",NA(),INDEX(Data!$P$4:$Z$947,MATCH(Graphs!$CK356,Data!$A$4:$A$947,0),MATCH(Graphs!CS$4,Data!$P$3:$Z$3,0)))</f>
        <v>#N/A</v>
      </c>
      <c r="CT356" s="24">
        <f t="array" ref="CT356">IF(INDEX(Data!$P$4:$Z$947,MATCH(Graphs!$CK356,Data!$A$4:$A$947,0),MATCH(Graphs!CT$4,Data!$P$3:$Z$3,0))="n.q.",NA(),INDEX(Data!$P$4:$Z$947,MATCH(Graphs!$CK356,Data!$A$4:$A$947,0),MATCH(Graphs!CT$4,Data!$P$3:$Z$3,0)))</f>
        <v>165.521549</v>
      </c>
      <c r="CU356" s="24" t="str">
        <f t="array" ref="CU356">IF(INDEX(Data!$P$4:$Z$947,MATCH(Graphs!$CK356,Data!$A$4:$A$947,0),MATCH(Graphs!CU$4,Data!$P$3:$Z$3,0))="n.q.",NA(),INDEX(Data!$P$4:$Z$947,MATCH(Graphs!$CK356,Data!$A$4:$A$947,0),MATCH(Graphs!CU$4,Data!$P$3:$Z$3,0)))</f>
        <v>#N/A</v>
      </c>
      <c r="CV356" s="24" t="str">
        <f t="array" ref="CV356">IF(INDEX(Data!$P$4:$Z$947,MATCH(Graphs!$CK356,Data!$A$4:$A$947,0),MATCH(Graphs!CV$4,Data!$P$3:$Z$3,0))="n.q.",NA(),INDEX(Data!$P$4:$Z$947,MATCH(Graphs!$CK356,Data!$A$4:$A$947,0),MATCH(Graphs!CV$4,Data!$P$3:$Z$3,0)))</f>
        <v>#N/A</v>
      </c>
    </row>
    <row r="357" ht="14.25" customHeight="1"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5"/>
      <c r="CK357" s="22">
        <f>Data!A338</f>
        <v>43628</v>
      </c>
      <c r="CL357" s="24">
        <f t="array" ref="CL357">IF(INDEX(Data!$B$4:$L$947,MATCH(Graphs!$CK357,Data!$A$4:$A$947,0),MATCH(Graphs!CL$4,Data!$B$3:$L$3,0))="n.q.",NA(),INDEX(Data!$B$4:$L$947,MATCH(Graphs!$CK357,Data!$A$4:$A$947,0),MATCH(Graphs!CL$4,Data!$B$3:$L$3,0)))</f>
        <v>212.23</v>
      </c>
      <c r="CM357" s="24">
        <f t="array" ref="CM357">IF(INDEX(Data!$B$4:$L$947,MATCH(Graphs!$CK357,Data!$A$4:$A$947,0),MATCH(Graphs!CM$4,Data!$B$3:$L$3,0))="n.q.",NA(),INDEX(Data!$B$4:$L$947,MATCH(Graphs!$CK357,Data!$A$4:$A$947,0),MATCH(Graphs!CM$4,Data!$B$3:$L$3,0)))</f>
        <v>225.15</v>
      </c>
      <c r="CN357" s="24">
        <f t="array" ref="CN357">IF(INDEX(Data!$B$4:$L$947,MATCH(Graphs!$CK357,Data!$A$4:$A$947,0),MATCH(Graphs!CN$4,Data!$B$3:$L$3,0))="n.q.",NA(),INDEX(Data!$B$4:$L$947,MATCH(Graphs!$CK357,Data!$A$4:$A$947,0),MATCH(Graphs!CN$4,Data!$B$3:$L$3,0)))</f>
        <v>179</v>
      </c>
      <c r="CO357" s="24" t="str">
        <f t="array" ref="CO357">IF(INDEX(Data!$B$4:$L$947,MATCH(Graphs!$CK357,Data!$A$4:$A$947,0),MATCH(Graphs!CO$4,Data!$B$3:$L$3,0))="n.q.",NA(),INDEX(Data!$B$4:$L$947,MATCH(Graphs!$CK357,Data!$A$4:$A$947,0),MATCH(Graphs!CO$4,Data!$B$3:$L$3,0)))</f>
        <v>#N/A</v>
      </c>
      <c r="CP357" s="24" t="str">
        <f t="array" ref="CP357">IF(INDEX(Data!$B$4:$L$947,MATCH(Graphs!$CK357,Data!$A$4:$A$947,0),MATCH(Graphs!CP$4,Data!$B$3:$L$3,0))="n.q.",NA(),INDEX(Data!$B$4:$L$947,MATCH(Graphs!$CK357,Data!$A$4:$A$947,0),MATCH(Graphs!CP$4,Data!$B$3:$L$3,0)))</f>
        <v>#N/A</v>
      </c>
      <c r="CQ357" s="5"/>
      <c r="CR357" s="24">
        <f t="array" ref="CR357">IF(INDEX(Data!$P$4:$Z$947,MATCH(Graphs!$CK357,Data!$A$4:$A$947,0),MATCH(Graphs!CR$4,Data!$P$3:$Z$3,0))="n.q.",NA(),INDEX(Data!$P$4:$Z$947,MATCH(Graphs!$CK357,Data!$A$4:$A$947,0),MATCH(Graphs!CR$4,Data!$P$3:$Z$3,0)))</f>
        <v>173.8408549</v>
      </c>
      <c r="CS357" s="24">
        <f t="array" ref="CS357">IF(INDEX(Data!$P$4:$Z$947,MATCH(Graphs!$CK357,Data!$A$4:$A$947,0),MATCH(Graphs!CS$4,Data!$P$3:$Z$3,0))="n.q.",NA(),INDEX(Data!$P$4:$Z$947,MATCH(Graphs!$CK357,Data!$A$4:$A$947,0),MATCH(Graphs!CS$4,Data!$P$3:$Z$3,0)))</f>
        <v>177.23</v>
      </c>
      <c r="CT357" s="24">
        <f t="array" ref="CT357">IF(INDEX(Data!$P$4:$Z$947,MATCH(Graphs!$CK357,Data!$A$4:$A$947,0),MATCH(Graphs!CT$4,Data!$P$3:$Z$3,0))="n.q.",NA(),INDEX(Data!$P$4:$Z$947,MATCH(Graphs!$CK357,Data!$A$4:$A$947,0),MATCH(Graphs!CT$4,Data!$P$3:$Z$3,0)))</f>
        <v>158.9684713</v>
      </c>
      <c r="CU357" s="24" t="str">
        <f t="array" ref="CU357">IF(INDEX(Data!$P$4:$Z$947,MATCH(Graphs!$CK357,Data!$A$4:$A$947,0),MATCH(Graphs!CU$4,Data!$P$3:$Z$3,0))="n.q.",NA(),INDEX(Data!$P$4:$Z$947,MATCH(Graphs!$CK357,Data!$A$4:$A$947,0),MATCH(Graphs!CU$4,Data!$P$3:$Z$3,0)))</f>
        <v>#N/A</v>
      </c>
      <c r="CV357" s="24" t="str">
        <f t="array" ref="CV357">IF(INDEX(Data!$P$4:$Z$947,MATCH(Graphs!$CK357,Data!$A$4:$A$947,0),MATCH(Graphs!CV$4,Data!$P$3:$Z$3,0))="n.q.",NA(),INDEX(Data!$P$4:$Z$947,MATCH(Graphs!$CK357,Data!$A$4:$A$947,0),MATCH(Graphs!CV$4,Data!$P$3:$Z$3,0)))</f>
        <v>#N/A</v>
      </c>
    </row>
    <row r="358" ht="14.25" customHeight="1"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5"/>
      <c r="CK358" s="22">
        <f>Data!A339</f>
        <v>43621</v>
      </c>
      <c r="CL358" s="24">
        <f t="array" ref="CL358">IF(INDEX(Data!$B$4:$L$947,MATCH(Graphs!$CK358,Data!$A$4:$A$947,0),MATCH(Graphs!CL$4,Data!$B$3:$L$3,0))="n.q.",NA(),INDEX(Data!$B$4:$L$947,MATCH(Graphs!$CK358,Data!$A$4:$A$947,0),MATCH(Graphs!CL$4,Data!$B$3:$L$3,0)))</f>
        <v>214.02</v>
      </c>
      <c r="CM358" s="24">
        <f t="array" ref="CM358">IF(INDEX(Data!$B$4:$L$947,MATCH(Graphs!$CK358,Data!$A$4:$A$947,0),MATCH(Graphs!CM$4,Data!$B$3:$L$3,0))="n.q.",NA(),INDEX(Data!$B$4:$L$947,MATCH(Graphs!$CK358,Data!$A$4:$A$947,0),MATCH(Graphs!CM$4,Data!$B$3:$L$3,0)))</f>
        <v>218.9</v>
      </c>
      <c r="CN358" s="24">
        <f t="array" ref="CN358">IF(INDEX(Data!$B$4:$L$947,MATCH(Graphs!$CK358,Data!$A$4:$A$947,0),MATCH(Graphs!CN$4,Data!$B$3:$L$3,0))="n.q.",NA(),INDEX(Data!$B$4:$L$947,MATCH(Graphs!$CK358,Data!$A$4:$A$947,0),MATCH(Graphs!CN$4,Data!$B$3:$L$3,0)))</f>
        <v>183</v>
      </c>
      <c r="CO358" s="24" t="str">
        <f t="array" ref="CO358">IF(INDEX(Data!$B$4:$L$947,MATCH(Graphs!$CK358,Data!$A$4:$A$947,0),MATCH(Graphs!CO$4,Data!$B$3:$L$3,0))="n.q.",NA(),INDEX(Data!$B$4:$L$947,MATCH(Graphs!$CK358,Data!$A$4:$A$947,0),MATCH(Graphs!CO$4,Data!$B$3:$L$3,0)))</f>
        <v>#N/A</v>
      </c>
      <c r="CP358" s="24" t="str">
        <f t="array" ref="CP358">IF(INDEX(Data!$B$4:$L$947,MATCH(Graphs!$CK358,Data!$A$4:$A$947,0),MATCH(Graphs!CP$4,Data!$B$3:$L$3,0))="n.q.",NA(),INDEX(Data!$B$4:$L$947,MATCH(Graphs!$CK358,Data!$A$4:$A$947,0),MATCH(Graphs!CP$4,Data!$B$3:$L$3,0)))</f>
        <v>#N/A</v>
      </c>
      <c r="CQ358" s="5"/>
      <c r="CR358" s="24">
        <f t="array" ref="CR358">IF(INDEX(Data!$P$4:$Z$947,MATCH(Graphs!$CK358,Data!$A$4:$A$947,0),MATCH(Graphs!CR$4,Data!$P$3:$Z$3,0))="n.q.",NA(),INDEX(Data!$P$4:$Z$947,MATCH(Graphs!$CK358,Data!$A$4:$A$947,0),MATCH(Graphs!CR$4,Data!$P$3:$Z$3,0)))</f>
        <v>169.5300702</v>
      </c>
      <c r="CS358" s="24">
        <f t="array" ref="CS358">IF(INDEX(Data!$P$4:$Z$947,MATCH(Graphs!$CK358,Data!$A$4:$A$947,0),MATCH(Graphs!CS$4,Data!$P$3:$Z$3,0))="n.q.",NA(),INDEX(Data!$P$4:$Z$947,MATCH(Graphs!$CK358,Data!$A$4:$A$947,0),MATCH(Graphs!CS$4,Data!$P$3:$Z$3,0)))</f>
        <v>175.23</v>
      </c>
      <c r="CT358" s="24">
        <f t="array" ref="CT358">IF(INDEX(Data!$P$4:$Z$947,MATCH(Graphs!$CK358,Data!$A$4:$A$947,0),MATCH(Graphs!CT$4,Data!$P$3:$Z$3,0))="n.q.",NA(),INDEX(Data!$P$4:$Z$947,MATCH(Graphs!$CK358,Data!$A$4:$A$947,0),MATCH(Graphs!CT$4,Data!$P$3:$Z$3,0)))</f>
        <v>159.0121702</v>
      </c>
      <c r="CU358" s="24" t="str">
        <f t="array" ref="CU358">IF(INDEX(Data!$P$4:$Z$947,MATCH(Graphs!$CK358,Data!$A$4:$A$947,0),MATCH(Graphs!CU$4,Data!$P$3:$Z$3,0))="n.q.",NA(),INDEX(Data!$P$4:$Z$947,MATCH(Graphs!$CK358,Data!$A$4:$A$947,0),MATCH(Graphs!CU$4,Data!$P$3:$Z$3,0)))</f>
        <v>#N/A</v>
      </c>
      <c r="CV358" s="24" t="str">
        <f t="array" ref="CV358">IF(INDEX(Data!$P$4:$Z$947,MATCH(Graphs!$CK358,Data!$A$4:$A$947,0),MATCH(Graphs!CV$4,Data!$P$3:$Z$3,0))="n.q.",NA(),INDEX(Data!$P$4:$Z$947,MATCH(Graphs!$CK358,Data!$A$4:$A$947,0),MATCH(Graphs!CV$4,Data!$P$3:$Z$3,0)))</f>
        <v>#N/A</v>
      </c>
    </row>
    <row r="359" ht="14.25" customHeight="1"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5"/>
      <c r="CK359" s="22">
        <f>Data!A340</f>
        <v>43614</v>
      </c>
      <c r="CL359" s="24">
        <f t="array" ref="CL359">IF(INDEX(Data!$B$4:$L$947,MATCH(Graphs!$CK359,Data!$A$4:$A$947,0),MATCH(Graphs!CL$4,Data!$B$3:$L$3,0))="n.q.",NA(),INDEX(Data!$B$4:$L$947,MATCH(Graphs!$CK359,Data!$A$4:$A$947,0),MATCH(Graphs!CL$4,Data!$B$3:$L$3,0)))</f>
        <v>214.04</v>
      </c>
      <c r="CM359" s="24">
        <f t="array" ref="CM359">IF(INDEX(Data!$B$4:$L$947,MATCH(Graphs!$CK359,Data!$A$4:$A$947,0),MATCH(Graphs!CM$4,Data!$B$3:$L$3,0))="n.q.",NA(),INDEX(Data!$B$4:$L$947,MATCH(Graphs!$CK359,Data!$A$4:$A$947,0),MATCH(Graphs!CM$4,Data!$B$3:$L$3,0)))</f>
        <v>223.49</v>
      </c>
      <c r="CN359" s="24">
        <f t="array" ref="CN359">IF(INDEX(Data!$B$4:$L$947,MATCH(Graphs!$CK359,Data!$A$4:$A$947,0),MATCH(Graphs!CN$4,Data!$B$3:$L$3,0))="n.q.",NA(),INDEX(Data!$B$4:$L$947,MATCH(Graphs!$CK359,Data!$A$4:$A$947,0),MATCH(Graphs!CN$4,Data!$B$3:$L$3,0)))</f>
        <v>190</v>
      </c>
      <c r="CO359" s="24" t="str">
        <f t="array" ref="CO359">IF(INDEX(Data!$B$4:$L$947,MATCH(Graphs!$CK359,Data!$A$4:$A$947,0),MATCH(Graphs!CO$4,Data!$B$3:$L$3,0))="n.q.",NA(),INDEX(Data!$B$4:$L$947,MATCH(Graphs!$CK359,Data!$A$4:$A$947,0),MATCH(Graphs!CO$4,Data!$B$3:$L$3,0)))</f>
        <v>#N/A</v>
      </c>
      <c r="CP359" s="24" t="str">
        <f t="array" ref="CP359">IF(INDEX(Data!$B$4:$L$947,MATCH(Graphs!$CK359,Data!$A$4:$A$947,0),MATCH(Graphs!CP$4,Data!$B$3:$L$3,0))="n.q.",NA(),INDEX(Data!$B$4:$L$947,MATCH(Graphs!$CK359,Data!$A$4:$A$947,0),MATCH(Graphs!CP$4,Data!$B$3:$L$3,0)))</f>
        <v>#N/A</v>
      </c>
      <c r="CQ359" s="5"/>
      <c r="CR359" s="24">
        <f t="array" ref="CR359">IF(INDEX(Data!$P$4:$Z$947,MATCH(Graphs!$CK359,Data!$A$4:$A$947,0),MATCH(Graphs!CR$4,Data!$P$3:$Z$3,0))="n.q.",NA(),INDEX(Data!$P$4:$Z$947,MATCH(Graphs!$CK359,Data!$A$4:$A$947,0),MATCH(Graphs!CR$4,Data!$P$3:$Z$3,0)))</f>
        <v>171.7640731</v>
      </c>
      <c r="CS359" s="24">
        <f t="array" ref="CS359">IF(INDEX(Data!$P$4:$Z$947,MATCH(Graphs!$CK359,Data!$A$4:$A$947,0),MATCH(Graphs!CS$4,Data!$P$3:$Z$3,0))="n.q.",NA(),INDEX(Data!$P$4:$Z$947,MATCH(Graphs!$CK359,Data!$A$4:$A$947,0),MATCH(Graphs!CS$4,Data!$P$3:$Z$3,0)))</f>
        <v>168.1189674</v>
      </c>
      <c r="CT359" s="24">
        <f t="array" ref="CT359">IF(INDEX(Data!$P$4:$Z$947,MATCH(Graphs!$CK359,Data!$A$4:$A$947,0),MATCH(Graphs!CT$4,Data!$P$3:$Z$3,0))="n.q.",NA(),INDEX(Data!$P$4:$Z$947,MATCH(Graphs!$CK359,Data!$A$4:$A$947,0),MATCH(Graphs!CT$4,Data!$P$3:$Z$3,0)))</f>
        <v>160.4517748</v>
      </c>
      <c r="CU359" s="24" t="str">
        <f t="array" ref="CU359">IF(INDEX(Data!$P$4:$Z$947,MATCH(Graphs!$CK359,Data!$A$4:$A$947,0),MATCH(Graphs!CU$4,Data!$P$3:$Z$3,0))="n.q.",NA(),INDEX(Data!$P$4:$Z$947,MATCH(Graphs!$CK359,Data!$A$4:$A$947,0),MATCH(Graphs!CU$4,Data!$P$3:$Z$3,0)))</f>
        <v>#N/A</v>
      </c>
      <c r="CV359" s="24" t="str">
        <f t="array" ref="CV359">IF(INDEX(Data!$P$4:$Z$947,MATCH(Graphs!$CK359,Data!$A$4:$A$947,0),MATCH(Graphs!CV$4,Data!$P$3:$Z$3,0))="n.q.",NA(),INDEX(Data!$P$4:$Z$947,MATCH(Graphs!$CK359,Data!$A$4:$A$947,0),MATCH(Graphs!CV$4,Data!$P$3:$Z$3,0)))</f>
        <v>#N/A</v>
      </c>
    </row>
    <row r="360" ht="14.25" customHeight="1"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5"/>
      <c r="CK360" s="22">
        <f>Data!A341</f>
        <v>43607</v>
      </c>
      <c r="CL360" s="24">
        <f t="array" ref="CL360">IF(INDEX(Data!$B$4:$L$947,MATCH(Graphs!$CK360,Data!$A$4:$A$947,0),MATCH(Graphs!CL$4,Data!$B$3:$L$3,0))="n.q.",NA(),INDEX(Data!$B$4:$L$947,MATCH(Graphs!$CK360,Data!$A$4:$A$947,0),MATCH(Graphs!CL$4,Data!$B$3:$L$3,0)))</f>
        <v>209.26</v>
      </c>
      <c r="CM360" s="24">
        <f t="array" ref="CM360">IF(INDEX(Data!$B$4:$L$947,MATCH(Graphs!$CK360,Data!$A$4:$A$947,0),MATCH(Graphs!CM$4,Data!$B$3:$L$3,0))="n.q.",NA(),INDEX(Data!$B$4:$L$947,MATCH(Graphs!$CK360,Data!$A$4:$A$947,0),MATCH(Graphs!CM$4,Data!$B$3:$L$3,0)))</f>
        <v>215.78</v>
      </c>
      <c r="CN360" s="24">
        <f t="array" ref="CN360">IF(INDEX(Data!$B$4:$L$947,MATCH(Graphs!$CK360,Data!$A$4:$A$947,0),MATCH(Graphs!CN$4,Data!$B$3:$L$3,0))="n.q.",NA(),INDEX(Data!$B$4:$L$947,MATCH(Graphs!$CK360,Data!$A$4:$A$947,0),MATCH(Graphs!CN$4,Data!$B$3:$L$3,0)))</f>
        <v>187</v>
      </c>
      <c r="CO360" s="24" t="str">
        <f t="array" ref="CO360">IF(INDEX(Data!$B$4:$L$947,MATCH(Graphs!$CK360,Data!$A$4:$A$947,0),MATCH(Graphs!CO$4,Data!$B$3:$L$3,0))="n.q.",NA(),INDEX(Data!$B$4:$L$947,MATCH(Graphs!$CK360,Data!$A$4:$A$947,0),MATCH(Graphs!CO$4,Data!$B$3:$L$3,0)))</f>
        <v>#N/A</v>
      </c>
      <c r="CP360" s="24" t="str">
        <f t="array" ref="CP360">IF(INDEX(Data!$B$4:$L$947,MATCH(Graphs!$CK360,Data!$A$4:$A$947,0),MATCH(Graphs!CP$4,Data!$B$3:$L$3,0))="n.q.",NA(),INDEX(Data!$B$4:$L$947,MATCH(Graphs!$CK360,Data!$A$4:$A$947,0),MATCH(Graphs!CP$4,Data!$B$3:$L$3,0)))</f>
        <v>#N/A</v>
      </c>
      <c r="CQ360" s="5"/>
      <c r="CR360" s="24">
        <f t="array" ref="CR360">IF(INDEX(Data!$P$4:$Z$947,MATCH(Graphs!$CK360,Data!$A$4:$A$947,0),MATCH(Graphs!CR$4,Data!$P$3:$Z$3,0))="n.q.",NA(),INDEX(Data!$P$4:$Z$947,MATCH(Graphs!$CK360,Data!$A$4:$A$947,0),MATCH(Graphs!CR$4,Data!$P$3:$Z$3,0)))</f>
        <v>161.9371587</v>
      </c>
      <c r="CS360" s="24">
        <f t="array" ref="CS360">IF(INDEX(Data!$P$4:$Z$947,MATCH(Graphs!$CK360,Data!$A$4:$A$947,0),MATCH(Graphs!CS$4,Data!$P$3:$Z$3,0))="n.q.",NA(),INDEX(Data!$P$4:$Z$947,MATCH(Graphs!$CK360,Data!$A$4:$A$947,0),MATCH(Graphs!CS$4,Data!$P$3:$Z$3,0)))</f>
        <v>165.4183779</v>
      </c>
      <c r="CT360" s="24">
        <f t="array" ref="CT360">IF(INDEX(Data!$P$4:$Z$947,MATCH(Graphs!$CK360,Data!$A$4:$A$947,0),MATCH(Graphs!CT$4,Data!$P$3:$Z$3,0))="n.q.",NA(),INDEX(Data!$P$4:$Z$947,MATCH(Graphs!$CK360,Data!$A$4:$A$947,0),MATCH(Graphs!CT$4,Data!$P$3:$Z$3,0)))</f>
        <v>155.7604512</v>
      </c>
      <c r="CU360" s="24" t="str">
        <f t="array" ref="CU360">IF(INDEX(Data!$P$4:$Z$947,MATCH(Graphs!$CK360,Data!$A$4:$A$947,0),MATCH(Graphs!CU$4,Data!$P$3:$Z$3,0))="n.q.",NA(),INDEX(Data!$P$4:$Z$947,MATCH(Graphs!$CK360,Data!$A$4:$A$947,0),MATCH(Graphs!CU$4,Data!$P$3:$Z$3,0)))</f>
        <v>#N/A</v>
      </c>
      <c r="CV360" s="24" t="str">
        <f t="array" ref="CV360">IF(INDEX(Data!$P$4:$Z$947,MATCH(Graphs!$CK360,Data!$A$4:$A$947,0),MATCH(Graphs!CV$4,Data!$P$3:$Z$3,0))="n.q.",NA(),INDEX(Data!$P$4:$Z$947,MATCH(Graphs!$CK360,Data!$A$4:$A$947,0),MATCH(Graphs!CV$4,Data!$P$3:$Z$3,0)))</f>
        <v>#N/A</v>
      </c>
    </row>
    <row r="361" ht="14.25" customHeight="1"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5"/>
      <c r="CK361" s="22">
        <f>Data!A342</f>
        <v>43600</v>
      </c>
      <c r="CL361" s="24">
        <f t="array" ref="CL361">IF(INDEX(Data!$B$4:$L$947,MATCH(Graphs!$CK361,Data!$A$4:$A$947,0),MATCH(Graphs!CL$4,Data!$B$3:$L$3,0))="n.q.",NA(),INDEX(Data!$B$4:$L$947,MATCH(Graphs!$CK361,Data!$A$4:$A$947,0),MATCH(Graphs!CL$4,Data!$B$3:$L$3,0)))</f>
        <v>211.36</v>
      </c>
      <c r="CM361" s="24">
        <f t="array" ref="CM361">IF(INDEX(Data!$B$4:$L$947,MATCH(Graphs!$CK361,Data!$A$4:$A$947,0),MATCH(Graphs!CM$4,Data!$B$3:$L$3,0))="n.q.",NA(),INDEX(Data!$B$4:$L$947,MATCH(Graphs!$CK361,Data!$A$4:$A$947,0),MATCH(Graphs!CM$4,Data!$B$3:$L$3,0)))</f>
        <v>200.99</v>
      </c>
      <c r="CN361" s="24">
        <f t="array" ref="CN361">IF(INDEX(Data!$B$4:$L$947,MATCH(Graphs!$CK361,Data!$A$4:$A$947,0),MATCH(Graphs!CN$4,Data!$B$3:$L$3,0))="n.q.",NA(),INDEX(Data!$B$4:$L$947,MATCH(Graphs!$CK361,Data!$A$4:$A$947,0),MATCH(Graphs!CN$4,Data!$B$3:$L$3,0)))</f>
        <v>189</v>
      </c>
      <c r="CO361" s="24" t="str">
        <f t="array" ref="CO361">IF(INDEX(Data!$B$4:$L$947,MATCH(Graphs!$CK361,Data!$A$4:$A$947,0),MATCH(Graphs!CO$4,Data!$B$3:$L$3,0))="n.q.",NA(),INDEX(Data!$B$4:$L$947,MATCH(Graphs!$CK361,Data!$A$4:$A$947,0),MATCH(Graphs!CO$4,Data!$B$3:$L$3,0)))</f>
        <v>#N/A</v>
      </c>
      <c r="CP361" s="24" t="str">
        <f t="array" ref="CP361">IF(INDEX(Data!$B$4:$L$947,MATCH(Graphs!$CK361,Data!$A$4:$A$947,0),MATCH(Graphs!CP$4,Data!$B$3:$L$3,0))="n.q.",NA(),INDEX(Data!$B$4:$L$947,MATCH(Graphs!$CK361,Data!$A$4:$A$947,0),MATCH(Graphs!CP$4,Data!$B$3:$L$3,0)))</f>
        <v>#N/A</v>
      </c>
      <c r="CQ361" s="5"/>
      <c r="CR361" s="24">
        <f t="array" ref="CR361">IF(INDEX(Data!$P$4:$Z$947,MATCH(Graphs!$CK361,Data!$A$4:$A$947,0),MATCH(Graphs!CR$4,Data!$P$3:$Z$3,0))="n.q.",NA(),INDEX(Data!$P$4:$Z$947,MATCH(Graphs!$CK361,Data!$A$4:$A$947,0),MATCH(Graphs!CR$4,Data!$P$3:$Z$3,0)))</f>
        <v>152.9553787</v>
      </c>
      <c r="CS361" s="24">
        <f t="array" ref="CS361">IF(INDEX(Data!$P$4:$Z$947,MATCH(Graphs!$CK361,Data!$A$4:$A$947,0),MATCH(Graphs!CS$4,Data!$P$3:$Z$3,0))="n.q.",NA(),INDEX(Data!$P$4:$Z$947,MATCH(Graphs!$CK361,Data!$A$4:$A$947,0),MATCH(Graphs!CS$4,Data!$P$3:$Z$3,0)))</f>
        <v>167.8</v>
      </c>
      <c r="CT361" s="24">
        <f t="array" ref="CT361">IF(INDEX(Data!$P$4:$Z$947,MATCH(Graphs!$CK361,Data!$A$4:$A$947,0),MATCH(Graphs!CT$4,Data!$P$3:$Z$3,0))="n.q.",NA(),INDEX(Data!$P$4:$Z$947,MATCH(Graphs!$CK361,Data!$A$4:$A$947,0),MATCH(Graphs!CT$4,Data!$P$3:$Z$3,0)))</f>
        <v>151.1222391</v>
      </c>
      <c r="CU361" s="24" t="str">
        <f t="array" ref="CU361">IF(INDEX(Data!$P$4:$Z$947,MATCH(Graphs!$CK361,Data!$A$4:$A$947,0),MATCH(Graphs!CU$4,Data!$P$3:$Z$3,0))="n.q.",NA(),INDEX(Data!$P$4:$Z$947,MATCH(Graphs!$CK361,Data!$A$4:$A$947,0),MATCH(Graphs!CU$4,Data!$P$3:$Z$3,0)))</f>
        <v>#N/A</v>
      </c>
      <c r="CV361" s="24" t="str">
        <f t="array" ref="CV361">IF(INDEX(Data!$P$4:$Z$947,MATCH(Graphs!$CK361,Data!$A$4:$A$947,0),MATCH(Graphs!CV$4,Data!$P$3:$Z$3,0))="n.q.",NA(),INDEX(Data!$P$4:$Z$947,MATCH(Graphs!$CK361,Data!$A$4:$A$947,0),MATCH(Graphs!CV$4,Data!$P$3:$Z$3,0)))</f>
        <v>#N/A</v>
      </c>
    </row>
    <row r="362" ht="14.25" customHeight="1"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5"/>
      <c r="CK362" s="22">
        <f>Data!A343</f>
        <v>43593</v>
      </c>
      <c r="CL362" s="24">
        <f t="array" ref="CL362">IF(INDEX(Data!$B$4:$L$947,MATCH(Graphs!$CK362,Data!$A$4:$A$947,0),MATCH(Graphs!CL$4,Data!$B$3:$L$3,0))="n.q.",NA(),INDEX(Data!$B$4:$L$947,MATCH(Graphs!$CK362,Data!$A$4:$A$947,0),MATCH(Graphs!CL$4,Data!$B$3:$L$3,0)))</f>
        <v>210.5</v>
      </c>
      <c r="CM362" s="24">
        <f t="array" ref="CM362">IF(INDEX(Data!$B$4:$L$947,MATCH(Graphs!$CK362,Data!$A$4:$A$947,0),MATCH(Graphs!CM$4,Data!$B$3:$L$3,0))="n.q.",NA(),INDEX(Data!$B$4:$L$947,MATCH(Graphs!$CK362,Data!$A$4:$A$947,0),MATCH(Graphs!CM$4,Data!$B$3:$L$3,0)))</f>
        <v>201.81</v>
      </c>
      <c r="CN362" s="24">
        <f t="array" ref="CN362">IF(INDEX(Data!$B$4:$L$947,MATCH(Graphs!$CK362,Data!$A$4:$A$947,0),MATCH(Graphs!CN$4,Data!$B$3:$L$3,0))="n.q.",NA(),INDEX(Data!$B$4:$L$947,MATCH(Graphs!$CK362,Data!$A$4:$A$947,0),MATCH(Graphs!CN$4,Data!$B$3:$L$3,0)))</f>
        <v>190</v>
      </c>
      <c r="CO362" s="24" t="str">
        <f t="array" ref="CO362">IF(INDEX(Data!$B$4:$L$947,MATCH(Graphs!$CK362,Data!$A$4:$A$947,0),MATCH(Graphs!CO$4,Data!$B$3:$L$3,0))="n.q.",NA(),INDEX(Data!$B$4:$L$947,MATCH(Graphs!$CK362,Data!$A$4:$A$947,0),MATCH(Graphs!CO$4,Data!$B$3:$L$3,0)))</f>
        <v>#N/A</v>
      </c>
      <c r="CP362" s="24" t="str">
        <f t="array" ref="CP362">IF(INDEX(Data!$B$4:$L$947,MATCH(Graphs!$CK362,Data!$A$4:$A$947,0),MATCH(Graphs!CP$4,Data!$B$3:$L$3,0))="n.q.",NA(),INDEX(Data!$B$4:$L$947,MATCH(Graphs!$CK362,Data!$A$4:$A$947,0),MATCH(Graphs!CP$4,Data!$B$3:$L$3,0)))</f>
        <v>#N/A</v>
      </c>
      <c r="CQ362" s="5"/>
      <c r="CR362" s="24">
        <f t="array" ref="CR362">IF(INDEX(Data!$P$4:$Z$947,MATCH(Graphs!$CK362,Data!$A$4:$A$947,0),MATCH(Graphs!CR$4,Data!$P$3:$Z$3,0))="n.q.",NA(),INDEX(Data!$P$4:$Z$947,MATCH(Graphs!$CK362,Data!$A$4:$A$947,0),MATCH(Graphs!CR$4,Data!$P$3:$Z$3,0)))</f>
        <v>148.7502232</v>
      </c>
      <c r="CS362" s="24" t="str">
        <f t="array" ref="CS362">IF(INDEX(Data!$P$4:$Z$947,MATCH(Graphs!$CK362,Data!$A$4:$A$947,0),MATCH(Graphs!CS$4,Data!$P$3:$Z$3,0))="n.q.",NA(),INDEX(Data!$P$4:$Z$947,MATCH(Graphs!$CK362,Data!$A$4:$A$947,0),MATCH(Graphs!CS$4,Data!$P$3:$Z$3,0)))</f>
        <v>#N/A</v>
      </c>
      <c r="CT362" s="24">
        <f t="array" ref="CT362">IF(INDEX(Data!$P$4:$Z$947,MATCH(Graphs!$CK362,Data!$A$4:$A$947,0),MATCH(Graphs!CT$4,Data!$P$3:$Z$3,0))="n.q.",NA(),INDEX(Data!$P$4:$Z$947,MATCH(Graphs!$CK362,Data!$A$4:$A$947,0),MATCH(Graphs!CT$4,Data!$P$3:$Z$3,0)))</f>
        <v>149.9732191</v>
      </c>
      <c r="CU362" s="24" t="str">
        <f t="array" ref="CU362">IF(INDEX(Data!$P$4:$Z$947,MATCH(Graphs!$CK362,Data!$A$4:$A$947,0),MATCH(Graphs!CU$4,Data!$P$3:$Z$3,0))="n.q.",NA(),INDEX(Data!$P$4:$Z$947,MATCH(Graphs!$CK362,Data!$A$4:$A$947,0),MATCH(Graphs!CU$4,Data!$P$3:$Z$3,0)))</f>
        <v>#N/A</v>
      </c>
      <c r="CV362" s="24" t="str">
        <f t="array" ref="CV362">IF(INDEX(Data!$P$4:$Z$947,MATCH(Graphs!$CK362,Data!$A$4:$A$947,0),MATCH(Graphs!CV$4,Data!$P$3:$Z$3,0))="n.q.",NA(),INDEX(Data!$P$4:$Z$947,MATCH(Graphs!$CK362,Data!$A$4:$A$947,0),MATCH(Graphs!CV$4,Data!$P$3:$Z$3,0)))</f>
        <v>#N/A</v>
      </c>
    </row>
    <row r="363" ht="14.25" customHeight="1"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5"/>
      <c r="CK363" s="22">
        <f>Data!A344</f>
        <v>43586</v>
      </c>
      <c r="CL363" s="24">
        <f t="array" ref="CL363">IF(INDEX(Data!$B$4:$L$947,MATCH(Graphs!$CK363,Data!$A$4:$A$947,0),MATCH(Graphs!CL$4,Data!$B$3:$L$3,0))="n.q.",NA(),INDEX(Data!$B$4:$L$947,MATCH(Graphs!$CK363,Data!$A$4:$A$947,0),MATCH(Graphs!CL$4,Data!$B$3:$L$3,0)))</f>
        <v>213.13</v>
      </c>
      <c r="CM363" s="24">
        <f t="array" ref="CM363">IF(INDEX(Data!$B$4:$L$947,MATCH(Graphs!$CK363,Data!$A$4:$A$947,0),MATCH(Graphs!CM$4,Data!$B$3:$L$3,0))="n.q.",NA(),INDEX(Data!$B$4:$L$947,MATCH(Graphs!$CK363,Data!$A$4:$A$947,0),MATCH(Graphs!CM$4,Data!$B$3:$L$3,0)))</f>
        <v>201.81</v>
      </c>
      <c r="CN363" s="24">
        <f t="array" ref="CN363">IF(INDEX(Data!$B$4:$L$947,MATCH(Graphs!$CK363,Data!$A$4:$A$947,0),MATCH(Graphs!CN$4,Data!$B$3:$L$3,0))="n.q.",NA(),INDEX(Data!$B$4:$L$947,MATCH(Graphs!$CK363,Data!$A$4:$A$947,0),MATCH(Graphs!CN$4,Data!$B$3:$L$3,0)))</f>
        <v>201</v>
      </c>
      <c r="CO363" s="24" t="str">
        <f t="array" ref="CO363">IF(INDEX(Data!$B$4:$L$947,MATCH(Graphs!$CK363,Data!$A$4:$A$947,0),MATCH(Graphs!CO$4,Data!$B$3:$L$3,0))="n.q.",NA(),INDEX(Data!$B$4:$L$947,MATCH(Graphs!$CK363,Data!$A$4:$A$947,0),MATCH(Graphs!CO$4,Data!$B$3:$L$3,0)))</f>
        <v>#N/A</v>
      </c>
      <c r="CP363" s="24" t="str">
        <f t="array" ref="CP363">IF(INDEX(Data!$B$4:$L$947,MATCH(Graphs!$CK363,Data!$A$4:$A$947,0),MATCH(Graphs!CP$4,Data!$B$3:$L$3,0))="n.q.",NA(),INDEX(Data!$B$4:$L$947,MATCH(Graphs!$CK363,Data!$A$4:$A$947,0),MATCH(Graphs!CP$4,Data!$B$3:$L$3,0)))</f>
        <v>#N/A</v>
      </c>
      <c r="CQ363" s="5"/>
      <c r="CR363" s="24">
        <f t="array" ref="CR363">IF(INDEX(Data!$P$4:$Z$947,MATCH(Graphs!$CK363,Data!$A$4:$A$947,0),MATCH(Graphs!CR$4,Data!$P$3:$Z$3,0))="n.q.",NA(),INDEX(Data!$P$4:$Z$947,MATCH(Graphs!$CK363,Data!$A$4:$A$947,0),MATCH(Graphs!CR$4,Data!$P$3:$Z$3,0)))</f>
        <v>148.7965769</v>
      </c>
      <c r="CS363" s="24" t="str">
        <f t="array" ref="CS363">IF(INDEX(Data!$P$4:$Z$947,MATCH(Graphs!$CK363,Data!$A$4:$A$947,0),MATCH(Graphs!CS$4,Data!$P$3:$Z$3,0))="n.q.",NA(),INDEX(Data!$P$4:$Z$947,MATCH(Graphs!$CK363,Data!$A$4:$A$947,0),MATCH(Graphs!CS$4,Data!$P$3:$Z$3,0)))</f>
        <v>#N/A</v>
      </c>
      <c r="CT363" s="24">
        <f t="array" ref="CT363">IF(INDEX(Data!$P$4:$Z$947,MATCH(Graphs!$CK363,Data!$A$4:$A$947,0),MATCH(Graphs!CT$4,Data!$P$3:$Z$3,0))="n.q.",NA(),INDEX(Data!$P$4:$Z$947,MATCH(Graphs!$CK363,Data!$A$4:$A$947,0),MATCH(Graphs!CT$4,Data!$P$3:$Z$3,0)))</f>
        <v>150.6507399</v>
      </c>
      <c r="CU363" s="24" t="str">
        <f t="array" ref="CU363">IF(INDEX(Data!$P$4:$Z$947,MATCH(Graphs!$CK363,Data!$A$4:$A$947,0),MATCH(Graphs!CU$4,Data!$P$3:$Z$3,0))="n.q.",NA(),INDEX(Data!$P$4:$Z$947,MATCH(Graphs!$CK363,Data!$A$4:$A$947,0),MATCH(Graphs!CU$4,Data!$P$3:$Z$3,0)))</f>
        <v>#N/A</v>
      </c>
      <c r="CV363" s="24" t="str">
        <f t="array" ref="CV363">IF(INDEX(Data!$P$4:$Z$947,MATCH(Graphs!$CK363,Data!$A$4:$A$947,0),MATCH(Graphs!CV$4,Data!$P$3:$Z$3,0))="n.q.",NA(),INDEX(Data!$P$4:$Z$947,MATCH(Graphs!$CK363,Data!$A$4:$A$947,0),MATCH(Graphs!CV$4,Data!$P$3:$Z$3,0)))</f>
        <v>#N/A</v>
      </c>
    </row>
    <row r="364" ht="14.25" customHeight="1"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5"/>
      <c r="CK364" s="22">
        <f>Data!A345</f>
        <v>43579</v>
      </c>
      <c r="CL364" s="24">
        <f t="array" ref="CL364">IF(INDEX(Data!$B$4:$L$947,MATCH(Graphs!$CK364,Data!$A$4:$A$947,0),MATCH(Graphs!CL$4,Data!$B$3:$L$3,0))="n.q.",NA(),INDEX(Data!$B$4:$L$947,MATCH(Graphs!$CK364,Data!$A$4:$A$947,0),MATCH(Graphs!CL$4,Data!$B$3:$L$3,0)))</f>
        <v>208.73</v>
      </c>
      <c r="CM364" s="24">
        <f t="array" ref="CM364">IF(INDEX(Data!$B$4:$L$947,MATCH(Graphs!$CK364,Data!$A$4:$A$947,0),MATCH(Graphs!CM$4,Data!$B$3:$L$3,0))="n.q.",NA(),INDEX(Data!$B$4:$L$947,MATCH(Graphs!$CK364,Data!$A$4:$A$947,0),MATCH(Graphs!CM$4,Data!$B$3:$L$3,0)))</f>
        <v>207.42</v>
      </c>
      <c r="CN364" s="24">
        <f t="array" ref="CN364">IF(INDEX(Data!$B$4:$L$947,MATCH(Graphs!$CK364,Data!$A$4:$A$947,0),MATCH(Graphs!CN$4,Data!$B$3:$L$3,0))="n.q.",NA(),INDEX(Data!$B$4:$L$947,MATCH(Graphs!$CK364,Data!$A$4:$A$947,0),MATCH(Graphs!CN$4,Data!$B$3:$L$3,0)))</f>
        <v>206</v>
      </c>
      <c r="CO364" s="24" t="str">
        <f t="array" ref="CO364">IF(INDEX(Data!$B$4:$L$947,MATCH(Graphs!$CK364,Data!$A$4:$A$947,0),MATCH(Graphs!CO$4,Data!$B$3:$L$3,0))="n.q.",NA(),INDEX(Data!$B$4:$L$947,MATCH(Graphs!$CK364,Data!$A$4:$A$947,0),MATCH(Graphs!CO$4,Data!$B$3:$L$3,0)))</f>
        <v>#N/A</v>
      </c>
      <c r="CP364" s="24" t="str">
        <f t="array" ref="CP364">IF(INDEX(Data!$B$4:$L$947,MATCH(Graphs!$CK364,Data!$A$4:$A$947,0),MATCH(Graphs!CP$4,Data!$B$3:$L$3,0))="n.q.",NA(),INDEX(Data!$B$4:$L$947,MATCH(Graphs!$CK364,Data!$A$4:$A$947,0),MATCH(Graphs!CP$4,Data!$B$3:$L$3,0)))</f>
        <v>#N/A</v>
      </c>
      <c r="CQ364" s="5"/>
      <c r="CR364" s="24">
        <f t="array" ref="CR364">IF(INDEX(Data!$P$4:$Z$947,MATCH(Graphs!$CK364,Data!$A$4:$A$947,0),MATCH(Graphs!CR$4,Data!$P$3:$Z$3,0))="n.q.",NA(),INDEX(Data!$P$4:$Z$947,MATCH(Graphs!$CK364,Data!$A$4:$A$947,0),MATCH(Graphs!CR$4,Data!$P$3:$Z$3,0)))</f>
        <v>143.206352</v>
      </c>
      <c r="CS364" s="24">
        <f t="array" ref="CS364">IF(INDEX(Data!$P$4:$Z$947,MATCH(Graphs!$CK364,Data!$A$4:$A$947,0),MATCH(Graphs!CS$4,Data!$P$3:$Z$3,0))="n.q.",NA(),INDEX(Data!$P$4:$Z$947,MATCH(Graphs!$CK364,Data!$A$4:$A$947,0),MATCH(Graphs!CS$4,Data!$P$3:$Z$3,0)))</f>
        <v>168.37</v>
      </c>
      <c r="CT364" s="24">
        <f t="array" ref="CT364">IF(INDEX(Data!$P$4:$Z$947,MATCH(Graphs!$CK364,Data!$A$4:$A$947,0),MATCH(Graphs!CT$4,Data!$P$3:$Z$3,0))="n.q.",NA(),INDEX(Data!$P$4:$Z$947,MATCH(Graphs!$CK364,Data!$A$4:$A$947,0),MATCH(Graphs!CT$4,Data!$P$3:$Z$3,0)))</f>
        <v>152.5559818</v>
      </c>
      <c r="CU364" s="24" t="str">
        <f t="array" ref="CU364">IF(INDEX(Data!$P$4:$Z$947,MATCH(Graphs!$CK364,Data!$A$4:$A$947,0),MATCH(Graphs!CU$4,Data!$P$3:$Z$3,0))="n.q.",NA(),INDEX(Data!$P$4:$Z$947,MATCH(Graphs!$CK364,Data!$A$4:$A$947,0),MATCH(Graphs!CU$4,Data!$P$3:$Z$3,0)))</f>
        <v>#N/A</v>
      </c>
      <c r="CV364" s="24" t="str">
        <f t="array" ref="CV364">IF(INDEX(Data!$P$4:$Z$947,MATCH(Graphs!$CK364,Data!$A$4:$A$947,0),MATCH(Graphs!CV$4,Data!$P$3:$Z$3,0))="n.q.",NA(),INDEX(Data!$P$4:$Z$947,MATCH(Graphs!$CK364,Data!$A$4:$A$947,0),MATCH(Graphs!CV$4,Data!$P$3:$Z$3,0)))</f>
        <v>#N/A</v>
      </c>
    </row>
    <row r="365" ht="14.25" customHeight="1"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5"/>
      <c r="CK365" s="22">
        <f>Data!A346</f>
        <v>43572</v>
      </c>
      <c r="CL365" s="24">
        <f t="array" ref="CL365">IF(INDEX(Data!$B$4:$L$947,MATCH(Graphs!$CK365,Data!$A$4:$A$947,0),MATCH(Graphs!CL$4,Data!$B$3:$L$3,0))="n.q.",NA(),INDEX(Data!$B$4:$L$947,MATCH(Graphs!$CK365,Data!$A$4:$A$947,0),MATCH(Graphs!CL$4,Data!$B$3:$L$3,0)))</f>
        <v>216.63</v>
      </c>
      <c r="CM365" s="24">
        <f t="array" ref="CM365">IF(INDEX(Data!$B$4:$L$947,MATCH(Graphs!$CK365,Data!$A$4:$A$947,0),MATCH(Graphs!CM$4,Data!$B$3:$L$3,0))="n.q.",NA(),INDEX(Data!$B$4:$L$947,MATCH(Graphs!$CK365,Data!$A$4:$A$947,0),MATCH(Graphs!CM$4,Data!$B$3:$L$3,0)))</f>
        <v>215.13</v>
      </c>
      <c r="CN365" s="24">
        <f t="array" ref="CN365">IF(INDEX(Data!$B$4:$L$947,MATCH(Graphs!$CK365,Data!$A$4:$A$947,0),MATCH(Graphs!CN$4,Data!$B$3:$L$3,0))="n.q.",NA(),INDEX(Data!$B$4:$L$947,MATCH(Graphs!$CK365,Data!$A$4:$A$947,0),MATCH(Graphs!CN$4,Data!$B$3:$L$3,0)))</f>
        <v>210</v>
      </c>
      <c r="CO365" s="24" t="str">
        <f t="array" ref="CO365">IF(INDEX(Data!$B$4:$L$947,MATCH(Graphs!$CK365,Data!$A$4:$A$947,0),MATCH(Graphs!CO$4,Data!$B$3:$L$3,0))="n.q.",NA(),INDEX(Data!$B$4:$L$947,MATCH(Graphs!$CK365,Data!$A$4:$A$947,0),MATCH(Graphs!CO$4,Data!$B$3:$L$3,0)))</f>
        <v>#N/A</v>
      </c>
      <c r="CP365" s="24" t="str">
        <f t="array" ref="CP365">IF(INDEX(Data!$B$4:$L$947,MATCH(Graphs!$CK365,Data!$A$4:$A$947,0),MATCH(Graphs!CP$4,Data!$B$3:$L$3,0))="n.q.",NA(),INDEX(Data!$B$4:$L$947,MATCH(Graphs!$CK365,Data!$A$4:$A$947,0),MATCH(Graphs!CP$4,Data!$B$3:$L$3,0)))</f>
        <v>#N/A</v>
      </c>
      <c r="CQ365" s="5"/>
      <c r="CR365" s="24">
        <f t="array" ref="CR365">IF(INDEX(Data!$P$4:$Z$947,MATCH(Graphs!$CK365,Data!$A$4:$A$947,0),MATCH(Graphs!CR$4,Data!$P$3:$Z$3,0))="n.q.",NA(),INDEX(Data!$P$4:$Z$947,MATCH(Graphs!$CK365,Data!$A$4:$A$947,0),MATCH(Graphs!CR$4,Data!$P$3:$Z$3,0)))</f>
        <v>146.0490222</v>
      </c>
      <c r="CS365" s="24">
        <f t="array" ref="CS365">IF(INDEX(Data!$P$4:$Z$947,MATCH(Graphs!$CK365,Data!$A$4:$A$947,0),MATCH(Graphs!CS$4,Data!$P$3:$Z$3,0))="n.q.",NA(),INDEX(Data!$P$4:$Z$947,MATCH(Graphs!$CK365,Data!$A$4:$A$947,0),MATCH(Graphs!CS$4,Data!$P$3:$Z$3,0)))</f>
        <v>169.37</v>
      </c>
      <c r="CT365" s="24">
        <f t="array" ref="CT365">IF(INDEX(Data!$P$4:$Z$947,MATCH(Graphs!$CK365,Data!$A$4:$A$947,0),MATCH(Graphs!CT$4,Data!$P$3:$Z$3,0))="n.q.",NA(),INDEX(Data!$P$4:$Z$947,MATCH(Graphs!$CK365,Data!$A$4:$A$947,0),MATCH(Graphs!CT$4,Data!$P$3:$Z$3,0)))</f>
        <v>153.0837979</v>
      </c>
      <c r="CU365" s="24" t="str">
        <f t="array" ref="CU365">IF(INDEX(Data!$P$4:$Z$947,MATCH(Graphs!$CK365,Data!$A$4:$A$947,0),MATCH(Graphs!CU$4,Data!$P$3:$Z$3,0))="n.q.",NA(),INDEX(Data!$P$4:$Z$947,MATCH(Graphs!$CK365,Data!$A$4:$A$947,0),MATCH(Graphs!CU$4,Data!$P$3:$Z$3,0)))</f>
        <v>#N/A</v>
      </c>
      <c r="CV365" s="24" t="str">
        <f t="array" ref="CV365">IF(INDEX(Data!$P$4:$Z$947,MATCH(Graphs!$CK365,Data!$A$4:$A$947,0),MATCH(Graphs!CV$4,Data!$P$3:$Z$3,0))="n.q.",NA(),INDEX(Data!$P$4:$Z$947,MATCH(Graphs!$CK365,Data!$A$4:$A$947,0),MATCH(Graphs!CV$4,Data!$P$3:$Z$3,0)))</f>
        <v>#N/A</v>
      </c>
    </row>
    <row r="366" ht="14.25" customHeight="1"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5"/>
      <c r="CK366" s="22">
        <f>Data!A347</f>
        <v>43565</v>
      </c>
      <c r="CL366" s="24">
        <f t="array" ref="CL366">IF(INDEX(Data!$B$4:$L$947,MATCH(Graphs!$CK366,Data!$A$4:$A$947,0),MATCH(Graphs!CL$4,Data!$B$3:$L$3,0))="n.q.",NA(),INDEX(Data!$B$4:$L$947,MATCH(Graphs!$CK366,Data!$A$4:$A$947,0),MATCH(Graphs!CL$4,Data!$B$3:$L$3,0)))</f>
        <v>219.59</v>
      </c>
      <c r="CM366" s="24">
        <f t="array" ref="CM366">IF(INDEX(Data!$B$4:$L$947,MATCH(Graphs!$CK366,Data!$A$4:$A$947,0),MATCH(Graphs!CM$4,Data!$B$3:$L$3,0))="n.q.",NA(),INDEX(Data!$B$4:$L$947,MATCH(Graphs!$CK366,Data!$A$4:$A$947,0),MATCH(Graphs!CM$4,Data!$B$3:$L$3,0)))</f>
        <v>217.25</v>
      </c>
      <c r="CN366" s="24">
        <f t="array" ref="CN366">IF(INDEX(Data!$B$4:$L$947,MATCH(Graphs!$CK366,Data!$A$4:$A$947,0),MATCH(Graphs!CN$4,Data!$B$3:$L$3,0))="n.q.",NA(),INDEX(Data!$B$4:$L$947,MATCH(Graphs!$CK366,Data!$A$4:$A$947,0),MATCH(Graphs!CN$4,Data!$B$3:$L$3,0)))</f>
        <v>214</v>
      </c>
      <c r="CO366" s="24" t="str">
        <f t="array" ref="CO366">IF(INDEX(Data!$B$4:$L$947,MATCH(Graphs!$CK366,Data!$A$4:$A$947,0),MATCH(Graphs!CO$4,Data!$B$3:$L$3,0))="n.q.",NA(),INDEX(Data!$B$4:$L$947,MATCH(Graphs!$CK366,Data!$A$4:$A$947,0),MATCH(Graphs!CO$4,Data!$B$3:$L$3,0)))</f>
        <v>#N/A</v>
      </c>
      <c r="CP366" s="24" t="str">
        <f t="array" ref="CP366">IF(INDEX(Data!$B$4:$L$947,MATCH(Graphs!$CK366,Data!$A$4:$A$947,0),MATCH(Graphs!CP$4,Data!$B$3:$L$3,0))="n.q.",NA(),INDEX(Data!$B$4:$L$947,MATCH(Graphs!$CK366,Data!$A$4:$A$947,0),MATCH(Graphs!CP$4,Data!$B$3:$L$3,0)))</f>
        <v>#N/A</v>
      </c>
      <c r="CQ366" s="5"/>
      <c r="CR366" s="24">
        <f t="array" ref="CR366">IF(INDEX(Data!$P$4:$Z$947,MATCH(Graphs!$CK366,Data!$A$4:$A$947,0),MATCH(Graphs!CR$4,Data!$P$3:$Z$3,0))="n.q.",NA(),INDEX(Data!$P$4:$Z$947,MATCH(Graphs!$CK366,Data!$A$4:$A$947,0),MATCH(Graphs!CR$4,Data!$P$3:$Z$3,0)))</f>
        <v>149.3040163</v>
      </c>
      <c r="CS366" s="24">
        <f t="array" ref="CS366">IF(INDEX(Data!$P$4:$Z$947,MATCH(Graphs!$CK366,Data!$A$4:$A$947,0),MATCH(Graphs!CS$4,Data!$P$3:$Z$3,0))="n.q.",NA(),INDEX(Data!$P$4:$Z$947,MATCH(Graphs!$CK366,Data!$A$4:$A$947,0),MATCH(Graphs!CS$4,Data!$P$3:$Z$3,0)))</f>
        <v>174.37</v>
      </c>
      <c r="CT366" s="24">
        <f t="array" ref="CT366">IF(INDEX(Data!$P$4:$Z$947,MATCH(Graphs!$CK366,Data!$A$4:$A$947,0),MATCH(Graphs!CT$4,Data!$P$3:$Z$3,0))="n.q.",NA(),INDEX(Data!$P$4:$Z$947,MATCH(Graphs!$CK366,Data!$A$4:$A$947,0),MATCH(Graphs!CT$4,Data!$P$3:$Z$3,0)))</f>
        <v>154.2689955</v>
      </c>
      <c r="CU366" s="24" t="str">
        <f t="array" ref="CU366">IF(INDEX(Data!$P$4:$Z$947,MATCH(Graphs!$CK366,Data!$A$4:$A$947,0),MATCH(Graphs!CU$4,Data!$P$3:$Z$3,0))="n.q.",NA(),INDEX(Data!$P$4:$Z$947,MATCH(Graphs!$CK366,Data!$A$4:$A$947,0),MATCH(Graphs!CU$4,Data!$P$3:$Z$3,0)))</f>
        <v>#N/A</v>
      </c>
      <c r="CV366" s="24" t="str">
        <f t="array" ref="CV366">IF(INDEX(Data!$P$4:$Z$947,MATCH(Graphs!$CK366,Data!$A$4:$A$947,0),MATCH(Graphs!CV$4,Data!$P$3:$Z$3,0))="n.q.",NA(),INDEX(Data!$P$4:$Z$947,MATCH(Graphs!$CK366,Data!$A$4:$A$947,0),MATCH(Graphs!CV$4,Data!$P$3:$Z$3,0)))</f>
        <v>#N/A</v>
      </c>
    </row>
    <row r="367" ht="14.25" customHeight="1"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5"/>
      <c r="CK367" s="22">
        <f>Data!A348</f>
        <v>43558</v>
      </c>
      <c r="CL367" s="24">
        <f t="array" ref="CL367">IF(INDEX(Data!$B$4:$L$947,MATCH(Graphs!$CK367,Data!$A$4:$A$947,0),MATCH(Graphs!CL$4,Data!$B$3:$L$3,0))="n.q.",NA(),INDEX(Data!$B$4:$L$947,MATCH(Graphs!$CK367,Data!$A$4:$A$947,0),MATCH(Graphs!CL$4,Data!$B$3:$L$3,0)))</f>
        <v>219.17</v>
      </c>
      <c r="CM367" s="24">
        <f t="array" ref="CM367">IF(INDEX(Data!$B$4:$L$947,MATCH(Graphs!$CK367,Data!$A$4:$A$947,0),MATCH(Graphs!CM$4,Data!$B$3:$L$3,0))="n.q.",NA(),INDEX(Data!$B$4:$L$947,MATCH(Graphs!$CK367,Data!$A$4:$A$947,0),MATCH(Graphs!CM$4,Data!$B$3:$L$3,0)))</f>
        <v>222.94</v>
      </c>
      <c r="CN367" s="24">
        <f t="array" ref="CN367">IF(INDEX(Data!$B$4:$L$947,MATCH(Graphs!$CK367,Data!$A$4:$A$947,0),MATCH(Graphs!CN$4,Data!$B$3:$L$3,0))="n.q.",NA(),INDEX(Data!$B$4:$L$947,MATCH(Graphs!$CK367,Data!$A$4:$A$947,0),MATCH(Graphs!CN$4,Data!$B$3:$L$3,0)))</f>
        <v>215</v>
      </c>
      <c r="CO367" s="24" t="str">
        <f t="array" ref="CO367">IF(INDEX(Data!$B$4:$L$947,MATCH(Graphs!$CK367,Data!$A$4:$A$947,0),MATCH(Graphs!CO$4,Data!$B$3:$L$3,0))="n.q.",NA(),INDEX(Data!$B$4:$L$947,MATCH(Graphs!$CK367,Data!$A$4:$A$947,0),MATCH(Graphs!CO$4,Data!$B$3:$L$3,0)))</f>
        <v>#N/A</v>
      </c>
      <c r="CP367" s="24" t="str">
        <f t="array" ref="CP367">IF(INDEX(Data!$B$4:$L$947,MATCH(Graphs!$CK367,Data!$A$4:$A$947,0),MATCH(Graphs!CP$4,Data!$B$3:$L$3,0))="n.q.",NA(),INDEX(Data!$B$4:$L$947,MATCH(Graphs!$CK367,Data!$A$4:$A$947,0),MATCH(Graphs!CP$4,Data!$B$3:$L$3,0)))</f>
        <v>#N/A</v>
      </c>
      <c r="CQ367" s="5"/>
      <c r="CR367" s="24">
        <f t="array" ref="CR367">IF(INDEX(Data!$P$4:$Z$947,MATCH(Graphs!$CK367,Data!$A$4:$A$947,0),MATCH(Graphs!CR$4,Data!$P$3:$Z$3,0))="n.q.",NA(),INDEX(Data!$P$4:$Z$947,MATCH(Graphs!$CK367,Data!$A$4:$A$947,0),MATCH(Graphs!CR$4,Data!$P$3:$Z$3,0)))</f>
        <v>150.8316286</v>
      </c>
      <c r="CS367" s="24">
        <f t="array" ref="CS367">IF(INDEX(Data!$P$4:$Z$947,MATCH(Graphs!$CK367,Data!$A$4:$A$947,0),MATCH(Graphs!CS$4,Data!$P$3:$Z$3,0))="n.q.",NA(),INDEX(Data!$P$4:$Z$947,MATCH(Graphs!$CK367,Data!$A$4:$A$947,0),MATCH(Graphs!CS$4,Data!$P$3:$Z$3,0)))</f>
        <v>172.37</v>
      </c>
      <c r="CT367" s="24">
        <f t="array" ref="CT367">IF(INDEX(Data!$P$4:$Z$947,MATCH(Graphs!$CK367,Data!$A$4:$A$947,0),MATCH(Graphs!CT$4,Data!$P$3:$Z$3,0))="n.q.",NA(),INDEX(Data!$P$4:$Z$947,MATCH(Graphs!$CK367,Data!$A$4:$A$947,0),MATCH(Graphs!CT$4,Data!$P$3:$Z$3,0)))</f>
        <v>154.7629636</v>
      </c>
      <c r="CU367" s="24" t="str">
        <f t="array" ref="CU367">IF(INDEX(Data!$P$4:$Z$947,MATCH(Graphs!$CK367,Data!$A$4:$A$947,0),MATCH(Graphs!CU$4,Data!$P$3:$Z$3,0))="n.q.",NA(),INDEX(Data!$P$4:$Z$947,MATCH(Graphs!$CK367,Data!$A$4:$A$947,0),MATCH(Graphs!CU$4,Data!$P$3:$Z$3,0)))</f>
        <v>#N/A</v>
      </c>
      <c r="CV367" s="24" t="str">
        <f t="array" ref="CV367">IF(INDEX(Data!$P$4:$Z$947,MATCH(Graphs!$CK367,Data!$A$4:$A$947,0),MATCH(Graphs!CV$4,Data!$P$3:$Z$3,0))="n.q.",NA(),INDEX(Data!$P$4:$Z$947,MATCH(Graphs!$CK367,Data!$A$4:$A$947,0),MATCH(Graphs!CV$4,Data!$P$3:$Z$3,0)))</f>
        <v>#N/A</v>
      </c>
    </row>
    <row r="368" ht="14.25" customHeight="1"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5"/>
      <c r="CK368" s="22">
        <f>Data!A349</f>
        <v>43551</v>
      </c>
      <c r="CL368" s="24">
        <f t="array" ref="CL368">IF(INDEX(Data!$B$4:$L$947,MATCH(Graphs!$CK368,Data!$A$4:$A$947,0),MATCH(Graphs!CL$4,Data!$B$3:$L$3,0))="n.q.",NA(),INDEX(Data!$B$4:$L$947,MATCH(Graphs!$CK368,Data!$A$4:$A$947,0),MATCH(Graphs!CL$4,Data!$B$3:$L$3,0)))</f>
        <v>217.44</v>
      </c>
      <c r="CM368" s="24">
        <f t="array" ref="CM368">IF(INDEX(Data!$B$4:$L$947,MATCH(Graphs!$CK368,Data!$A$4:$A$947,0),MATCH(Graphs!CM$4,Data!$B$3:$L$3,0))="n.q.",NA(),INDEX(Data!$B$4:$L$947,MATCH(Graphs!$CK368,Data!$A$4:$A$947,0),MATCH(Graphs!CM$4,Data!$B$3:$L$3,0)))</f>
        <v>223.95</v>
      </c>
      <c r="CN368" s="24">
        <f t="array" ref="CN368">IF(INDEX(Data!$B$4:$L$947,MATCH(Graphs!$CK368,Data!$A$4:$A$947,0),MATCH(Graphs!CN$4,Data!$B$3:$L$3,0))="n.q.",NA(),INDEX(Data!$B$4:$L$947,MATCH(Graphs!$CK368,Data!$A$4:$A$947,0),MATCH(Graphs!CN$4,Data!$B$3:$L$3,0)))</f>
        <v>215</v>
      </c>
      <c r="CO368" s="24" t="str">
        <f t="array" ref="CO368">IF(INDEX(Data!$B$4:$L$947,MATCH(Graphs!$CK368,Data!$A$4:$A$947,0),MATCH(Graphs!CO$4,Data!$B$3:$L$3,0))="n.q.",NA(),INDEX(Data!$B$4:$L$947,MATCH(Graphs!$CK368,Data!$A$4:$A$947,0),MATCH(Graphs!CO$4,Data!$B$3:$L$3,0)))</f>
        <v>#N/A</v>
      </c>
      <c r="CP368" s="24" t="str">
        <f t="array" ref="CP368">IF(INDEX(Data!$B$4:$L$947,MATCH(Graphs!$CK368,Data!$A$4:$A$947,0),MATCH(Graphs!CP$4,Data!$B$3:$L$3,0))="n.q.",NA(),INDEX(Data!$B$4:$L$947,MATCH(Graphs!$CK368,Data!$A$4:$A$947,0),MATCH(Graphs!CP$4,Data!$B$3:$L$3,0)))</f>
        <v>#N/A</v>
      </c>
      <c r="CQ368" s="5"/>
      <c r="CR368" s="24">
        <f t="array" ref="CR368">IF(INDEX(Data!$P$4:$Z$947,MATCH(Graphs!$CK368,Data!$A$4:$A$947,0),MATCH(Graphs!CR$4,Data!$P$3:$Z$3,0))="n.q.",NA(),INDEX(Data!$P$4:$Z$947,MATCH(Graphs!$CK368,Data!$A$4:$A$947,0),MATCH(Graphs!CR$4,Data!$P$3:$Z$3,0)))</f>
        <v>155.8298553</v>
      </c>
      <c r="CS368" s="24">
        <f t="array" ref="CS368">IF(INDEX(Data!$P$4:$Z$947,MATCH(Graphs!$CK368,Data!$A$4:$A$947,0),MATCH(Graphs!CS$4,Data!$P$3:$Z$3,0))="n.q.",NA(),INDEX(Data!$P$4:$Z$947,MATCH(Graphs!$CK368,Data!$A$4:$A$947,0),MATCH(Graphs!CS$4,Data!$P$3:$Z$3,0)))</f>
        <v>171.44</v>
      </c>
      <c r="CT368" s="24">
        <f t="array" ref="CT368">IF(INDEX(Data!$P$4:$Z$947,MATCH(Graphs!$CK368,Data!$A$4:$A$947,0),MATCH(Graphs!CT$4,Data!$P$3:$Z$3,0))="n.q.",NA(),INDEX(Data!$P$4:$Z$947,MATCH(Graphs!$CK368,Data!$A$4:$A$947,0),MATCH(Graphs!CT$4,Data!$P$3:$Z$3,0)))</f>
        <v>153.6275642</v>
      </c>
      <c r="CU368" s="24" t="str">
        <f t="array" ref="CU368">IF(INDEX(Data!$P$4:$Z$947,MATCH(Graphs!$CK368,Data!$A$4:$A$947,0),MATCH(Graphs!CU$4,Data!$P$3:$Z$3,0))="n.q.",NA(),INDEX(Data!$P$4:$Z$947,MATCH(Graphs!$CK368,Data!$A$4:$A$947,0),MATCH(Graphs!CU$4,Data!$P$3:$Z$3,0)))</f>
        <v>#N/A</v>
      </c>
      <c r="CV368" s="24" t="str">
        <f t="array" ref="CV368">IF(INDEX(Data!$P$4:$Z$947,MATCH(Graphs!$CK368,Data!$A$4:$A$947,0),MATCH(Graphs!CV$4,Data!$P$3:$Z$3,0))="n.q.",NA(),INDEX(Data!$P$4:$Z$947,MATCH(Graphs!$CK368,Data!$A$4:$A$947,0),MATCH(Graphs!CV$4,Data!$P$3:$Z$3,0)))</f>
        <v>#N/A</v>
      </c>
    </row>
    <row r="369" ht="14.25" customHeight="1"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5"/>
      <c r="CK369" s="22">
        <f>Data!A350</f>
        <v>43544</v>
      </c>
      <c r="CL369" s="24">
        <f t="array" ref="CL369">IF(INDEX(Data!$B$4:$L$947,MATCH(Graphs!$CK369,Data!$A$4:$A$947,0),MATCH(Graphs!CL$4,Data!$B$3:$L$3,0))="n.q.",NA(),INDEX(Data!$B$4:$L$947,MATCH(Graphs!$CK369,Data!$A$4:$A$947,0),MATCH(Graphs!CL$4,Data!$B$3:$L$3,0)))</f>
        <v>221.64</v>
      </c>
      <c r="CM369" s="24">
        <f t="array" ref="CM369">IF(INDEX(Data!$B$4:$L$947,MATCH(Graphs!$CK369,Data!$A$4:$A$947,0),MATCH(Graphs!CM$4,Data!$B$3:$L$3,0))="n.q.",NA(),INDEX(Data!$B$4:$L$947,MATCH(Graphs!$CK369,Data!$A$4:$A$947,0),MATCH(Graphs!CM$4,Data!$B$3:$L$3,0)))</f>
        <v>223.77</v>
      </c>
      <c r="CN369" s="24">
        <f t="array" ref="CN369">IF(INDEX(Data!$B$4:$L$947,MATCH(Graphs!$CK369,Data!$A$4:$A$947,0),MATCH(Graphs!CN$4,Data!$B$3:$L$3,0))="n.q.",NA(),INDEX(Data!$B$4:$L$947,MATCH(Graphs!$CK369,Data!$A$4:$A$947,0),MATCH(Graphs!CN$4,Data!$B$3:$L$3,0)))</f>
        <v>213</v>
      </c>
      <c r="CO369" s="24" t="str">
        <f t="array" ref="CO369">IF(INDEX(Data!$B$4:$L$947,MATCH(Graphs!$CK369,Data!$A$4:$A$947,0),MATCH(Graphs!CO$4,Data!$B$3:$L$3,0))="n.q.",NA(),INDEX(Data!$B$4:$L$947,MATCH(Graphs!$CK369,Data!$A$4:$A$947,0),MATCH(Graphs!CO$4,Data!$B$3:$L$3,0)))</f>
        <v>#N/A</v>
      </c>
      <c r="CP369" s="24" t="str">
        <f t="array" ref="CP369">IF(INDEX(Data!$B$4:$L$947,MATCH(Graphs!$CK369,Data!$A$4:$A$947,0),MATCH(Graphs!CP$4,Data!$B$3:$L$3,0))="n.q.",NA(),INDEX(Data!$B$4:$L$947,MATCH(Graphs!$CK369,Data!$A$4:$A$947,0),MATCH(Graphs!CP$4,Data!$B$3:$L$3,0)))</f>
        <v>#N/A</v>
      </c>
      <c r="CQ369" s="5"/>
      <c r="CR369" s="24">
        <f t="array" ref="CR369">IF(INDEX(Data!$P$4:$Z$947,MATCH(Graphs!$CK369,Data!$A$4:$A$947,0),MATCH(Graphs!CR$4,Data!$P$3:$Z$3,0))="n.q.",NA(),INDEX(Data!$P$4:$Z$947,MATCH(Graphs!$CK369,Data!$A$4:$A$947,0),MATCH(Graphs!CR$4,Data!$P$3:$Z$3,0)))</f>
        <v>151.6998415</v>
      </c>
      <c r="CS369" s="24">
        <f t="array" ref="CS369">IF(INDEX(Data!$P$4:$Z$947,MATCH(Graphs!$CK369,Data!$A$4:$A$947,0),MATCH(Graphs!CS$4,Data!$P$3:$Z$3,0))="n.q.",NA(),INDEX(Data!$P$4:$Z$947,MATCH(Graphs!$CK369,Data!$A$4:$A$947,0),MATCH(Graphs!CS$4,Data!$P$3:$Z$3,0)))</f>
        <v>170.44</v>
      </c>
      <c r="CT369" s="24">
        <f t="array" ref="CT369">IF(INDEX(Data!$P$4:$Z$947,MATCH(Graphs!$CK369,Data!$A$4:$A$947,0),MATCH(Graphs!CT$4,Data!$P$3:$Z$3,0))="n.q.",NA(),INDEX(Data!$P$4:$Z$947,MATCH(Graphs!$CK369,Data!$A$4:$A$947,0),MATCH(Graphs!CT$4,Data!$P$3:$Z$3,0)))</f>
        <v>150.6077153</v>
      </c>
      <c r="CU369" s="24" t="str">
        <f t="array" ref="CU369">IF(INDEX(Data!$P$4:$Z$947,MATCH(Graphs!$CK369,Data!$A$4:$A$947,0),MATCH(Graphs!CU$4,Data!$P$3:$Z$3,0))="n.q.",NA(),INDEX(Data!$P$4:$Z$947,MATCH(Graphs!$CK369,Data!$A$4:$A$947,0),MATCH(Graphs!CU$4,Data!$P$3:$Z$3,0)))</f>
        <v>#N/A</v>
      </c>
      <c r="CV369" s="24" t="str">
        <f t="array" ref="CV369">IF(INDEX(Data!$P$4:$Z$947,MATCH(Graphs!$CK369,Data!$A$4:$A$947,0),MATCH(Graphs!CV$4,Data!$P$3:$Z$3,0))="n.q.",NA(),INDEX(Data!$P$4:$Z$947,MATCH(Graphs!$CK369,Data!$A$4:$A$947,0),MATCH(Graphs!CV$4,Data!$P$3:$Z$3,0)))</f>
        <v>#N/A</v>
      </c>
    </row>
    <row r="370" ht="14.25" customHeight="1"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5"/>
      <c r="CK370" s="22">
        <f>Data!A351</f>
        <v>43537</v>
      </c>
      <c r="CL370" s="24">
        <f t="array" ref="CL370">IF(INDEX(Data!$B$4:$L$947,MATCH(Graphs!$CK370,Data!$A$4:$A$947,0),MATCH(Graphs!CL$4,Data!$B$3:$L$3,0))="n.q.",NA(),INDEX(Data!$B$4:$L$947,MATCH(Graphs!$CK370,Data!$A$4:$A$947,0),MATCH(Graphs!CL$4,Data!$B$3:$L$3,0)))</f>
        <v>216.85</v>
      </c>
      <c r="CM370" s="24">
        <f t="array" ref="CM370">IF(INDEX(Data!$B$4:$L$947,MATCH(Graphs!$CK370,Data!$A$4:$A$947,0),MATCH(Graphs!CM$4,Data!$B$3:$L$3,0))="n.q.",NA(),INDEX(Data!$B$4:$L$947,MATCH(Graphs!$CK370,Data!$A$4:$A$947,0),MATCH(Graphs!CM$4,Data!$B$3:$L$3,0)))</f>
        <v>221.11</v>
      </c>
      <c r="CN370" s="24">
        <f t="array" ref="CN370">IF(INDEX(Data!$B$4:$L$947,MATCH(Graphs!$CK370,Data!$A$4:$A$947,0),MATCH(Graphs!CN$4,Data!$B$3:$L$3,0))="n.q.",NA(),INDEX(Data!$B$4:$L$947,MATCH(Graphs!$CK370,Data!$A$4:$A$947,0),MATCH(Graphs!CN$4,Data!$B$3:$L$3,0)))</f>
        <v>212</v>
      </c>
      <c r="CO370" s="24" t="str">
        <f t="array" ref="CO370">IF(INDEX(Data!$B$4:$L$947,MATCH(Graphs!$CK370,Data!$A$4:$A$947,0),MATCH(Graphs!CO$4,Data!$B$3:$L$3,0))="n.q.",NA(),INDEX(Data!$B$4:$L$947,MATCH(Graphs!$CK370,Data!$A$4:$A$947,0),MATCH(Graphs!CO$4,Data!$B$3:$L$3,0)))</f>
        <v>#N/A</v>
      </c>
      <c r="CP370" s="24" t="str">
        <f t="array" ref="CP370">IF(INDEX(Data!$B$4:$L$947,MATCH(Graphs!$CK370,Data!$A$4:$A$947,0),MATCH(Graphs!CP$4,Data!$B$3:$L$3,0))="n.q.",NA(),INDEX(Data!$B$4:$L$947,MATCH(Graphs!$CK370,Data!$A$4:$A$947,0),MATCH(Graphs!CP$4,Data!$B$3:$L$3,0)))</f>
        <v>#N/A</v>
      </c>
      <c r="CQ370" s="5"/>
      <c r="CR370" s="24">
        <f t="array" ref="CR370">IF(INDEX(Data!$P$4:$Z$947,MATCH(Graphs!$CK370,Data!$A$4:$A$947,0),MATCH(Graphs!CR$4,Data!$P$3:$Z$3,0))="n.q.",NA(),INDEX(Data!$P$4:$Z$947,MATCH(Graphs!$CK370,Data!$A$4:$A$947,0),MATCH(Graphs!CR$4,Data!$P$3:$Z$3,0)))</f>
        <v>150.2875343</v>
      </c>
      <c r="CS370" s="24">
        <f t="array" ref="CS370">IF(INDEX(Data!$P$4:$Z$947,MATCH(Graphs!$CK370,Data!$A$4:$A$947,0),MATCH(Graphs!CS$4,Data!$P$3:$Z$3,0))="n.q.",NA(),INDEX(Data!$P$4:$Z$947,MATCH(Graphs!$CK370,Data!$A$4:$A$947,0),MATCH(Graphs!CS$4,Data!$P$3:$Z$3,0)))</f>
        <v>172.44</v>
      </c>
      <c r="CT370" s="24">
        <f t="array" ref="CT370">IF(INDEX(Data!$P$4:$Z$947,MATCH(Graphs!$CK370,Data!$A$4:$A$947,0),MATCH(Graphs!CT$4,Data!$P$3:$Z$3,0))="n.q.",NA(),INDEX(Data!$P$4:$Z$947,MATCH(Graphs!$CK370,Data!$A$4:$A$947,0),MATCH(Graphs!CT$4,Data!$P$3:$Z$3,0)))</f>
        <v>150.402548</v>
      </c>
      <c r="CU370" s="24" t="str">
        <f t="array" ref="CU370">IF(INDEX(Data!$P$4:$Z$947,MATCH(Graphs!$CK370,Data!$A$4:$A$947,0),MATCH(Graphs!CU$4,Data!$P$3:$Z$3,0))="n.q.",NA(),INDEX(Data!$P$4:$Z$947,MATCH(Graphs!$CK370,Data!$A$4:$A$947,0),MATCH(Graphs!CU$4,Data!$P$3:$Z$3,0)))</f>
        <v>#N/A</v>
      </c>
      <c r="CV370" s="24" t="str">
        <f t="array" ref="CV370">IF(INDEX(Data!$P$4:$Z$947,MATCH(Graphs!$CK370,Data!$A$4:$A$947,0),MATCH(Graphs!CV$4,Data!$P$3:$Z$3,0))="n.q.",NA(),INDEX(Data!$P$4:$Z$947,MATCH(Graphs!$CK370,Data!$A$4:$A$947,0),MATCH(Graphs!CV$4,Data!$P$3:$Z$3,0)))</f>
        <v>#N/A</v>
      </c>
    </row>
    <row r="371" ht="14.25" customHeight="1"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5"/>
      <c r="CK371" s="22">
        <f>Data!A352</f>
        <v>43530</v>
      </c>
      <c r="CL371" s="24">
        <f t="array" ref="CL371">IF(INDEX(Data!$B$4:$L$947,MATCH(Graphs!$CK371,Data!$A$4:$A$947,0),MATCH(Graphs!CL$4,Data!$B$3:$L$3,0))="n.q.",NA(),INDEX(Data!$B$4:$L$947,MATCH(Graphs!$CK371,Data!$A$4:$A$947,0),MATCH(Graphs!CL$4,Data!$B$3:$L$3,0)))</f>
        <v>218.13</v>
      </c>
      <c r="CM371" s="24">
        <f t="array" ref="CM371">IF(INDEX(Data!$B$4:$L$947,MATCH(Graphs!$CK371,Data!$A$4:$A$947,0),MATCH(Graphs!CM$4,Data!$B$3:$L$3,0))="n.q.",NA(),INDEX(Data!$B$4:$L$947,MATCH(Graphs!$CK371,Data!$A$4:$A$947,0),MATCH(Graphs!CM$4,Data!$B$3:$L$3,0)))</f>
        <v>220.92</v>
      </c>
      <c r="CN371" s="24">
        <f t="array" ref="CN371">IF(INDEX(Data!$B$4:$L$947,MATCH(Graphs!$CK371,Data!$A$4:$A$947,0),MATCH(Graphs!CN$4,Data!$B$3:$L$3,0))="n.q.",NA(),INDEX(Data!$B$4:$L$947,MATCH(Graphs!$CK371,Data!$A$4:$A$947,0),MATCH(Graphs!CN$4,Data!$B$3:$L$3,0)))</f>
        <v>218</v>
      </c>
      <c r="CO371" s="24" t="str">
        <f t="array" ref="CO371">IF(INDEX(Data!$B$4:$L$947,MATCH(Graphs!$CK371,Data!$A$4:$A$947,0),MATCH(Graphs!CO$4,Data!$B$3:$L$3,0))="n.q.",NA(),INDEX(Data!$B$4:$L$947,MATCH(Graphs!$CK371,Data!$A$4:$A$947,0),MATCH(Graphs!CO$4,Data!$B$3:$L$3,0)))</f>
        <v>#N/A</v>
      </c>
      <c r="CP371" s="24" t="str">
        <f t="array" ref="CP371">IF(INDEX(Data!$B$4:$L$947,MATCH(Graphs!$CK371,Data!$A$4:$A$947,0),MATCH(Graphs!CP$4,Data!$B$3:$L$3,0))="n.q.",NA(),INDEX(Data!$B$4:$L$947,MATCH(Graphs!$CK371,Data!$A$4:$A$947,0),MATCH(Graphs!CP$4,Data!$B$3:$L$3,0)))</f>
        <v>#N/A</v>
      </c>
      <c r="CQ371" s="5"/>
      <c r="CR371" s="24">
        <f t="array" ref="CR371">IF(INDEX(Data!$P$4:$Z$947,MATCH(Graphs!$CK371,Data!$A$4:$A$947,0),MATCH(Graphs!CR$4,Data!$P$3:$Z$3,0))="n.q.",NA(),INDEX(Data!$P$4:$Z$947,MATCH(Graphs!$CK371,Data!$A$4:$A$947,0),MATCH(Graphs!CR$4,Data!$P$3:$Z$3,0)))</f>
        <v>152.357364</v>
      </c>
      <c r="CS371" s="24">
        <f t="array" ref="CS371">IF(INDEX(Data!$P$4:$Z$947,MATCH(Graphs!$CK371,Data!$A$4:$A$947,0),MATCH(Graphs!CS$4,Data!$P$3:$Z$3,0))="n.q.",NA(),INDEX(Data!$P$4:$Z$947,MATCH(Graphs!$CK371,Data!$A$4:$A$947,0),MATCH(Graphs!CS$4,Data!$P$3:$Z$3,0)))</f>
        <v>172.94</v>
      </c>
      <c r="CT371" s="24">
        <f t="array" ref="CT371">IF(INDEX(Data!$P$4:$Z$947,MATCH(Graphs!$CK371,Data!$A$4:$A$947,0),MATCH(Graphs!CT$4,Data!$P$3:$Z$3,0))="n.q.",NA(),INDEX(Data!$P$4:$Z$947,MATCH(Graphs!$CK371,Data!$A$4:$A$947,0),MATCH(Graphs!CT$4,Data!$P$3:$Z$3,0)))</f>
        <v>152.1450686</v>
      </c>
      <c r="CU371" s="24" t="str">
        <f t="array" ref="CU371">IF(INDEX(Data!$P$4:$Z$947,MATCH(Graphs!$CK371,Data!$A$4:$A$947,0),MATCH(Graphs!CU$4,Data!$P$3:$Z$3,0))="n.q.",NA(),INDEX(Data!$P$4:$Z$947,MATCH(Graphs!$CK371,Data!$A$4:$A$947,0),MATCH(Graphs!CU$4,Data!$P$3:$Z$3,0)))</f>
        <v>#N/A</v>
      </c>
      <c r="CV371" s="24" t="str">
        <f t="array" ref="CV371">IF(INDEX(Data!$P$4:$Z$947,MATCH(Graphs!$CK371,Data!$A$4:$A$947,0),MATCH(Graphs!CV$4,Data!$P$3:$Z$3,0))="n.q.",NA(),INDEX(Data!$P$4:$Z$947,MATCH(Graphs!$CK371,Data!$A$4:$A$947,0),MATCH(Graphs!CV$4,Data!$P$3:$Z$3,0)))</f>
        <v>#N/A</v>
      </c>
    </row>
    <row r="372" ht="14.25" customHeight="1"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5"/>
      <c r="CK372" s="22">
        <f>Data!A353</f>
        <v>43523</v>
      </c>
      <c r="CL372" s="24">
        <f t="array" ref="CL372">IF(INDEX(Data!$B$4:$L$947,MATCH(Graphs!$CK372,Data!$A$4:$A$947,0),MATCH(Graphs!CL$4,Data!$B$3:$L$3,0))="n.q.",NA(),INDEX(Data!$B$4:$L$947,MATCH(Graphs!$CK372,Data!$A$4:$A$947,0),MATCH(Graphs!CL$4,Data!$B$3:$L$3,0)))</f>
        <v>222.32</v>
      </c>
      <c r="CM372" s="24">
        <f t="array" ref="CM372">IF(INDEX(Data!$B$4:$L$947,MATCH(Graphs!$CK372,Data!$A$4:$A$947,0),MATCH(Graphs!CM$4,Data!$B$3:$L$3,0))="n.q.",NA(),INDEX(Data!$B$4:$L$947,MATCH(Graphs!$CK372,Data!$A$4:$A$947,0),MATCH(Graphs!CM$4,Data!$B$3:$L$3,0)))</f>
        <v>221.84</v>
      </c>
      <c r="CN372" s="24">
        <f t="array" ref="CN372">IF(INDEX(Data!$B$4:$L$947,MATCH(Graphs!$CK372,Data!$A$4:$A$947,0),MATCH(Graphs!CN$4,Data!$B$3:$L$3,0))="n.q.",NA(),INDEX(Data!$B$4:$L$947,MATCH(Graphs!$CK372,Data!$A$4:$A$947,0),MATCH(Graphs!CN$4,Data!$B$3:$L$3,0)))</f>
        <v>221</v>
      </c>
      <c r="CO372" s="24" t="str">
        <f t="array" ref="CO372">IF(INDEX(Data!$B$4:$L$947,MATCH(Graphs!$CK372,Data!$A$4:$A$947,0),MATCH(Graphs!CO$4,Data!$B$3:$L$3,0))="n.q.",NA(),INDEX(Data!$B$4:$L$947,MATCH(Graphs!$CK372,Data!$A$4:$A$947,0),MATCH(Graphs!CO$4,Data!$B$3:$L$3,0)))</f>
        <v>#N/A</v>
      </c>
      <c r="CP372" s="24" t="str">
        <f t="array" ref="CP372">IF(INDEX(Data!$B$4:$L$947,MATCH(Graphs!$CK372,Data!$A$4:$A$947,0),MATCH(Graphs!CP$4,Data!$B$3:$L$3,0))="n.q.",NA(),INDEX(Data!$B$4:$L$947,MATCH(Graphs!$CK372,Data!$A$4:$A$947,0),MATCH(Graphs!CP$4,Data!$B$3:$L$3,0)))</f>
        <v>#N/A</v>
      </c>
      <c r="CQ372" s="5"/>
      <c r="CR372" s="24">
        <f t="array" ref="CR372">IF(INDEX(Data!$P$4:$Z$947,MATCH(Graphs!$CK372,Data!$A$4:$A$947,0),MATCH(Graphs!CR$4,Data!$P$3:$Z$3,0))="n.q.",NA(),INDEX(Data!$P$4:$Z$947,MATCH(Graphs!$CK372,Data!$A$4:$A$947,0),MATCH(Graphs!CR$4,Data!$P$3:$Z$3,0)))</f>
        <v>154.1190936</v>
      </c>
      <c r="CS372" s="24">
        <f t="array" ref="CS372">IF(INDEX(Data!$P$4:$Z$947,MATCH(Graphs!$CK372,Data!$A$4:$A$947,0),MATCH(Graphs!CS$4,Data!$P$3:$Z$3,0))="n.q.",NA(),INDEX(Data!$P$4:$Z$947,MATCH(Graphs!$CK372,Data!$A$4:$A$947,0),MATCH(Graphs!CS$4,Data!$P$3:$Z$3,0)))</f>
        <v>174.01</v>
      </c>
      <c r="CT372" s="24">
        <f t="array" ref="CT372">IF(INDEX(Data!$P$4:$Z$947,MATCH(Graphs!$CK372,Data!$A$4:$A$947,0),MATCH(Graphs!CT$4,Data!$P$3:$Z$3,0))="n.q.",NA(),INDEX(Data!$P$4:$Z$947,MATCH(Graphs!$CK372,Data!$A$4:$A$947,0),MATCH(Graphs!CT$4,Data!$P$3:$Z$3,0)))</f>
        <v>152.8192517</v>
      </c>
      <c r="CU372" s="24" t="str">
        <f t="array" ref="CU372">IF(INDEX(Data!$P$4:$Z$947,MATCH(Graphs!$CK372,Data!$A$4:$A$947,0),MATCH(Graphs!CU$4,Data!$P$3:$Z$3,0))="n.q.",NA(),INDEX(Data!$P$4:$Z$947,MATCH(Graphs!$CK372,Data!$A$4:$A$947,0),MATCH(Graphs!CU$4,Data!$P$3:$Z$3,0)))</f>
        <v>#N/A</v>
      </c>
      <c r="CV372" s="24" t="str">
        <f t="array" ref="CV372">IF(INDEX(Data!$P$4:$Z$947,MATCH(Graphs!$CK372,Data!$A$4:$A$947,0),MATCH(Graphs!CV$4,Data!$P$3:$Z$3,0))="n.q.",NA(),INDEX(Data!$P$4:$Z$947,MATCH(Graphs!$CK372,Data!$A$4:$A$947,0),MATCH(Graphs!CV$4,Data!$P$3:$Z$3,0)))</f>
        <v>#N/A</v>
      </c>
    </row>
    <row r="373" ht="14.25" customHeight="1"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5"/>
      <c r="CK373" s="22">
        <f>Data!A354</f>
        <v>43516</v>
      </c>
      <c r="CL373" s="24">
        <f t="array" ref="CL373">IF(INDEX(Data!$B$4:$L$947,MATCH(Graphs!$CK373,Data!$A$4:$A$947,0),MATCH(Graphs!CL$4,Data!$B$3:$L$3,0))="n.q.",NA(),INDEX(Data!$B$4:$L$947,MATCH(Graphs!$CK373,Data!$A$4:$A$947,0),MATCH(Graphs!CL$4,Data!$B$3:$L$3,0)))</f>
        <v>223.94</v>
      </c>
      <c r="CM373" s="24">
        <f t="array" ref="CM373">IF(INDEX(Data!$B$4:$L$947,MATCH(Graphs!$CK373,Data!$A$4:$A$947,0),MATCH(Graphs!CM$4,Data!$B$3:$L$3,0))="n.q.",NA(),INDEX(Data!$B$4:$L$947,MATCH(Graphs!$CK373,Data!$A$4:$A$947,0),MATCH(Graphs!CM$4,Data!$B$3:$L$3,0)))</f>
        <v>225.97</v>
      </c>
      <c r="CN373" s="24">
        <f t="array" ref="CN373">IF(INDEX(Data!$B$4:$L$947,MATCH(Graphs!$CK373,Data!$A$4:$A$947,0),MATCH(Graphs!CN$4,Data!$B$3:$L$3,0))="n.q.",NA(),INDEX(Data!$B$4:$L$947,MATCH(Graphs!$CK373,Data!$A$4:$A$947,0),MATCH(Graphs!CN$4,Data!$B$3:$L$3,0)))</f>
        <v>226</v>
      </c>
      <c r="CO373" s="24" t="str">
        <f t="array" ref="CO373">IF(INDEX(Data!$B$4:$L$947,MATCH(Graphs!$CK373,Data!$A$4:$A$947,0),MATCH(Graphs!CO$4,Data!$B$3:$L$3,0))="n.q.",NA(),INDEX(Data!$B$4:$L$947,MATCH(Graphs!$CK373,Data!$A$4:$A$947,0),MATCH(Graphs!CO$4,Data!$B$3:$L$3,0)))</f>
        <v>#N/A</v>
      </c>
      <c r="CP373" s="24" t="str">
        <f t="array" ref="CP373">IF(INDEX(Data!$B$4:$L$947,MATCH(Graphs!$CK373,Data!$A$4:$A$947,0),MATCH(Graphs!CP$4,Data!$B$3:$L$3,0))="n.q.",NA(),INDEX(Data!$B$4:$L$947,MATCH(Graphs!$CK373,Data!$A$4:$A$947,0),MATCH(Graphs!CP$4,Data!$B$3:$L$3,0)))</f>
        <v>#N/A</v>
      </c>
      <c r="CQ373" s="5"/>
      <c r="CR373" s="24">
        <f t="array" ref="CR373">IF(INDEX(Data!$P$4:$Z$947,MATCH(Graphs!$CK373,Data!$A$4:$A$947,0),MATCH(Graphs!CR$4,Data!$P$3:$Z$3,0))="n.q.",NA(),INDEX(Data!$P$4:$Z$947,MATCH(Graphs!$CK373,Data!$A$4:$A$947,0),MATCH(Graphs!CR$4,Data!$P$3:$Z$3,0)))</f>
        <v>154.0292717</v>
      </c>
      <c r="CS373" s="24">
        <f t="array" ref="CS373">IF(INDEX(Data!$P$4:$Z$947,MATCH(Graphs!$CK373,Data!$A$4:$A$947,0),MATCH(Graphs!CS$4,Data!$P$3:$Z$3,0))="n.q.",NA(),INDEX(Data!$P$4:$Z$947,MATCH(Graphs!$CK373,Data!$A$4:$A$947,0),MATCH(Graphs!CS$4,Data!$P$3:$Z$3,0)))</f>
        <v>178.01</v>
      </c>
      <c r="CT373" s="24">
        <f t="array" ref="CT373">IF(INDEX(Data!$P$4:$Z$947,MATCH(Graphs!$CK373,Data!$A$4:$A$947,0),MATCH(Graphs!CT$4,Data!$P$3:$Z$3,0))="n.q.",NA(),INDEX(Data!$P$4:$Z$947,MATCH(Graphs!$CK373,Data!$A$4:$A$947,0),MATCH(Graphs!CT$4,Data!$P$3:$Z$3,0)))</f>
        <v>155.1754541</v>
      </c>
      <c r="CU373" s="24" t="str">
        <f t="array" ref="CU373">IF(INDEX(Data!$P$4:$Z$947,MATCH(Graphs!$CK373,Data!$A$4:$A$947,0),MATCH(Graphs!CU$4,Data!$P$3:$Z$3,0))="n.q.",NA(),INDEX(Data!$P$4:$Z$947,MATCH(Graphs!$CK373,Data!$A$4:$A$947,0),MATCH(Graphs!CU$4,Data!$P$3:$Z$3,0)))</f>
        <v>#N/A</v>
      </c>
      <c r="CV373" s="24" t="str">
        <f t="array" ref="CV373">IF(INDEX(Data!$P$4:$Z$947,MATCH(Graphs!$CK373,Data!$A$4:$A$947,0),MATCH(Graphs!CV$4,Data!$P$3:$Z$3,0))="n.q.",NA(),INDEX(Data!$P$4:$Z$947,MATCH(Graphs!$CK373,Data!$A$4:$A$947,0),MATCH(Graphs!CV$4,Data!$P$3:$Z$3,0)))</f>
        <v>#N/A</v>
      </c>
    </row>
    <row r="374" ht="14.25" customHeight="1"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5"/>
      <c r="CK374" s="22">
        <f>Data!A355</f>
        <v>43509</v>
      </c>
      <c r="CL374" s="24">
        <f t="array" ref="CL374">IF(INDEX(Data!$B$4:$L$947,MATCH(Graphs!$CK374,Data!$A$4:$A$947,0),MATCH(Graphs!CL$4,Data!$B$3:$L$3,0))="n.q.",NA(),INDEX(Data!$B$4:$L$947,MATCH(Graphs!$CK374,Data!$A$4:$A$947,0),MATCH(Graphs!CL$4,Data!$B$3:$L$3,0)))</f>
        <v>233.45</v>
      </c>
      <c r="CM374" s="24">
        <f t="array" ref="CM374">IF(INDEX(Data!$B$4:$L$947,MATCH(Graphs!$CK374,Data!$A$4:$A$947,0),MATCH(Graphs!CM$4,Data!$B$3:$L$3,0))="n.q.",NA(),INDEX(Data!$B$4:$L$947,MATCH(Graphs!$CK374,Data!$A$4:$A$947,0),MATCH(Graphs!CM$4,Data!$B$3:$L$3,0)))</f>
        <v>240.3</v>
      </c>
      <c r="CN374" s="24">
        <f t="array" ref="CN374">IF(INDEX(Data!$B$4:$L$947,MATCH(Graphs!$CK374,Data!$A$4:$A$947,0),MATCH(Graphs!CN$4,Data!$B$3:$L$3,0))="n.q.",NA(),INDEX(Data!$B$4:$L$947,MATCH(Graphs!$CK374,Data!$A$4:$A$947,0),MATCH(Graphs!CN$4,Data!$B$3:$L$3,0)))</f>
        <v>228</v>
      </c>
      <c r="CO374" s="24" t="str">
        <f t="array" ref="CO374">IF(INDEX(Data!$B$4:$L$947,MATCH(Graphs!$CK374,Data!$A$4:$A$947,0),MATCH(Graphs!CO$4,Data!$B$3:$L$3,0))="n.q.",NA(),INDEX(Data!$B$4:$L$947,MATCH(Graphs!$CK374,Data!$A$4:$A$947,0),MATCH(Graphs!CO$4,Data!$B$3:$L$3,0)))</f>
        <v>#N/A</v>
      </c>
      <c r="CP374" s="24" t="str">
        <f t="array" ref="CP374">IF(INDEX(Data!$B$4:$L$947,MATCH(Graphs!$CK374,Data!$A$4:$A$947,0),MATCH(Graphs!CP$4,Data!$B$3:$L$3,0))="n.q.",NA(),INDEX(Data!$B$4:$L$947,MATCH(Graphs!$CK374,Data!$A$4:$A$947,0),MATCH(Graphs!CP$4,Data!$B$3:$L$3,0)))</f>
        <v>#N/A</v>
      </c>
      <c r="CQ374" s="5"/>
      <c r="CR374" s="24">
        <f t="array" ref="CR374">IF(INDEX(Data!$P$4:$Z$947,MATCH(Graphs!$CK374,Data!$A$4:$A$947,0),MATCH(Graphs!CR$4,Data!$P$3:$Z$3,0))="n.q.",NA(),INDEX(Data!$P$4:$Z$947,MATCH(Graphs!$CK374,Data!$A$4:$A$947,0),MATCH(Graphs!CR$4,Data!$P$3:$Z$3,0)))</f>
        <v>156.9659443</v>
      </c>
      <c r="CS374" s="24">
        <f t="array" ref="CS374">IF(INDEX(Data!$P$4:$Z$947,MATCH(Graphs!$CK374,Data!$A$4:$A$947,0),MATCH(Graphs!CS$4,Data!$P$3:$Z$3,0))="n.q.",NA(),INDEX(Data!$P$4:$Z$947,MATCH(Graphs!$CK374,Data!$A$4:$A$947,0),MATCH(Graphs!CS$4,Data!$P$3:$Z$3,0)))</f>
        <v>181.51</v>
      </c>
      <c r="CT374" s="24">
        <f t="array" ref="CT374">IF(INDEX(Data!$P$4:$Z$947,MATCH(Graphs!$CK374,Data!$A$4:$A$947,0),MATCH(Graphs!CT$4,Data!$P$3:$Z$3,0))="n.q.",NA(),INDEX(Data!$P$4:$Z$947,MATCH(Graphs!$CK374,Data!$A$4:$A$947,0),MATCH(Graphs!CT$4,Data!$P$3:$Z$3,0)))</f>
        <v>157.4524547</v>
      </c>
      <c r="CU374" s="24" t="str">
        <f t="array" ref="CU374">IF(INDEX(Data!$P$4:$Z$947,MATCH(Graphs!$CK374,Data!$A$4:$A$947,0),MATCH(Graphs!CU$4,Data!$P$3:$Z$3,0))="n.q.",NA(),INDEX(Data!$P$4:$Z$947,MATCH(Graphs!$CK374,Data!$A$4:$A$947,0),MATCH(Graphs!CU$4,Data!$P$3:$Z$3,0)))</f>
        <v>#N/A</v>
      </c>
      <c r="CV374" s="24" t="str">
        <f t="array" ref="CV374">IF(INDEX(Data!$P$4:$Z$947,MATCH(Graphs!$CK374,Data!$A$4:$A$947,0),MATCH(Graphs!CV$4,Data!$P$3:$Z$3,0))="n.q.",NA(),INDEX(Data!$P$4:$Z$947,MATCH(Graphs!$CK374,Data!$A$4:$A$947,0),MATCH(Graphs!CV$4,Data!$P$3:$Z$3,0)))</f>
        <v>#N/A</v>
      </c>
    </row>
    <row r="375" ht="14.25" customHeight="1"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5"/>
      <c r="CK375" s="22">
        <f>Data!A356</f>
        <v>43502</v>
      </c>
      <c r="CL375" s="24">
        <f t="array" ref="CL375">IF(INDEX(Data!$B$4:$L$947,MATCH(Graphs!$CK375,Data!$A$4:$A$947,0),MATCH(Graphs!CL$4,Data!$B$3:$L$3,0))="n.q.",NA(),INDEX(Data!$B$4:$L$947,MATCH(Graphs!$CK375,Data!$A$4:$A$947,0),MATCH(Graphs!CL$4,Data!$B$3:$L$3,0)))</f>
        <v>237.01</v>
      </c>
      <c r="CM375" s="24">
        <f t="array" ref="CM375">IF(INDEX(Data!$B$4:$L$947,MATCH(Graphs!$CK375,Data!$A$4:$A$947,0),MATCH(Graphs!CM$4,Data!$B$3:$L$3,0))="n.q.",NA(),INDEX(Data!$B$4:$L$947,MATCH(Graphs!$CK375,Data!$A$4:$A$947,0),MATCH(Graphs!CM$4,Data!$B$3:$L$3,0)))</f>
        <v>245.91</v>
      </c>
      <c r="CN375" s="24">
        <f t="array" ref="CN375">IF(INDEX(Data!$B$4:$L$947,MATCH(Graphs!$CK375,Data!$A$4:$A$947,0),MATCH(Graphs!CN$4,Data!$B$3:$L$3,0))="n.q.",NA(),INDEX(Data!$B$4:$L$947,MATCH(Graphs!$CK375,Data!$A$4:$A$947,0),MATCH(Graphs!CN$4,Data!$B$3:$L$3,0)))</f>
        <v>229</v>
      </c>
      <c r="CO375" s="24" t="str">
        <f t="array" ref="CO375">IF(INDEX(Data!$B$4:$L$947,MATCH(Graphs!$CK375,Data!$A$4:$A$947,0),MATCH(Graphs!CO$4,Data!$B$3:$L$3,0))="n.q.",NA(),INDEX(Data!$B$4:$L$947,MATCH(Graphs!$CK375,Data!$A$4:$A$947,0),MATCH(Graphs!CO$4,Data!$B$3:$L$3,0)))</f>
        <v>#N/A</v>
      </c>
      <c r="CP375" s="24" t="str">
        <f t="array" ref="CP375">IF(INDEX(Data!$B$4:$L$947,MATCH(Graphs!$CK375,Data!$A$4:$A$947,0),MATCH(Graphs!CP$4,Data!$B$3:$L$3,0))="n.q.",NA(),INDEX(Data!$B$4:$L$947,MATCH(Graphs!$CK375,Data!$A$4:$A$947,0),MATCH(Graphs!CP$4,Data!$B$3:$L$3,0)))</f>
        <v>#N/A</v>
      </c>
      <c r="CQ375" s="5"/>
      <c r="CR375" s="24">
        <f t="array" ref="CR375">IF(INDEX(Data!$P$4:$Z$947,MATCH(Graphs!$CK375,Data!$A$4:$A$947,0),MATCH(Graphs!CR$4,Data!$P$3:$Z$3,0))="n.q.",NA(),INDEX(Data!$P$4:$Z$947,MATCH(Graphs!$CK375,Data!$A$4:$A$947,0),MATCH(Graphs!CR$4,Data!$P$3:$Z$3,0)))</f>
        <v>153.756363</v>
      </c>
      <c r="CS375" s="24">
        <f t="array" ref="CS375">IF(INDEX(Data!$P$4:$Z$947,MATCH(Graphs!$CK375,Data!$A$4:$A$947,0),MATCH(Graphs!CS$4,Data!$P$3:$Z$3,0))="n.q.",NA(),INDEX(Data!$P$4:$Z$947,MATCH(Graphs!$CK375,Data!$A$4:$A$947,0),MATCH(Graphs!CS$4,Data!$P$3:$Z$3,0)))</f>
        <v>181.51</v>
      </c>
      <c r="CT375" s="24">
        <f t="array" ref="CT375">IF(INDEX(Data!$P$4:$Z$947,MATCH(Graphs!$CK375,Data!$A$4:$A$947,0),MATCH(Graphs!CT$4,Data!$P$3:$Z$3,0))="n.q.",NA(),INDEX(Data!$P$4:$Z$947,MATCH(Graphs!$CK375,Data!$A$4:$A$947,0),MATCH(Graphs!CT$4,Data!$P$3:$Z$3,0)))</f>
        <v>157.9778831</v>
      </c>
      <c r="CU375" s="24" t="str">
        <f t="array" ref="CU375">IF(INDEX(Data!$P$4:$Z$947,MATCH(Graphs!$CK375,Data!$A$4:$A$947,0),MATCH(Graphs!CU$4,Data!$P$3:$Z$3,0))="n.q.",NA(),INDEX(Data!$P$4:$Z$947,MATCH(Graphs!$CK375,Data!$A$4:$A$947,0),MATCH(Graphs!CU$4,Data!$P$3:$Z$3,0)))</f>
        <v>#N/A</v>
      </c>
      <c r="CV375" s="24" t="str">
        <f t="array" ref="CV375">IF(INDEX(Data!$P$4:$Z$947,MATCH(Graphs!$CK375,Data!$A$4:$A$947,0),MATCH(Graphs!CV$4,Data!$P$3:$Z$3,0))="n.q.",NA(),INDEX(Data!$P$4:$Z$947,MATCH(Graphs!$CK375,Data!$A$4:$A$947,0),MATCH(Graphs!CV$4,Data!$P$3:$Z$3,0)))</f>
        <v>#N/A</v>
      </c>
    </row>
    <row r="376" ht="14.25" customHeight="1"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5"/>
      <c r="CK376" s="22">
        <f>Data!A357</f>
        <v>43495</v>
      </c>
      <c r="CL376" s="24">
        <f t="array" ref="CL376">IF(INDEX(Data!$B$4:$L$947,MATCH(Graphs!$CK376,Data!$A$4:$A$947,0),MATCH(Graphs!CL$4,Data!$B$3:$L$3,0))="n.q.",NA(),INDEX(Data!$B$4:$L$947,MATCH(Graphs!$CK376,Data!$A$4:$A$947,0),MATCH(Graphs!CL$4,Data!$B$3:$L$3,0)))</f>
        <v>240.38</v>
      </c>
      <c r="CM376" s="24">
        <f t="array" ref="CM376">IF(INDEX(Data!$B$4:$L$947,MATCH(Graphs!$CK376,Data!$A$4:$A$947,0),MATCH(Graphs!CM$4,Data!$B$3:$L$3,0))="n.q.",NA(),INDEX(Data!$B$4:$L$947,MATCH(Graphs!$CK376,Data!$A$4:$A$947,0),MATCH(Graphs!CM$4,Data!$B$3:$L$3,0)))</f>
        <v>241.5</v>
      </c>
      <c r="CN376" s="24">
        <f t="array" ref="CN376">IF(INDEX(Data!$B$4:$L$947,MATCH(Graphs!$CK376,Data!$A$4:$A$947,0),MATCH(Graphs!CN$4,Data!$B$3:$L$3,0))="n.q.",NA(),INDEX(Data!$B$4:$L$947,MATCH(Graphs!$CK376,Data!$A$4:$A$947,0),MATCH(Graphs!CN$4,Data!$B$3:$L$3,0)))</f>
        <v>228</v>
      </c>
      <c r="CO376" s="24" t="str">
        <f t="array" ref="CO376">IF(INDEX(Data!$B$4:$L$947,MATCH(Graphs!$CK376,Data!$A$4:$A$947,0),MATCH(Graphs!CO$4,Data!$B$3:$L$3,0))="n.q.",NA(),INDEX(Data!$B$4:$L$947,MATCH(Graphs!$CK376,Data!$A$4:$A$947,0),MATCH(Graphs!CO$4,Data!$B$3:$L$3,0)))</f>
        <v>#N/A</v>
      </c>
      <c r="CP376" s="24" t="str">
        <f t="array" ref="CP376">IF(INDEX(Data!$B$4:$L$947,MATCH(Graphs!$CK376,Data!$A$4:$A$947,0),MATCH(Graphs!CP$4,Data!$B$3:$L$3,0))="n.q.",NA(),INDEX(Data!$B$4:$L$947,MATCH(Graphs!$CK376,Data!$A$4:$A$947,0),MATCH(Graphs!CP$4,Data!$B$3:$L$3,0)))</f>
        <v>#N/A</v>
      </c>
      <c r="CQ376" s="5"/>
      <c r="CR376" s="24">
        <f t="array" ref="CR376">IF(INDEX(Data!$P$4:$Z$947,MATCH(Graphs!$CK376,Data!$A$4:$A$947,0),MATCH(Graphs!CR$4,Data!$P$3:$Z$3,0))="n.q.",NA(),INDEX(Data!$P$4:$Z$947,MATCH(Graphs!$CK376,Data!$A$4:$A$947,0),MATCH(Graphs!CR$4,Data!$P$3:$Z$3,0)))</f>
        <v>152.6817744</v>
      </c>
      <c r="CS376" s="24">
        <f t="array" ref="CS376">IF(INDEX(Data!$P$4:$Z$947,MATCH(Graphs!$CK376,Data!$A$4:$A$947,0),MATCH(Graphs!CS$4,Data!$P$3:$Z$3,0))="n.q.",NA(),INDEX(Data!$P$4:$Z$947,MATCH(Graphs!$CK376,Data!$A$4:$A$947,0),MATCH(Graphs!CS$4,Data!$P$3:$Z$3,0)))</f>
        <v>182.83</v>
      </c>
      <c r="CT376" s="24">
        <f t="array" ref="CT376">IF(INDEX(Data!$P$4:$Z$947,MATCH(Graphs!$CK376,Data!$A$4:$A$947,0),MATCH(Graphs!CT$4,Data!$P$3:$Z$3,0))="n.q.",NA(),INDEX(Data!$P$4:$Z$947,MATCH(Graphs!$CK376,Data!$A$4:$A$947,0),MATCH(Graphs!CT$4,Data!$P$3:$Z$3,0)))</f>
        <v>160.1189955</v>
      </c>
      <c r="CU376" s="24" t="str">
        <f t="array" ref="CU376">IF(INDEX(Data!$P$4:$Z$947,MATCH(Graphs!$CK376,Data!$A$4:$A$947,0),MATCH(Graphs!CU$4,Data!$P$3:$Z$3,0))="n.q.",NA(),INDEX(Data!$P$4:$Z$947,MATCH(Graphs!$CK376,Data!$A$4:$A$947,0),MATCH(Graphs!CU$4,Data!$P$3:$Z$3,0)))</f>
        <v>#N/A</v>
      </c>
      <c r="CV376" s="24" t="str">
        <f t="array" ref="CV376">IF(INDEX(Data!$P$4:$Z$947,MATCH(Graphs!$CK376,Data!$A$4:$A$947,0),MATCH(Graphs!CV$4,Data!$P$3:$Z$3,0))="n.q.",NA(),INDEX(Data!$P$4:$Z$947,MATCH(Graphs!$CK376,Data!$A$4:$A$947,0),MATCH(Graphs!CV$4,Data!$P$3:$Z$3,0)))</f>
        <v>#N/A</v>
      </c>
    </row>
    <row r="377" ht="14.25" customHeight="1"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5"/>
      <c r="CK377" s="22">
        <f>Data!A358</f>
        <v>43488</v>
      </c>
      <c r="CL377" s="24">
        <f t="array" ref="CL377">IF(INDEX(Data!$B$4:$L$947,MATCH(Graphs!$CK377,Data!$A$4:$A$947,0),MATCH(Graphs!CL$4,Data!$B$3:$L$3,0))="n.q.",NA(),INDEX(Data!$B$4:$L$947,MATCH(Graphs!$CK377,Data!$A$4:$A$947,0),MATCH(Graphs!CL$4,Data!$B$3:$L$3,0)))</f>
        <v>239.96</v>
      </c>
      <c r="CM377" s="24">
        <f t="array" ref="CM377">IF(INDEX(Data!$B$4:$L$947,MATCH(Graphs!$CK377,Data!$A$4:$A$947,0),MATCH(Graphs!CM$4,Data!$B$3:$L$3,0))="n.q.",NA(),INDEX(Data!$B$4:$L$947,MATCH(Graphs!$CK377,Data!$A$4:$A$947,0),MATCH(Graphs!CM$4,Data!$B$3:$L$3,0)))</f>
        <v>244.35</v>
      </c>
      <c r="CN377" s="24">
        <f t="array" ref="CN377">IF(INDEX(Data!$B$4:$L$947,MATCH(Graphs!$CK377,Data!$A$4:$A$947,0),MATCH(Graphs!CN$4,Data!$B$3:$L$3,0))="n.q.",NA(),INDEX(Data!$B$4:$L$947,MATCH(Graphs!$CK377,Data!$A$4:$A$947,0),MATCH(Graphs!CN$4,Data!$B$3:$L$3,0)))</f>
        <v>227</v>
      </c>
      <c r="CO377" s="24" t="str">
        <f t="array" ref="CO377">IF(INDEX(Data!$B$4:$L$947,MATCH(Graphs!$CK377,Data!$A$4:$A$947,0),MATCH(Graphs!CO$4,Data!$B$3:$L$3,0))="n.q.",NA(),INDEX(Data!$B$4:$L$947,MATCH(Graphs!$CK377,Data!$A$4:$A$947,0),MATCH(Graphs!CO$4,Data!$B$3:$L$3,0)))</f>
        <v>#N/A</v>
      </c>
      <c r="CP377" s="24" t="str">
        <f t="array" ref="CP377">IF(INDEX(Data!$B$4:$L$947,MATCH(Graphs!$CK377,Data!$A$4:$A$947,0),MATCH(Graphs!CP$4,Data!$B$3:$L$3,0))="n.q.",NA(),INDEX(Data!$B$4:$L$947,MATCH(Graphs!$CK377,Data!$A$4:$A$947,0),MATCH(Graphs!CP$4,Data!$B$3:$L$3,0)))</f>
        <v>#N/A</v>
      </c>
      <c r="CQ377" s="5"/>
      <c r="CR377" s="24">
        <f t="array" ref="CR377">IF(INDEX(Data!$P$4:$Z$947,MATCH(Graphs!$CK377,Data!$A$4:$A$947,0),MATCH(Graphs!CR$4,Data!$P$3:$Z$3,0))="n.q.",NA(),INDEX(Data!$P$4:$Z$947,MATCH(Graphs!$CK377,Data!$A$4:$A$947,0),MATCH(Graphs!CR$4,Data!$P$3:$Z$3,0)))</f>
        <v>150.9193279</v>
      </c>
      <c r="CS377" s="24">
        <f t="array" ref="CS377">IF(INDEX(Data!$P$4:$Z$947,MATCH(Graphs!$CK377,Data!$A$4:$A$947,0),MATCH(Graphs!CS$4,Data!$P$3:$Z$3,0))="n.q.",NA(),INDEX(Data!$P$4:$Z$947,MATCH(Graphs!$CK377,Data!$A$4:$A$947,0),MATCH(Graphs!CS$4,Data!$P$3:$Z$3,0)))</f>
        <v>187.58</v>
      </c>
      <c r="CT377" s="24">
        <f t="array" ref="CT377">IF(INDEX(Data!$P$4:$Z$947,MATCH(Graphs!$CK377,Data!$A$4:$A$947,0),MATCH(Graphs!CT$4,Data!$P$3:$Z$3,0))="n.q.",NA(),INDEX(Data!$P$4:$Z$947,MATCH(Graphs!$CK377,Data!$A$4:$A$947,0),MATCH(Graphs!CT$4,Data!$P$3:$Z$3,0)))</f>
        <v>156.5936483</v>
      </c>
      <c r="CU377" s="24" t="str">
        <f t="array" ref="CU377">IF(INDEX(Data!$P$4:$Z$947,MATCH(Graphs!$CK377,Data!$A$4:$A$947,0),MATCH(Graphs!CU$4,Data!$P$3:$Z$3,0))="n.q.",NA(),INDEX(Data!$P$4:$Z$947,MATCH(Graphs!$CK377,Data!$A$4:$A$947,0),MATCH(Graphs!CU$4,Data!$P$3:$Z$3,0)))</f>
        <v>#N/A</v>
      </c>
      <c r="CV377" s="24" t="str">
        <f t="array" ref="CV377">IF(INDEX(Data!$P$4:$Z$947,MATCH(Graphs!$CK377,Data!$A$4:$A$947,0),MATCH(Graphs!CV$4,Data!$P$3:$Z$3,0))="n.q.",NA(),INDEX(Data!$P$4:$Z$947,MATCH(Graphs!$CK377,Data!$A$4:$A$947,0),MATCH(Graphs!CV$4,Data!$P$3:$Z$3,0)))</f>
        <v>#N/A</v>
      </c>
    </row>
    <row r="378" ht="14.25" customHeight="1"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5"/>
      <c r="CK378" s="22">
        <f>Data!A359</f>
        <v>43481</v>
      </c>
      <c r="CL378" s="24">
        <f t="array" ref="CL378">IF(INDEX(Data!$B$4:$L$947,MATCH(Graphs!$CK378,Data!$A$4:$A$947,0),MATCH(Graphs!CL$4,Data!$B$3:$L$3,0))="n.q.",NA(),INDEX(Data!$B$4:$L$947,MATCH(Graphs!$CK378,Data!$A$4:$A$947,0),MATCH(Graphs!CL$4,Data!$B$3:$L$3,0)))</f>
        <v>237.49</v>
      </c>
      <c r="CM378" s="24">
        <f t="array" ref="CM378">IF(INDEX(Data!$B$4:$L$947,MATCH(Graphs!$CK378,Data!$A$4:$A$947,0),MATCH(Graphs!CM$4,Data!$B$3:$L$3,0))="n.q.",NA(),INDEX(Data!$B$4:$L$947,MATCH(Graphs!$CK378,Data!$A$4:$A$947,0),MATCH(Graphs!CM$4,Data!$B$3:$L$3,0)))</f>
        <v>237.18</v>
      </c>
      <c r="CN378" s="24">
        <f t="array" ref="CN378">IF(INDEX(Data!$B$4:$L$947,MATCH(Graphs!$CK378,Data!$A$4:$A$947,0),MATCH(Graphs!CN$4,Data!$B$3:$L$3,0))="n.q.",NA(),INDEX(Data!$B$4:$L$947,MATCH(Graphs!$CK378,Data!$A$4:$A$947,0),MATCH(Graphs!CN$4,Data!$B$3:$L$3,0)))</f>
        <v>225</v>
      </c>
      <c r="CO378" s="24" t="str">
        <f t="array" ref="CO378">IF(INDEX(Data!$B$4:$L$947,MATCH(Graphs!$CK378,Data!$A$4:$A$947,0),MATCH(Graphs!CO$4,Data!$B$3:$L$3,0))="n.q.",NA(),INDEX(Data!$B$4:$L$947,MATCH(Graphs!$CK378,Data!$A$4:$A$947,0),MATCH(Graphs!CO$4,Data!$B$3:$L$3,0)))</f>
        <v>#N/A</v>
      </c>
      <c r="CP378" s="24" t="str">
        <f t="array" ref="CP378">IF(INDEX(Data!$B$4:$L$947,MATCH(Graphs!$CK378,Data!$A$4:$A$947,0),MATCH(Graphs!CP$4,Data!$B$3:$L$3,0))="n.q.",NA(),INDEX(Data!$B$4:$L$947,MATCH(Graphs!$CK378,Data!$A$4:$A$947,0),MATCH(Graphs!CP$4,Data!$B$3:$L$3,0)))</f>
        <v>#N/A</v>
      </c>
      <c r="CQ378" s="5"/>
      <c r="CR378" s="24">
        <f t="array" ref="CR378">IF(INDEX(Data!$P$4:$Z$947,MATCH(Graphs!$CK378,Data!$A$4:$A$947,0),MATCH(Graphs!CR$4,Data!$P$3:$Z$3,0))="n.q.",NA(),INDEX(Data!$P$4:$Z$947,MATCH(Graphs!$CK378,Data!$A$4:$A$947,0),MATCH(Graphs!CR$4,Data!$P$3:$Z$3,0)))</f>
        <v>147.59856</v>
      </c>
      <c r="CS378" s="24">
        <f t="array" ref="CS378">IF(INDEX(Data!$P$4:$Z$947,MATCH(Graphs!$CK378,Data!$A$4:$A$947,0),MATCH(Graphs!CS$4,Data!$P$3:$Z$3,0))="n.q.",NA(),INDEX(Data!$P$4:$Z$947,MATCH(Graphs!$CK378,Data!$A$4:$A$947,0),MATCH(Graphs!CS$4,Data!$P$3:$Z$3,0)))</f>
        <v>184.58</v>
      </c>
      <c r="CT378" s="24">
        <f t="array" ref="CT378">IF(INDEX(Data!$P$4:$Z$947,MATCH(Graphs!$CK378,Data!$A$4:$A$947,0),MATCH(Graphs!CT$4,Data!$P$3:$Z$3,0))="n.q.",NA(),INDEX(Data!$P$4:$Z$947,MATCH(Graphs!$CK378,Data!$A$4:$A$947,0),MATCH(Graphs!CT$4,Data!$P$3:$Z$3,0)))</f>
        <v>155.4131179</v>
      </c>
      <c r="CU378" s="24" t="str">
        <f t="array" ref="CU378">IF(INDEX(Data!$P$4:$Z$947,MATCH(Graphs!$CK378,Data!$A$4:$A$947,0),MATCH(Graphs!CU$4,Data!$P$3:$Z$3,0))="n.q.",NA(),INDEX(Data!$P$4:$Z$947,MATCH(Graphs!$CK378,Data!$A$4:$A$947,0),MATCH(Graphs!CU$4,Data!$P$3:$Z$3,0)))</f>
        <v>#N/A</v>
      </c>
      <c r="CV378" s="24" t="str">
        <f t="array" ref="CV378">IF(INDEX(Data!$P$4:$Z$947,MATCH(Graphs!$CK378,Data!$A$4:$A$947,0),MATCH(Graphs!CV$4,Data!$P$3:$Z$3,0))="n.q.",NA(),INDEX(Data!$P$4:$Z$947,MATCH(Graphs!$CK378,Data!$A$4:$A$947,0),MATCH(Graphs!CV$4,Data!$P$3:$Z$3,0)))</f>
        <v>#N/A</v>
      </c>
    </row>
    <row r="379" ht="14.25" customHeight="1"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5"/>
      <c r="CK379" s="22">
        <f>Data!A360</f>
        <v>43474</v>
      </c>
      <c r="CL379" s="24">
        <f t="array" ref="CL379">IF(INDEX(Data!$B$4:$L$947,MATCH(Graphs!$CK379,Data!$A$4:$A$947,0),MATCH(Graphs!CL$4,Data!$B$3:$L$3,0))="n.q.",NA(),INDEX(Data!$B$4:$L$947,MATCH(Graphs!$CK379,Data!$A$4:$A$947,0),MATCH(Graphs!CL$4,Data!$B$3:$L$3,0)))</f>
        <v>243.33</v>
      </c>
      <c r="CM379" s="24">
        <f t="array" ref="CM379">IF(INDEX(Data!$B$4:$L$947,MATCH(Graphs!$CK379,Data!$A$4:$A$947,0),MATCH(Graphs!CM$4,Data!$B$3:$L$3,0))="n.q.",NA(),INDEX(Data!$B$4:$L$947,MATCH(Graphs!$CK379,Data!$A$4:$A$947,0),MATCH(Graphs!CM$4,Data!$B$3:$L$3,0)))</f>
        <v>240.12</v>
      </c>
      <c r="CN379" s="24">
        <f t="array" ref="CN379">IF(INDEX(Data!$B$4:$L$947,MATCH(Graphs!$CK379,Data!$A$4:$A$947,0),MATCH(Graphs!CN$4,Data!$B$3:$L$3,0))="n.q.",NA(),INDEX(Data!$B$4:$L$947,MATCH(Graphs!$CK379,Data!$A$4:$A$947,0),MATCH(Graphs!CN$4,Data!$B$3:$L$3,0)))</f>
        <v>225</v>
      </c>
      <c r="CO379" s="24" t="str">
        <f t="array" ref="CO379">IF(INDEX(Data!$B$4:$L$947,MATCH(Graphs!$CK379,Data!$A$4:$A$947,0),MATCH(Graphs!CO$4,Data!$B$3:$L$3,0))="n.q.",NA(),INDEX(Data!$B$4:$L$947,MATCH(Graphs!$CK379,Data!$A$4:$A$947,0),MATCH(Graphs!CO$4,Data!$B$3:$L$3,0)))</f>
        <v>#N/A</v>
      </c>
      <c r="CP379" s="24" t="str">
        <f t="array" ref="CP379">IF(INDEX(Data!$B$4:$L$947,MATCH(Graphs!$CK379,Data!$A$4:$A$947,0),MATCH(Graphs!CP$4,Data!$B$3:$L$3,0))="n.q.",NA(),INDEX(Data!$B$4:$L$947,MATCH(Graphs!$CK379,Data!$A$4:$A$947,0),MATCH(Graphs!CP$4,Data!$B$3:$L$3,0)))</f>
        <v>#N/A</v>
      </c>
      <c r="CQ379" s="5"/>
      <c r="CR379" s="24">
        <f t="array" ref="CR379">IF(INDEX(Data!$P$4:$Z$947,MATCH(Graphs!$CK379,Data!$A$4:$A$947,0),MATCH(Graphs!CR$4,Data!$P$3:$Z$3,0))="n.q.",NA(),INDEX(Data!$P$4:$Z$947,MATCH(Graphs!$CK379,Data!$A$4:$A$947,0),MATCH(Graphs!CR$4,Data!$P$3:$Z$3,0)))</f>
        <v>149.1575731</v>
      </c>
      <c r="CS379" s="24">
        <f t="array" ref="CS379">IF(INDEX(Data!$P$4:$Z$947,MATCH(Graphs!$CK379,Data!$A$4:$A$947,0),MATCH(Graphs!CS$4,Data!$P$3:$Z$3,0))="n.q.",NA(),INDEX(Data!$P$4:$Z$947,MATCH(Graphs!$CK379,Data!$A$4:$A$947,0),MATCH(Graphs!CS$4,Data!$P$3:$Z$3,0)))</f>
        <v>188.58</v>
      </c>
      <c r="CT379" s="24">
        <f t="array" ref="CT379">IF(INDEX(Data!$P$4:$Z$947,MATCH(Graphs!$CK379,Data!$A$4:$A$947,0),MATCH(Graphs!CT$4,Data!$P$3:$Z$3,0))="n.q.",NA(),INDEX(Data!$P$4:$Z$947,MATCH(Graphs!$CK379,Data!$A$4:$A$947,0),MATCH(Graphs!CT$4,Data!$P$3:$Z$3,0)))</f>
        <v>151.0257529</v>
      </c>
      <c r="CU379" s="24" t="str">
        <f t="array" ref="CU379">IF(INDEX(Data!$P$4:$Z$947,MATCH(Graphs!$CK379,Data!$A$4:$A$947,0),MATCH(Graphs!CU$4,Data!$P$3:$Z$3,0))="n.q.",NA(),INDEX(Data!$P$4:$Z$947,MATCH(Graphs!$CK379,Data!$A$4:$A$947,0),MATCH(Graphs!CU$4,Data!$P$3:$Z$3,0)))</f>
        <v>#N/A</v>
      </c>
      <c r="CV379" s="24" t="str">
        <f t="array" ref="CV379">IF(INDEX(Data!$P$4:$Z$947,MATCH(Graphs!$CK379,Data!$A$4:$A$947,0),MATCH(Graphs!CV$4,Data!$P$3:$Z$3,0))="n.q.",NA(),INDEX(Data!$P$4:$Z$947,MATCH(Graphs!$CK379,Data!$A$4:$A$947,0),MATCH(Graphs!CV$4,Data!$P$3:$Z$3,0)))</f>
        <v>#N/A</v>
      </c>
    </row>
    <row r="380" ht="14.25" customHeight="1"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5"/>
      <c r="CK380" s="22">
        <f>Data!A361</f>
        <v>43467</v>
      </c>
      <c r="CL380" s="24">
        <f t="array" ref="CL380">IF(INDEX(Data!$B$4:$L$947,MATCH(Graphs!$CK380,Data!$A$4:$A$947,0),MATCH(Graphs!CL$4,Data!$B$3:$L$3,0))="n.q.",NA(),INDEX(Data!$B$4:$L$947,MATCH(Graphs!$CK380,Data!$A$4:$A$947,0),MATCH(Graphs!CL$4,Data!$B$3:$L$3,0)))</f>
        <v>237.74</v>
      </c>
      <c r="CM380" s="24">
        <f t="array" ref="CM380">IF(INDEX(Data!$B$4:$L$947,MATCH(Graphs!$CK380,Data!$A$4:$A$947,0),MATCH(Graphs!CM$4,Data!$B$3:$L$3,0))="n.q.",NA(),INDEX(Data!$B$4:$L$947,MATCH(Graphs!$CK380,Data!$A$4:$A$947,0),MATCH(Graphs!CM$4,Data!$B$3:$L$3,0)))</f>
        <v>232.4</v>
      </c>
      <c r="CN380" s="24">
        <f t="array" ref="CN380">IF(INDEX(Data!$B$4:$L$947,MATCH(Graphs!$CK380,Data!$A$4:$A$947,0),MATCH(Graphs!CN$4,Data!$B$3:$L$3,0))="n.q.",NA(),INDEX(Data!$B$4:$L$947,MATCH(Graphs!$CK380,Data!$A$4:$A$947,0),MATCH(Graphs!CN$4,Data!$B$3:$L$3,0)))</f>
        <v>222</v>
      </c>
      <c r="CO380" s="24" t="str">
        <f t="array" ref="CO380">IF(INDEX(Data!$B$4:$L$947,MATCH(Graphs!$CK380,Data!$A$4:$A$947,0),MATCH(Graphs!CO$4,Data!$B$3:$L$3,0))="n.q.",NA(),INDEX(Data!$B$4:$L$947,MATCH(Graphs!$CK380,Data!$A$4:$A$947,0),MATCH(Graphs!CO$4,Data!$B$3:$L$3,0)))</f>
        <v>#N/A</v>
      </c>
      <c r="CP380" s="24" t="str">
        <f t="array" ref="CP380">IF(INDEX(Data!$B$4:$L$947,MATCH(Graphs!$CK380,Data!$A$4:$A$947,0),MATCH(Graphs!CP$4,Data!$B$3:$L$3,0))="n.q.",NA(),INDEX(Data!$B$4:$L$947,MATCH(Graphs!$CK380,Data!$A$4:$A$947,0),MATCH(Graphs!CP$4,Data!$B$3:$L$3,0)))</f>
        <v>#N/A</v>
      </c>
      <c r="CQ380" s="5"/>
      <c r="CR380" s="24">
        <f t="array" ref="CR380">IF(INDEX(Data!$P$4:$Z$947,MATCH(Graphs!$CK380,Data!$A$4:$A$947,0),MATCH(Graphs!CR$4,Data!$P$3:$Z$3,0))="n.q.",NA(),INDEX(Data!$P$4:$Z$947,MATCH(Graphs!$CK380,Data!$A$4:$A$947,0),MATCH(Graphs!CR$4,Data!$P$3:$Z$3,0)))</f>
        <v>147.758182</v>
      </c>
      <c r="CS380" s="24">
        <f t="array" ref="CS380">IF(INDEX(Data!$P$4:$Z$947,MATCH(Graphs!$CK380,Data!$A$4:$A$947,0),MATCH(Graphs!CS$4,Data!$P$3:$Z$3,0))="n.q.",NA(),INDEX(Data!$P$4:$Z$947,MATCH(Graphs!$CK380,Data!$A$4:$A$947,0),MATCH(Graphs!CS$4,Data!$P$3:$Z$3,0)))</f>
        <v>184.08</v>
      </c>
      <c r="CT380" s="24">
        <f t="array" ref="CT380">IF(INDEX(Data!$P$4:$Z$947,MATCH(Graphs!$CK380,Data!$A$4:$A$947,0),MATCH(Graphs!CT$4,Data!$P$3:$Z$3,0))="n.q.",NA(),INDEX(Data!$P$4:$Z$947,MATCH(Graphs!$CK380,Data!$A$4:$A$947,0),MATCH(Graphs!CT$4,Data!$P$3:$Z$3,0)))</f>
        <v>150.916908</v>
      </c>
      <c r="CU380" s="24" t="str">
        <f t="array" ref="CU380">IF(INDEX(Data!$P$4:$Z$947,MATCH(Graphs!$CK380,Data!$A$4:$A$947,0),MATCH(Graphs!CU$4,Data!$P$3:$Z$3,0))="n.q.",NA(),INDEX(Data!$P$4:$Z$947,MATCH(Graphs!$CK380,Data!$A$4:$A$947,0),MATCH(Graphs!CU$4,Data!$P$3:$Z$3,0)))</f>
        <v>#N/A</v>
      </c>
      <c r="CV380" s="24" t="str">
        <f t="array" ref="CV380">IF(INDEX(Data!$P$4:$Z$947,MATCH(Graphs!$CK380,Data!$A$4:$A$947,0),MATCH(Graphs!CV$4,Data!$P$3:$Z$3,0))="n.q.",NA(),INDEX(Data!$P$4:$Z$947,MATCH(Graphs!$CK380,Data!$A$4:$A$947,0),MATCH(Graphs!CV$4,Data!$P$3:$Z$3,0)))</f>
        <v>#N/A</v>
      </c>
    </row>
    <row r="381" ht="14.25" customHeight="1"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5"/>
      <c r="CK381" s="22">
        <f>Data!A362</f>
        <v>43460</v>
      </c>
      <c r="CL381" s="24">
        <f t="array" ref="CL381">IF(INDEX(Data!$B$4:$L$947,MATCH(Graphs!$CK381,Data!$A$4:$A$947,0),MATCH(Graphs!CL$4,Data!$B$3:$L$3,0))="n.q.",NA(),INDEX(Data!$B$4:$L$947,MATCH(Graphs!$CK381,Data!$A$4:$A$947,0),MATCH(Graphs!CL$4,Data!$B$3:$L$3,0)))</f>
        <v>240.08</v>
      </c>
      <c r="CM381" s="24">
        <f t="array" ref="CM381">IF(INDEX(Data!$B$4:$L$947,MATCH(Graphs!$CK381,Data!$A$4:$A$947,0),MATCH(Graphs!CM$4,Data!$B$3:$L$3,0))="n.q.",NA(),INDEX(Data!$B$4:$L$947,MATCH(Graphs!$CK381,Data!$A$4:$A$947,0),MATCH(Graphs!CM$4,Data!$B$3:$L$3,0)))</f>
        <v>233.51</v>
      </c>
      <c r="CN381" s="24">
        <f t="array" ref="CN381">IF(INDEX(Data!$B$4:$L$947,MATCH(Graphs!$CK381,Data!$A$4:$A$947,0),MATCH(Graphs!CN$4,Data!$B$3:$L$3,0))="n.q.",NA(),INDEX(Data!$B$4:$L$947,MATCH(Graphs!$CK381,Data!$A$4:$A$947,0),MATCH(Graphs!CN$4,Data!$B$3:$L$3,0)))</f>
        <v>220</v>
      </c>
      <c r="CO381" s="24" t="str">
        <f t="array" ref="CO381">IF(INDEX(Data!$B$4:$L$947,MATCH(Graphs!$CK381,Data!$A$4:$A$947,0),MATCH(Graphs!CO$4,Data!$B$3:$L$3,0))="n.q.",NA(),INDEX(Data!$B$4:$L$947,MATCH(Graphs!$CK381,Data!$A$4:$A$947,0),MATCH(Graphs!CO$4,Data!$B$3:$L$3,0)))</f>
        <v>#N/A</v>
      </c>
      <c r="CP381" s="24" t="str">
        <f t="array" ref="CP381">IF(INDEX(Data!$B$4:$L$947,MATCH(Graphs!$CK381,Data!$A$4:$A$947,0),MATCH(Graphs!CP$4,Data!$B$3:$L$3,0))="n.q.",NA(),INDEX(Data!$B$4:$L$947,MATCH(Graphs!$CK381,Data!$A$4:$A$947,0),MATCH(Graphs!CP$4,Data!$B$3:$L$3,0)))</f>
        <v>#N/A</v>
      </c>
      <c r="CQ381" s="5"/>
      <c r="CR381" s="24">
        <f t="array" ref="CR381">IF(INDEX(Data!$P$4:$Z$947,MATCH(Graphs!$CK381,Data!$A$4:$A$947,0),MATCH(Graphs!CR$4,Data!$P$3:$Z$3,0))="n.q.",NA(),INDEX(Data!$P$4:$Z$947,MATCH(Graphs!$CK381,Data!$A$4:$A$947,0),MATCH(Graphs!CR$4,Data!$P$3:$Z$3,0)))</f>
        <v>146.7478962</v>
      </c>
      <c r="CS381" s="24" t="str">
        <f t="array" ref="CS381">IF(INDEX(Data!$P$4:$Z$947,MATCH(Graphs!$CK381,Data!$A$4:$A$947,0),MATCH(Graphs!CS$4,Data!$P$3:$Z$3,0))="n.q.",NA(),INDEX(Data!$P$4:$Z$947,MATCH(Graphs!$CK381,Data!$A$4:$A$947,0),MATCH(Graphs!CS$4,Data!$P$3:$Z$3,0)))</f>
        <v>#N/A</v>
      </c>
      <c r="CT381" s="24">
        <f t="array" ref="CT381">IF(INDEX(Data!$P$4:$Z$947,MATCH(Graphs!$CK381,Data!$A$4:$A$947,0),MATCH(Graphs!CT$4,Data!$P$3:$Z$3,0))="n.q.",NA(),INDEX(Data!$P$4:$Z$947,MATCH(Graphs!$CK381,Data!$A$4:$A$947,0),MATCH(Graphs!CT$4,Data!$P$3:$Z$3,0)))</f>
        <v>149.8948107</v>
      </c>
      <c r="CU381" s="24" t="str">
        <f t="array" ref="CU381">IF(INDEX(Data!$P$4:$Z$947,MATCH(Graphs!$CK381,Data!$A$4:$A$947,0),MATCH(Graphs!CU$4,Data!$P$3:$Z$3,0))="n.q.",NA(),INDEX(Data!$P$4:$Z$947,MATCH(Graphs!$CK381,Data!$A$4:$A$947,0),MATCH(Graphs!CU$4,Data!$P$3:$Z$3,0)))</f>
        <v>#N/A</v>
      </c>
      <c r="CV381" s="24" t="str">
        <f t="array" ref="CV381">IF(INDEX(Data!$P$4:$Z$947,MATCH(Graphs!$CK381,Data!$A$4:$A$947,0),MATCH(Graphs!CV$4,Data!$P$3:$Z$3,0))="n.q.",NA(),INDEX(Data!$P$4:$Z$947,MATCH(Graphs!$CK381,Data!$A$4:$A$947,0),MATCH(Graphs!CV$4,Data!$P$3:$Z$3,0)))</f>
        <v>#N/A</v>
      </c>
    </row>
    <row r="382" ht="14.25" customHeight="1"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5"/>
      <c r="CK382" s="22">
        <f>Data!A363</f>
        <v>43453</v>
      </c>
      <c r="CL382" s="24">
        <f t="array" ref="CL382">IF(INDEX(Data!$B$4:$L$947,MATCH(Graphs!$CK382,Data!$A$4:$A$947,0),MATCH(Graphs!CL$4,Data!$B$3:$L$3,0))="n.q.",NA(),INDEX(Data!$B$4:$L$947,MATCH(Graphs!$CK382,Data!$A$4:$A$947,0),MATCH(Graphs!CL$4,Data!$B$3:$L$3,0)))</f>
        <v>240.38</v>
      </c>
      <c r="CM382" s="24">
        <f t="array" ref="CM382">IF(INDEX(Data!$B$4:$L$947,MATCH(Graphs!$CK382,Data!$A$4:$A$947,0),MATCH(Graphs!CM$4,Data!$B$3:$L$3,0))="n.q.",NA(),INDEX(Data!$B$4:$L$947,MATCH(Graphs!$CK382,Data!$A$4:$A$947,0),MATCH(Graphs!CM$4,Data!$B$3:$L$3,0)))</f>
        <v>243.79</v>
      </c>
      <c r="CN382" s="24">
        <f t="array" ref="CN382">IF(INDEX(Data!$B$4:$L$947,MATCH(Graphs!$CK382,Data!$A$4:$A$947,0),MATCH(Graphs!CN$4,Data!$B$3:$L$3,0))="n.q.",NA(),INDEX(Data!$B$4:$L$947,MATCH(Graphs!$CK382,Data!$A$4:$A$947,0),MATCH(Graphs!CN$4,Data!$B$3:$L$3,0)))</f>
        <v>220</v>
      </c>
      <c r="CO382" s="24" t="str">
        <f t="array" ref="CO382">IF(INDEX(Data!$B$4:$L$947,MATCH(Graphs!$CK382,Data!$A$4:$A$947,0),MATCH(Graphs!CO$4,Data!$B$3:$L$3,0))="n.q.",NA(),INDEX(Data!$B$4:$L$947,MATCH(Graphs!$CK382,Data!$A$4:$A$947,0),MATCH(Graphs!CO$4,Data!$B$3:$L$3,0)))</f>
        <v>#N/A</v>
      </c>
      <c r="CP382" s="24" t="str">
        <f t="array" ref="CP382">IF(INDEX(Data!$B$4:$L$947,MATCH(Graphs!$CK382,Data!$A$4:$A$947,0),MATCH(Graphs!CP$4,Data!$B$3:$L$3,0))="n.q.",NA(),INDEX(Data!$B$4:$L$947,MATCH(Graphs!$CK382,Data!$A$4:$A$947,0),MATCH(Graphs!CP$4,Data!$B$3:$L$3,0)))</f>
        <v>#N/A</v>
      </c>
      <c r="CQ382" s="5"/>
      <c r="CR382" s="24">
        <f t="array" ref="CR382">IF(INDEX(Data!$P$4:$Z$947,MATCH(Graphs!$CK382,Data!$A$4:$A$947,0),MATCH(Graphs!CR$4,Data!$P$3:$Z$3,0))="n.q.",NA(),INDEX(Data!$P$4:$Z$947,MATCH(Graphs!$CK382,Data!$A$4:$A$947,0),MATCH(Graphs!CR$4,Data!$P$3:$Z$3,0)))</f>
        <v>150.416484</v>
      </c>
      <c r="CS382" s="24">
        <f t="array" ref="CS382">IF(INDEX(Data!$P$4:$Z$947,MATCH(Graphs!$CK382,Data!$A$4:$A$947,0),MATCH(Graphs!CS$4,Data!$P$3:$Z$3,0))="n.q.",NA(),INDEX(Data!$P$4:$Z$947,MATCH(Graphs!$CK382,Data!$A$4:$A$947,0),MATCH(Graphs!CS$4,Data!$P$3:$Z$3,0)))</f>
        <v>182.65</v>
      </c>
      <c r="CT382" s="24">
        <f t="array" ref="CT382">IF(INDEX(Data!$P$4:$Z$947,MATCH(Graphs!$CK382,Data!$A$4:$A$947,0),MATCH(Graphs!CT$4,Data!$P$3:$Z$3,0))="n.q.",NA(),INDEX(Data!$P$4:$Z$947,MATCH(Graphs!$CK382,Data!$A$4:$A$947,0),MATCH(Graphs!CT$4,Data!$P$3:$Z$3,0)))</f>
        <v>149.057431</v>
      </c>
      <c r="CU382" s="24" t="str">
        <f t="array" ref="CU382">IF(INDEX(Data!$P$4:$Z$947,MATCH(Graphs!$CK382,Data!$A$4:$A$947,0),MATCH(Graphs!CU$4,Data!$P$3:$Z$3,0))="n.q.",NA(),INDEX(Data!$P$4:$Z$947,MATCH(Graphs!$CK382,Data!$A$4:$A$947,0),MATCH(Graphs!CU$4,Data!$P$3:$Z$3,0)))</f>
        <v>#N/A</v>
      </c>
      <c r="CV382" s="24" t="str">
        <f t="array" ref="CV382">IF(INDEX(Data!$P$4:$Z$947,MATCH(Graphs!$CK382,Data!$A$4:$A$947,0),MATCH(Graphs!CV$4,Data!$P$3:$Z$3,0))="n.q.",NA(),INDEX(Data!$P$4:$Z$947,MATCH(Graphs!$CK382,Data!$A$4:$A$947,0),MATCH(Graphs!CV$4,Data!$P$3:$Z$3,0)))</f>
        <v>#N/A</v>
      </c>
    </row>
    <row r="383" ht="14.25" customHeight="1"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5"/>
      <c r="CK383" s="22">
        <f>Data!A364</f>
        <v>43446</v>
      </c>
      <c r="CL383" s="24">
        <f t="array" ref="CL383">IF(INDEX(Data!$B$4:$L$947,MATCH(Graphs!$CK383,Data!$A$4:$A$947,0),MATCH(Graphs!CL$4,Data!$B$3:$L$3,0))="n.q.",NA(),INDEX(Data!$B$4:$L$947,MATCH(Graphs!$CK383,Data!$A$4:$A$947,0),MATCH(Graphs!CL$4,Data!$B$3:$L$3,0)))</f>
        <v>238.07</v>
      </c>
      <c r="CM383" s="24">
        <f t="array" ref="CM383">IF(INDEX(Data!$B$4:$L$947,MATCH(Graphs!$CK383,Data!$A$4:$A$947,0),MATCH(Graphs!CM$4,Data!$B$3:$L$3,0))="n.q.",NA(),INDEX(Data!$B$4:$L$947,MATCH(Graphs!$CK383,Data!$A$4:$A$947,0),MATCH(Graphs!CM$4,Data!$B$3:$L$3,0)))</f>
        <v>243.7</v>
      </c>
      <c r="CN383" s="24">
        <f t="array" ref="CN383">IF(INDEX(Data!$B$4:$L$947,MATCH(Graphs!$CK383,Data!$A$4:$A$947,0),MATCH(Graphs!CN$4,Data!$B$3:$L$3,0))="n.q.",NA(),INDEX(Data!$B$4:$L$947,MATCH(Graphs!$CK383,Data!$A$4:$A$947,0),MATCH(Graphs!CN$4,Data!$B$3:$L$3,0)))</f>
        <v>218</v>
      </c>
      <c r="CO383" s="24" t="str">
        <f t="array" ref="CO383">IF(INDEX(Data!$B$4:$L$947,MATCH(Graphs!$CK383,Data!$A$4:$A$947,0),MATCH(Graphs!CO$4,Data!$B$3:$L$3,0))="n.q.",NA(),INDEX(Data!$B$4:$L$947,MATCH(Graphs!$CK383,Data!$A$4:$A$947,0),MATCH(Graphs!CO$4,Data!$B$3:$L$3,0)))</f>
        <v>#N/A</v>
      </c>
      <c r="CP383" s="24" t="str">
        <f t="array" ref="CP383">IF(INDEX(Data!$B$4:$L$947,MATCH(Graphs!$CK383,Data!$A$4:$A$947,0),MATCH(Graphs!CP$4,Data!$B$3:$L$3,0))="n.q.",NA(),INDEX(Data!$B$4:$L$947,MATCH(Graphs!$CK383,Data!$A$4:$A$947,0),MATCH(Graphs!CP$4,Data!$B$3:$L$3,0)))</f>
        <v>#N/A</v>
      </c>
      <c r="CQ383" s="5"/>
      <c r="CR383" s="24">
        <f t="array" ref="CR383">IF(INDEX(Data!$P$4:$Z$947,MATCH(Graphs!$CK383,Data!$A$4:$A$947,0),MATCH(Graphs!CR$4,Data!$P$3:$Z$3,0))="n.q.",NA(),INDEX(Data!$P$4:$Z$947,MATCH(Graphs!$CK383,Data!$A$4:$A$947,0),MATCH(Graphs!CR$4,Data!$P$3:$Z$3,0)))</f>
        <v>152.4061343</v>
      </c>
      <c r="CS383" s="24">
        <f t="array" ref="CS383">IF(INDEX(Data!$P$4:$Z$947,MATCH(Graphs!$CK383,Data!$A$4:$A$947,0),MATCH(Graphs!CS$4,Data!$P$3:$Z$3,0))="n.q.",NA(),INDEX(Data!$P$4:$Z$947,MATCH(Graphs!$CK383,Data!$A$4:$A$947,0),MATCH(Graphs!CS$4,Data!$P$3:$Z$3,0)))</f>
        <v>181.65</v>
      </c>
      <c r="CT383" s="24">
        <f t="array" ref="CT383">IF(INDEX(Data!$P$4:$Z$947,MATCH(Graphs!$CK383,Data!$A$4:$A$947,0),MATCH(Graphs!CT$4,Data!$P$3:$Z$3,0))="n.q.",NA(),INDEX(Data!$P$4:$Z$947,MATCH(Graphs!$CK383,Data!$A$4:$A$947,0),MATCH(Graphs!CT$4,Data!$P$3:$Z$3,0)))</f>
        <v>147.1884365</v>
      </c>
      <c r="CU383" s="24" t="str">
        <f t="array" ref="CU383">IF(INDEX(Data!$P$4:$Z$947,MATCH(Graphs!$CK383,Data!$A$4:$A$947,0),MATCH(Graphs!CU$4,Data!$P$3:$Z$3,0))="n.q.",NA(),INDEX(Data!$P$4:$Z$947,MATCH(Graphs!$CK383,Data!$A$4:$A$947,0),MATCH(Graphs!CU$4,Data!$P$3:$Z$3,0)))</f>
        <v>#N/A</v>
      </c>
      <c r="CV383" s="24" t="str">
        <f t="array" ref="CV383">IF(INDEX(Data!$P$4:$Z$947,MATCH(Graphs!$CK383,Data!$A$4:$A$947,0),MATCH(Graphs!CV$4,Data!$P$3:$Z$3,0))="n.q.",NA(),INDEX(Data!$P$4:$Z$947,MATCH(Graphs!$CK383,Data!$A$4:$A$947,0),MATCH(Graphs!CV$4,Data!$P$3:$Z$3,0)))</f>
        <v>#N/A</v>
      </c>
    </row>
    <row r="384" ht="14.25" customHeight="1"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5"/>
      <c r="CK384" s="22">
        <f>Data!A365</f>
        <v>43439</v>
      </c>
      <c r="CL384" s="24">
        <f t="array" ref="CL384">IF(INDEX(Data!$B$4:$L$947,MATCH(Graphs!$CK384,Data!$A$4:$A$947,0),MATCH(Graphs!CL$4,Data!$B$3:$L$3,0))="n.q.",NA(),INDEX(Data!$B$4:$L$947,MATCH(Graphs!$CK384,Data!$A$4:$A$947,0),MATCH(Graphs!CL$4,Data!$B$3:$L$3,0)))</f>
        <v>232.99</v>
      </c>
      <c r="CM384" s="24">
        <f t="array" ref="CM384">IF(INDEX(Data!$B$4:$L$947,MATCH(Graphs!$CK384,Data!$A$4:$A$947,0),MATCH(Graphs!CM$4,Data!$B$3:$L$3,0))="n.q.",NA(),INDEX(Data!$B$4:$L$947,MATCH(Graphs!$CK384,Data!$A$4:$A$947,0),MATCH(Graphs!CM$4,Data!$B$3:$L$3,0)))</f>
        <v>235.71</v>
      </c>
      <c r="CN384" s="24">
        <f t="array" ref="CN384">IF(INDEX(Data!$B$4:$L$947,MATCH(Graphs!$CK384,Data!$A$4:$A$947,0),MATCH(Graphs!CN$4,Data!$B$3:$L$3,0))="n.q.",NA(),INDEX(Data!$B$4:$L$947,MATCH(Graphs!$CK384,Data!$A$4:$A$947,0),MATCH(Graphs!CN$4,Data!$B$3:$L$3,0)))</f>
        <v>217</v>
      </c>
      <c r="CO384" s="24" t="str">
        <f t="array" ref="CO384">IF(INDEX(Data!$B$4:$L$947,MATCH(Graphs!$CK384,Data!$A$4:$A$947,0),MATCH(Graphs!CO$4,Data!$B$3:$L$3,0))="n.q.",NA(),INDEX(Data!$B$4:$L$947,MATCH(Graphs!$CK384,Data!$A$4:$A$947,0),MATCH(Graphs!CO$4,Data!$B$3:$L$3,0)))</f>
        <v>#N/A</v>
      </c>
      <c r="CP384" s="24" t="str">
        <f t="array" ref="CP384">IF(INDEX(Data!$B$4:$L$947,MATCH(Graphs!$CK384,Data!$A$4:$A$947,0),MATCH(Graphs!CP$4,Data!$B$3:$L$3,0))="n.q.",NA(),INDEX(Data!$B$4:$L$947,MATCH(Graphs!$CK384,Data!$A$4:$A$947,0),MATCH(Graphs!CP$4,Data!$B$3:$L$3,0)))</f>
        <v>#N/A</v>
      </c>
      <c r="CQ384" s="5"/>
      <c r="CR384" s="24">
        <f t="array" ref="CR384">IF(INDEX(Data!$P$4:$Z$947,MATCH(Graphs!$CK384,Data!$A$4:$A$947,0),MATCH(Graphs!CR$4,Data!$P$3:$Z$3,0))="n.q.",NA(),INDEX(Data!$P$4:$Z$947,MATCH(Graphs!$CK384,Data!$A$4:$A$947,0),MATCH(Graphs!CR$4,Data!$P$3:$Z$3,0)))</f>
        <v>149.1809054</v>
      </c>
      <c r="CS384" s="24">
        <f t="array" ref="CS384">IF(INDEX(Data!$P$4:$Z$947,MATCH(Graphs!$CK384,Data!$A$4:$A$947,0),MATCH(Graphs!CS$4,Data!$P$3:$Z$3,0))="n.q.",NA(),INDEX(Data!$P$4:$Z$947,MATCH(Graphs!$CK384,Data!$A$4:$A$947,0),MATCH(Graphs!CS$4,Data!$P$3:$Z$3,0)))</f>
        <v>180.15</v>
      </c>
      <c r="CT384" s="24">
        <f t="array" ref="CT384">IF(INDEX(Data!$P$4:$Z$947,MATCH(Graphs!$CK384,Data!$A$4:$A$947,0),MATCH(Graphs!CT$4,Data!$P$3:$Z$3,0))="n.q.",NA(),INDEX(Data!$P$4:$Z$947,MATCH(Graphs!$CK384,Data!$A$4:$A$947,0),MATCH(Graphs!CT$4,Data!$P$3:$Z$3,0)))</f>
        <v>146.203981</v>
      </c>
      <c r="CU384" s="24" t="str">
        <f t="array" ref="CU384">IF(INDEX(Data!$P$4:$Z$947,MATCH(Graphs!$CK384,Data!$A$4:$A$947,0),MATCH(Graphs!CU$4,Data!$P$3:$Z$3,0))="n.q.",NA(),INDEX(Data!$P$4:$Z$947,MATCH(Graphs!$CK384,Data!$A$4:$A$947,0),MATCH(Graphs!CU$4,Data!$P$3:$Z$3,0)))</f>
        <v>#N/A</v>
      </c>
      <c r="CV384" s="24" t="str">
        <f t="array" ref="CV384">IF(INDEX(Data!$P$4:$Z$947,MATCH(Graphs!$CK384,Data!$A$4:$A$947,0),MATCH(Graphs!CV$4,Data!$P$3:$Z$3,0))="n.q.",NA(),INDEX(Data!$P$4:$Z$947,MATCH(Graphs!$CK384,Data!$A$4:$A$947,0),MATCH(Graphs!CV$4,Data!$P$3:$Z$3,0)))</f>
        <v>#N/A</v>
      </c>
    </row>
    <row r="385" ht="14.25" customHeight="1"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5"/>
      <c r="CK385" s="22">
        <f>Data!A366</f>
        <v>43432</v>
      </c>
      <c r="CL385" s="24">
        <f t="array" ref="CL385">IF(INDEX(Data!$B$4:$L$947,MATCH(Graphs!$CK385,Data!$A$4:$A$947,0),MATCH(Graphs!CL$4,Data!$B$3:$L$3,0))="n.q.",NA(),INDEX(Data!$B$4:$L$947,MATCH(Graphs!$CK385,Data!$A$4:$A$947,0),MATCH(Graphs!CL$4,Data!$B$3:$L$3,0)))</f>
        <v>232.01</v>
      </c>
      <c r="CM385" s="24">
        <f t="array" ref="CM385">IF(INDEX(Data!$B$4:$L$947,MATCH(Graphs!$CK385,Data!$A$4:$A$947,0),MATCH(Graphs!CM$4,Data!$B$3:$L$3,0))="n.q.",NA(),INDEX(Data!$B$4:$L$947,MATCH(Graphs!$CK385,Data!$A$4:$A$947,0),MATCH(Graphs!CM$4,Data!$B$3:$L$3,0)))</f>
        <v>230.38</v>
      </c>
      <c r="CN385" s="24">
        <f t="array" ref="CN385">IF(INDEX(Data!$B$4:$L$947,MATCH(Graphs!$CK385,Data!$A$4:$A$947,0),MATCH(Graphs!CN$4,Data!$B$3:$L$3,0))="n.q.",NA(),INDEX(Data!$B$4:$L$947,MATCH(Graphs!$CK385,Data!$A$4:$A$947,0),MATCH(Graphs!CN$4,Data!$B$3:$L$3,0)))</f>
        <v>215</v>
      </c>
      <c r="CO385" s="24" t="str">
        <f t="array" ref="CO385">IF(INDEX(Data!$B$4:$L$947,MATCH(Graphs!$CK385,Data!$A$4:$A$947,0),MATCH(Graphs!CO$4,Data!$B$3:$L$3,0))="n.q.",NA(),INDEX(Data!$B$4:$L$947,MATCH(Graphs!$CK385,Data!$A$4:$A$947,0),MATCH(Graphs!CO$4,Data!$B$3:$L$3,0)))</f>
        <v>#N/A</v>
      </c>
      <c r="CP385" s="24" t="str">
        <f t="array" ref="CP385">IF(INDEX(Data!$B$4:$L$947,MATCH(Graphs!$CK385,Data!$A$4:$A$947,0),MATCH(Graphs!CP$4,Data!$B$3:$L$3,0))="n.q.",NA(),INDEX(Data!$B$4:$L$947,MATCH(Graphs!$CK385,Data!$A$4:$A$947,0),MATCH(Graphs!CP$4,Data!$B$3:$L$3,0)))</f>
        <v>#N/A</v>
      </c>
      <c r="CQ385" s="5"/>
      <c r="CR385" s="24">
        <f t="array" ref="CR385">IF(INDEX(Data!$P$4:$Z$947,MATCH(Graphs!$CK385,Data!$A$4:$A$947,0),MATCH(Graphs!CR$4,Data!$P$3:$Z$3,0))="n.q.",NA(),INDEX(Data!$P$4:$Z$947,MATCH(Graphs!$CK385,Data!$A$4:$A$947,0),MATCH(Graphs!CR$4,Data!$P$3:$Z$3,0)))</f>
        <v>143.9117334</v>
      </c>
      <c r="CS385" s="24">
        <f t="array" ref="CS385">IF(INDEX(Data!$P$4:$Z$947,MATCH(Graphs!$CK385,Data!$A$4:$A$947,0),MATCH(Graphs!CS$4,Data!$P$3:$Z$3,0))="n.q.",NA(),INDEX(Data!$P$4:$Z$947,MATCH(Graphs!$CK385,Data!$A$4:$A$947,0),MATCH(Graphs!CS$4,Data!$P$3:$Z$3,0)))</f>
        <v>179.22</v>
      </c>
      <c r="CT385" s="24">
        <f t="array" ref="CT385">IF(INDEX(Data!$P$4:$Z$947,MATCH(Graphs!$CK385,Data!$A$4:$A$947,0),MATCH(Graphs!CT$4,Data!$P$3:$Z$3,0))="n.q.",NA(),INDEX(Data!$P$4:$Z$947,MATCH(Graphs!$CK385,Data!$A$4:$A$947,0),MATCH(Graphs!CT$4,Data!$P$3:$Z$3,0)))</f>
        <v>145.3385324</v>
      </c>
      <c r="CU385" s="24" t="str">
        <f t="array" ref="CU385">IF(INDEX(Data!$P$4:$Z$947,MATCH(Graphs!$CK385,Data!$A$4:$A$947,0),MATCH(Graphs!CU$4,Data!$P$3:$Z$3,0))="n.q.",NA(),INDEX(Data!$P$4:$Z$947,MATCH(Graphs!$CK385,Data!$A$4:$A$947,0),MATCH(Graphs!CU$4,Data!$P$3:$Z$3,0)))</f>
        <v>#N/A</v>
      </c>
      <c r="CV385" s="24" t="str">
        <f t="array" ref="CV385">IF(INDEX(Data!$P$4:$Z$947,MATCH(Graphs!$CK385,Data!$A$4:$A$947,0),MATCH(Graphs!CV$4,Data!$P$3:$Z$3,0))="n.q.",NA(),INDEX(Data!$P$4:$Z$947,MATCH(Graphs!$CK385,Data!$A$4:$A$947,0),MATCH(Graphs!CV$4,Data!$P$3:$Z$3,0)))</f>
        <v>#N/A</v>
      </c>
    </row>
    <row r="386" ht="14.25" customHeight="1"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5"/>
      <c r="CK386" s="22">
        <f>Data!A367</f>
        <v>43425</v>
      </c>
      <c r="CL386" s="24">
        <f t="array" ref="CL386">IF(INDEX(Data!$B$4:$L$947,MATCH(Graphs!$CK386,Data!$A$4:$A$947,0),MATCH(Graphs!CL$4,Data!$B$3:$L$3,0))="n.q.",NA(),INDEX(Data!$B$4:$L$947,MATCH(Graphs!$CK386,Data!$A$4:$A$947,0),MATCH(Graphs!CL$4,Data!$B$3:$L$3,0)))</f>
        <v>231.88</v>
      </c>
      <c r="CM386" s="24">
        <f t="array" ref="CM386">IF(INDEX(Data!$B$4:$L$947,MATCH(Graphs!$CK386,Data!$A$4:$A$947,0),MATCH(Graphs!CM$4,Data!$B$3:$L$3,0))="n.q.",NA(),INDEX(Data!$B$4:$L$947,MATCH(Graphs!$CK386,Data!$A$4:$A$947,0),MATCH(Graphs!CM$4,Data!$B$3:$L$3,0)))</f>
        <v>229.28</v>
      </c>
      <c r="CN386" s="24">
        <f t="array" ref="CN386">IF(INDEX(Data!$B$4:$L$947,MATCH(Graphs!$CK386,Data!$A$4:$A$947,0),MATCH(Graphs!CN$4,Data!$B$3:$L$3,0))="n.q.",NA(),INDEX(Data!$B$4:$L$947,MATCH(Graphs!$CK386,Data!$A$4:$A$947,0),MATCH(Graphs!CN$4,Data!$B$3:$L$3,0)))</f>
        <v>214</v>
      </c>
      <c r="CO386" s="24" t="str">
        <f t="array" ref="CO386">IF(INDEX(Data!$B$4:$L$947,MATCH(Graphs!$CK386,Data!$A$4:$A$947,0),MATCH(Graphs!CO$4,Data!$B$3:$L$3,0))="n.q.",NA(),INDEX(Data!$B$4:$L$947,MATCH(Graphs!$CK386,Data!$A$4:$A$947,0),MATCH(Graphs!CO$4,Data!$B$3:$L$3,0)))</f>
        <v>#N/A</v>
      </c>
      <c r="CP386" s="24" t="str">
        <f t="array" ref="CP386">IF(INDEX(Data!$B$4:$L$947,MATCH(Graphs!$CK386,Data!$A$4:$A$947,0),MATCH(Graphs!CP$4,Data!$B$3:$L$3,0))="n.q.",NA(),INDEX(Data!$B$4:$L$947,MATCH(Graphs!$CK386,Data!$A$4:$A$947,0),MATCH(Graphs!CP$4,Data!$B$3:$L$3,0)))</f>
        <v>#N/A</v>
      </c>
      <c r="CQ386" s="5"/>
      <c r="CR386" s="24">
        <f t="array" ref="CR386">IF(INDEX(Data!$P$4:$Z$947,MATCH(Graphs!$CK386,Data!$A$4:$A$947,0),MATCH(Graphs!CR$4,Data!$P$3:$Z$3,0))="n.q.",NA(),INDEX(Data!$P$4:$Z$947,MATCH(Graphs!$CK386,Data!$A$4:$A$947,0),MATCH(Graphs!CR$4,Data!$P$3:$Z$3,0)))</f>
        <v>142.7732492</v>
      </c>
      <c r="CS386" s="24">
        <f t="array" ref="CS386">IF(INDEX(Data!$P$4:$Z$947,MATCH(Graphs!$CK386,Data!$A$4:$A$947,0),MATCH(Graphs!CS$4,Data!$P$3:$Z$3,0))="n.q.",NA(),INDEX(Data!$P$4:$Z$947,MATCH(Graphs!$CK386,Data!$A$4:$A$947,0),MATCH(Graphs!CS$4,Data!$P$3:$Z$3,0)))</f>
        <v>177.72</v>
      </c>
      <c r="CT386" s="24">
        <f t="array" ref="CT386">IF(INDEX(Data!$P$4:$Z$947,MATCH(Graphs!$CK386,Data!$A$4:$A$947,0),MATCH(Graphs!CT$4,Data!$P$3:$Z$3,0))="n.q.",NA(),INDEX(Data!$P$4:$Z$947,MATCH(Graphs!$CK386,Data!$A$4:$A$947,0),MATCH(Graphs!CT$4,Data!$P$3:$Z$3,0)))</f>
        <v>145.4991673</v>
      </c>
      <c r="CU386" s="24" t="str">
        <f t="array" ref="CU386">IF(INDEX(Data!$P$4:$Z$947,MATCH(Graphs!$CK386,Data!$A$4:$A$947,0),MATCH(Graphs!CU$4,Data!$P$3:$Z$3,0))="n.q.",NA(),INDEX(Data!$P$4:$Z$947,MATCH(Graphs!$CK386,Data!$A$4:$A$947,0),MATCH(Graphs!CU$4,Data!$P$3:$Z$3,0)))</f>
        <v>#N/A</v>
      </c>
      <c r="CV386" s="24" t="str">
        <f t="array" ref="CV386">IF(INDEX(Data!$P$4:$Z$947,MATCH(Graphs!$CK386,Data!$A$4:$A$947,0),MATCH(Graphs!CV$4,Data!$P$3:$Z$3,0))="n.q.",NA(),INDEX(Data!$P$4:$Z$947,MATCH(Graphs!$CK386,Data!$A$4:$A$947,0),MATCH(Graphs!CV$4,Data!$P$3:$Z$3,0)))</f>
        <v>#N/A</v>
      </c>
    </row>
    <row r="387" ht="14.25" customHeight="1"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5"/>
      <c r="CK387" s="22">
        <f>Data!A368</f>
        <v>43418</v>
      </c>
      <c r="CL387" s="24">
        <f t="array" ref="CL387">IF(INDEX(Data!$B$4:$L$947,MATCH(Graphs!$CK387,Data!$A$4:$A$947,0),MATCH(Graphs!CL$4,Data!$B$3:$L$3,0))="n.q.",NA(),INDEX(Data!$B$4:$L$947,MATCH(Graphs!$CK387,Data!$A$4:$A$947,0),MATCH(Graphs!CL$4,Data!$B$3:$L$3,0)))</f>
        <v>233.54</v>
      </c>
      <c r="CM387" s="24">
        <f t="array" ref="CM387">IF(INDEX(Data!$B$4:$L$947,MATCH(Graphs!$CK387,Data!$A$4:$A$947,0),MATCH(Graphs!CM$4,Data!$B$3:$L$3,0))="n.q.",NA(),INDEX(Data!$B$4:$L$947,MATCH(Graphs!$CK387,Data!$A$4:$A$947,0),MATCH(Graphs!CM$4,Data!$B$3:$L$3,0)))</f>
        <v>230.02</v>
      </c>
      <c r="CN387" s="24">
        <f t="array" ref="CN387">IF(INDEX(Data!$B$4:$L$947,MATCH(Graphs!$CK387,Data!$A$4:$A$947,0),MATCH(Graphs!CN$4,Data!$B$3:$L$3,0))="n.q.",NA(),INDEX(Data!$B$4:$L$947,MATCH(Graphs!$CK387,Data!$A$4:$A$947,0),MATCH(Graphs!CN$4,Data!$B$3:$L$3,0)))</f>
        <v>214</v>
      </c>
      <c r="CO387" s="24" t="str">
        <f t="array" ref="CO387">IF(INDEX(Data!$B$4:$L$947,MATCH(Graphs!$CK387,Data!$A$4:$A$947,0),MATCH(Graphs!CO$4,Data!$B$3:$L$3,0))="n.q.",NA(),INDEX(Data!$B$4:$L$947,MATCH(Graphs!$CK387,Data!$A$4:$A$947,0),MATCH(Graphs!CO$4,Data!$B$3:$L$3,0)))</f>
        <v>#N/A</v>
      </c>
      <c r="CP387" s="24" t="str">
        <f t="array" ref="CP387">IF(INDEX(Data!$B$4:$L$947,MATCH(Graphs!$CK387,Data!$A$4:$A$947,0),MATCH(Graphs!CP$4,Data!$B$3:$L$3,0))="n.q.",NA(),INDEX(Data!$B$4:$L$947,MATCH(Graphs!$CK387,Data!$A$4:$A$947,0),MATCH(Graphs!CP$4,Data!$B$3:$L$3,0)))</f>
        <v>#N/A</v>
      </c>
      <c r="CQ387" s="5"/>
      <c r="CR387" s="24">
        <f t="array" ref="CR387">IF(INDEX(Data!$P$4:$Z$947,MATCH(Graphs!$CK387,Data!$A$4:$A$947,0),MATCH(Graphs!CR$4,Data!$P$3:$Z$3,0))="n.q.",NA(),INDEX(Data!$P$4:$Z$947,MATCH(Graphs!$CK387,Data!$A$4:$A$947,0),MATCH(Graphs!CR$4,Data!$P$3:$Z$3,0)))</f>
        <v>146.0251416</v>
      </c>
      <c r="CS387" s="24">
        <f t="array" ref="CS387">IF(INDEX(Data!$P$4:$Z$947,MATCH(Graphs!$CK387,Data!$A$4:$A$947,0),MATCH(Graphs!CS$4,Data!$P$3:$Z$3,0))="n.q.",NA(),INDEX(Data!$P$4:$Z$947,MATCH(Graphs!$CK387,Data!$A$4:$A$947,0),MATCH(Graphs!CS$4,Data!$P$3:$Z$3,0)))</f>
        <v>178.72</v>
      </c>
      <c r="CT387" s="24">
        <f t="array" ref="CT387">IF(INDEX(Data!$P$4:$Z$947,MATCH(Graphs!$CK387,Data!$A$4:$A$947,0),MATCH(Graphs!CT$4,Data!$P$3:$Z$3,0))="n.q.",NA(),INDEX(Data!$P$4:$Z$947,MATCH(Graphs!$CK387,Data!$A$4:$A$947,0),MATCH(Graphs!CT$4,Data!$P$3:$Z$3,0)))</f>
        <v>146.0694051</v>
      </c>
      <c r="CU387" s="24" t="str">
        <f t="array" ref="CU387">IF(INDEX(Data!$P$4:$Z$947,MATCH(Graphs!$CK387,Data!$A$4:$A$947,0),MATCH(Graphs!CU$4,Data!$P$3:$Z$3,0))="n.q.",NA(),INDEX(Data!$P$4:$Z$947,MATCH(Graphs!$CK387,Data!$A$4:$A$947,0),MATCH(Graphs!CU$4,Data!$P$3:$Z$3,0)))</f>
        <v>#N/A</v>
      </c>
      <c r="CV387" s="24" t="str">
        <f t="array" ref="CV387">IF(INDEX(Data!$P$4:$Z$947,MATCH(Graphs!$CK387,Data!$A$4:$A$947,0),MATCH(Graphs!CV$4,Data!$P$3:$Z$3,0))="n.q.",NA(),INDEX(Data!$P$4:$Z$947,MATCH(Graphs!$CK387,Data!$A$4:$A$947,0),MATCH(Graphs!CV$4,Data!$P$3:$Z$3,0)))</f>
        <v>#N/A</v>
      </c>
    </row>
    <row r="388" ht="14.25" customHeight="1"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5"/>
      <c r="CK388" s="22">
        <f>Data!A369</f>
        <v>43411</v>
      </c>
      <c r="CL388" s="24">
        <f t="array" ref="CL388">IF(INDEX(Data!$B$4:$L$947,MATCH(Graphs!$CK388,Data!$A$4:$A$947,0),MATCH(Graphs!CL$4,Data!$B$3:$L$3,0))="n.q.",NA(),INDEX(Data!$B$4:$L$947,MATCH(Graphs!$CK388,Data!$A$4:$A$947,0),MATCH(Graphs!CL$4,Data!$B$3:$L$3,0)))</f>
        <v>235.17</v>
      </c>
      <c r="CM388" s="24">
        <f t="array" ref="CM388">IF(INDEX(Data!$B$4:$L$947,MATCH(Graphs!$CK388,Data!$A$4:$A$947,0),MATCH(Graphs!CM$4,Data!$B$3:$L$3,0))="n.q.",NA(),INDEX(Data!$B$4:$L$947,MATCH(Graphs!$CK388,Data!$A$4:$A$947,0),MATCH(Graphs!CM$4,Data!$B$3:$L$3,0)))</f>
        <v>237.82</v>
      </c>
      <c r="CN388" s="24">
        <f t="array" ref="CN388">IF(INDEX(Data!$B$4:$L$947,MATCH(Graphs!$CK388,Data!$A$4:$A$947,0),MATCH(Graphs!CN$4,Data!$B$3:$L$3,0))="n.q.",NA(),INDEX(Data!$B$4:$L$947,MATCH(Graphs!$CK388,Data!$A$4:$A$947,0),MATCH(Graphs!CN$4,Data!$B$3:$L$3,0)))</f>
        <v>215</v>
      </c>
      <c r="CO388" s="24" t="str">
        <f t="array" ref="CO388">IF(INDEX(Data!$B$4:$L$947,MATCH(Graphs!$CK388,Data!$A$4:$A$947,0),MATCH(Graphs!CO$4,Data!$B$3:$L$3,0))="n.q.",NA(),INDEX(Data!$B$4:$L$947,MATCH(Graphs!$CK388,Data!$A$4:$A$947,0),MATCH(Graphs!CO$4,Data!$B$3:$L$3,0)))</f>
        <v>#N/A</v>
      </c>
      <c r="CP388" s="24" t="str">
        <f t="array" ref="CP388">IF(INDEX(Data!$B$4:$L$947,MATCH(Graphs!$CK388,Data!$A$4:$A$947,0),MATCH(Graphs!CP$4,Data!$B$3:$L$3,0))="n.q.",NA(),INDEX(Data!$B$4:$L$947,MATCH(Graphs!$CK388,Data!$A$4:$A$947,0),MATCH(Graphs!CP$4,Data!$B$3:$L$3,0)))</f>
        <v>#N/A</v>
      </c>
      <c r="CQ388" s="5"/>
      <c r="CR388" s="24">
        <f t="array" ref="CR388">IF(INDEX(Data!$P$4:$Z$947,MATCH(Graphs!$CK388,Data!$A$4:$A$947,0),MATCH(Graphs!CR$4,Data!$P$3:$Z$3,0))="n.q.",NA(),INDEX(Data!$P$4:$Z$947,MATCH(Graphs!$CK388,Data!$A$4:$A$947,0),MATCH(Graphs!CR$4,Data!$P$3:$Z$3,0)))</f>
        <v>144.7114129</v>
      </c>
      <c r="CS388" s="24">
        <f t="array" ref="CS388">IF(INDEX(Data!$P$4:$Z$947,MATCH(Graphs!$CK388,Data!$A$4:$A$947,0),MATCH(Graphs!CS$4,Data!$P$3:$Z$3,0))="n.q.",NA(),INDEX(Data!$P$4:$Z$947,MATCH(Graphs!$CK388,Data!$A$4:$A$947,0),MATCH(Graphs!CS$4,Data!$P$3:$Z$3,0)))</f>
        <v>173.72</v>
      </c>
      <c r="CT388" s="24">
        <f t="array" ref="CT388">IF(INDEX(Data!$P$4:$Z$947,MATCH(Graphs!$CK388,Data!$A$4:$A$947,0),MATCH(Graphs!CT$4,Data!$P$3:$Z$3,0))="n.q.",NA(),INDEX(Data!$P$4:$Z$947,MATCH(Graphs!$CK388,Data!$A$4:$A$947,0),MATCH(Graphs!CT$4,Data!$P$3:$Z$3,0)))</f>
        <v>144.5111866</v>
      </c>
      <c r="CU388" s="24" t="str">
        <f t="array" ref="CU388">IF(INDEX(Data!$P$4:$Z$947,MATCH(Graphs!$CK388,Data!$A$4:$A$947,0),MATCH(Graphs!CU$4,Data!$P$3:$Z$3,0))="n.q.",NA(),INDEX(Data!$P$4:$Z$947,MATCH(Graphs!$CK388,Data!$A$4:$A$947,0),MATCH(Graphs!CU$4,Data!$P$3:$Z$3,0)))</f>
        <v>#N/A</v>
      </c>
      <c r="CV388" s="24" t="str">
        <f t="array" ref="CV388">IF(INDEX(Data!$P$4:$Z$947,MATCH(Graphs!$CK388,Data!$A$4:$A$947,0),MATCH(Graphs!CV$4,Data!$P$3:$Z$3,0))="n.q.",NA(),INDEX(Data!$P$4:$Z$947,MATCH(Graphs!$CK388,Data!$A$4:$A$947,0),MATCH(Graphs!CV$4,Data!$P$3:$Z$3,0)))</f>
        <v>#N/A</v>
      </c>
    </row>
    <row r="389" ht="14.25" customHeight="1"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5"/>
      <c r="CK389" s="22">
        <f>Data!A370</f>
        <v>43404</v>
      </c>
      <c r="CL389" s="24">
        <f t="array" ref="CL389">IF(INDEX(Data!$B$4:$L$947,MATCH(Graphs!$CK389,Data!$A$4:$A$947,0),MATCH(Graphs!CL$4,Data!$B$3:$L$3,0))="n.q.",NA(),INDEX(Data!$B$4:$L$947,MATCH(Graphs!$CK389,Data!$A$4:$A$947,0),MATCH(Graphs!CL$4,Data!$B$3:$L$3,0)))</f>
        <v>228.4</v>
      </c>
      <c r="CM389" s="24">
        <f t="array" ref="CM389">IF(INDEX(Data!$B$4:$L$947,MATCH(Graphs!$CK389,Data!$A$4:$A$947,0),MATCH(Graphs!CM$4,Data!$B$3:$L$3,0))="n.q.",NA(),INDEX(Data!$B$4:$L$947,MATCH(Graphs!$CK389,Data!$A$4:$A$947,0),MATCH(Graphs!CM$4,Data!$B$3:$L$3,0)))</f>
        <v>234.52</v>
      </c>
      <c r="CN389" s="24">
        <f t="array" ref="CN389">IF(INDEX(Data!$B$4:$L$947,MATCH(Graphs!$CK389,Data!$A$4:$A$947,0),MATCH(Graphs!CN$4,Data!$B$3:$L$3,0))="n.q.",NA(),INDEX(Data!$B$4:$L$947,MATCH(Graphs!$CK389,Data!$A$4:$A$947,0),MATCH(Graphs!CN$4,Data!$B$3:$L$3,0)))</f>
        <v>214</v>
      </c>
      <c r="CO389" s="24" t="str">
        <f t="array" ref="CO389">IF(INDEX(Data!$B$4:$L$947,MATCH(Graphs!$CK389,Data!$A$4:$A$947,0),MATCH(Graphs!CO$4,Data!$B$3:$L$3,0))="n.q.",NA(),INDEX(Data!$B$4:$L$947,MATCH(Graphs!$CK389,Data!$A$4:$A$947,0),MATCH(Graphs!CO$4,Data!$B$3:$L$3,0)))</f>
        <v>#N/A</v>
      </c>
      <c r="CP389" s="24" t="str">
        <f t="array" ref="CP389">IF(INDEX(Data!$B$4:$L$947,MATCH(Graphs!$CK389,Data!$A$4:$A$947,0),MATCH(Graphs!CP$4,Data!$B$3:$L$3,0))="n.q.",NA(),INDEX(Data!$B$4:$L$947,MATCH(Graphs!$CK389,Data!$A$4:$A$947,0),MATCH(Graphs!CP$4,Data!$B$3:$L$3,0)))</f>
        <v>#N/A</v>
      </c>
      <c r="CQ389" s="5"/>
      <c r="CR389" s="24">
        <f t="array" ref="CR389">IF(INDEX(Data!$P$4:$Z$947,MATCH(Graphs!$CK389,Data!$A$4:$A$947,0),MATCH(Graphs!CR$4,Data!$P$3:$Z$3,0))="n.q.",NA(),INDEX(Data!$P$4:$Z$947,MATCH(Graphs!$CK389,Data!$A$4:$A$947,0),MATCH(Graphs!CR$4,Data!$P$3:$Z$3,0)))</f>
        <v>144.442481</v>
      </c>
      <c r="CS389" s="24">
        <f t="array" ref="CS389">IF(INDEX(Data!$P$4:$Z$947,MATCH(Graphs!$CK389,Data!$A$4:$A$947,0),MATCH(Graphs!CS$4,Data!$P$3:$Z$3,0))="n.q.",NA(),INDEX(Data!$P$4:$Z$947,MATCH(Graphs!$CK389,Data!$A$4:$A$947,0),MATCH(Graphs!CS$4,Data!$P$3:$Z$3,0)))</f>
        <v>173.29</v>
      </c>
      <c r="CT389" s="24">
        <f t="array" ref="CT389">IF(INDEX(Data!$P$4:$Z$947,MATCH(Graphs!$CK389,Data!$A$4:$A$947,0),MATCH(Graphs!CT$4,Data!$P$3:$Z$3,0))="n.q.",NA(),INDEX(Data!$P$4:$Z$947,MATCH(Graphs!$CK389,Data!$A$4:$A$947,0),MATCH(Graphs!CT$4,Data!$P$3:$Z$3,0)))</f>
        <v>143.1348295</v>
      </c>
      <c r="CU389" s="24" t="str">
        <f t="array" ref="CU389">IF(INDEX(Data!$P$4:$Z$947,MATCH(Graphs!$CK389,Data!$A$4:$A$947,0),MATCH(Graphs!CU$4,Data!$P$3:$Z$3,0))="n.q.",NA(),INDEX(Data!$P$4:$Z$947,MATCH(Graphs!$CK389,Data!$A$4:$A$947,0),MATCH(Graphs!CU$4,Data!$P$3:$Z$3,0)))</f>
        <v>#N/A</v>
      </c>
      <c r="CV389" s="24" t="str">
        <f t="array" ref="CV389">IF(INDEX(Data!$P$4:$Z$947,MATCH(Graphs!$CK389,Data!$A$4:$A$947,0),MATCH(Graphs!CV$4,Data!$P$3:$Z$3,0))="n.q.",NA(),INDEX(Data!$P$4:$Z$947,MATCH(Graphs!$CK389,Data!$A$4:$A$947,0),MATCH(Graphs!CV$4,Data!$P$3:$Z$3,0)))</f>
        <v>#N/A</v>
      </c>
    </row>
    <row r="390" ht="14.25" customHeight="1"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5"/>
      <c r="CK390" s="22">
        <f>Data!A371</f>
        <v>43397</v>
      </c>
      <c r="CL390" s="24">
        <f t="array" ref="CL390">IF(INDEX(Data!$B$4:$L$947,MATCH(Graphs!$CK390,Data!$A$4:$A$947,0),MATCH(Graphs!CL$4,Data!$B$3:$L$3,0))="n.q.",NA(),INDEX(Data!$B$4:$L$947,MATCH(Graphs!$CK390,Data!$A$4:$A$947,0),MATCH(Graphs!CL$4,Data!$B$3:$L$3,0)))</f>
        <v>232.01</v>
      </c>
      <c r="CM390" s="24">
        <f t="array" ref="CM390">IF(INDEX(Data!$B$4:$L$947,MATCH(Graphs!$CK390,Data!$A$4:$A$947,0),MATCH(Graphs!CM$4,Data!$B$3:$L$3,0))="n.q.",NA(),INDEX(Data!$B$4:$L$947,MATCH(Graphs!$CK390,Data!$A$4:$A$947,0),MATCH(Graphs!CM$4,Data!$B$3:$L$3,0)))</f>
        <v>235.89</v>
      </c>
      <c r="CN390" s="24">
        <f t="array" ref="CN390">IF(INDEX(Data!$B$4:$L$947,MATCH(Graphs!$CK390,Data!$A$4:$A$947,0),MATCH(Graphs!CN$4,Data!$B$3:$L$3,0))="n.q.",NA(),INDEX(Data!$B$4:$L$947,MATCH(Graphs!$CK390,Data!$A$4:$A$947,0),MATCH(Graphs!CN$4,Data!$B$3:$L$3,0)))</f>
        <v>215</v>
      </c>
      <c r="CO390" s="24" t="str">
        <f t="array" ref="CO390">IF(INDEX(Data!$B$4:$L$947,MATCH(Graphs!$CK390,Data!$A$4:$A$947,0),MATCH(Graphs!CO$4,Data!$B$3:$L$3,0))="n.q.",NA(),INDEX(Data!$B$4:$L$947,MATCH(Graphs!$CK390,Data!$A$4:$A$947,0),MATCH(Graphs!CO$4,Data!$B$3:$L$3,0)))</f>
        <v>#N/A</v>
      </c>
      <c r="CP390" s="24" t="str">
        <f t="array" ref="CP390">IF(INDEX(Data!$B$4:$L$947,MATCH(Graphs!$CK390,Data!$A$4:$A$947,0),MATCH(Graphs!CP$4,Data!$B$3:$L$3,0))="n.q.",NA(),INDEX(Data!$B$4:$L$947,MATCH(Graphs!$CK390,Data!$A$4:$A$947,0),MATCH(Graphs!CP$4,Data!$B$3:$L$3,0)))</f>
        <v>#N/A</v>
      </c>
      <c r="CQ390" s="5"/>
      <c r="CR390" s="24">
        <f t="array" ref="CR390">IF(INDEX(Data!$P$4:$Z$947,MATCH(Graphs!$CK390,Data!$A$4:$A$947,0),MATCH(Graphs!CR$4,Data!$P$3:$Z$3,0))="n.q.",NA(),INDEX(Data!$P$4:$Z$947,MATCH(Graphs!$CK390,Data!$A$4:$A$947,0),MATCH(Graphs!CR$4,Data!$P$3:$Z$3,0)))</f>
        <v>144.5781017</v>
      </c>
      <c r="CS390" s="24">
        <f t="array" ref="CS390">IF(INDEX(Data!$P$4:$Z$947,MATCH(Graphs!$CK390,Data!$A$4:$A$947,0),MATCH(Graphs!CS$4,Data!$P$3:$Z$3,0))="n.q.",NA(),INDEX(Data!$P$4:$Z$947,MATCH(Graphs!$CK390,Data!$A$4:$A$947,0),MATCH(Graphs!CS$4,Data!$P$3:$Z$3,0)))</f>
        <v>171.79</v>
      </c>
      <c r="CT390" s="24">
        <f t="array" ref="CT390">IF(INDEX(Data!$P$4:$Z$947,MATCH(Graphs!$CK390,Data!$A$4:$A$947,0),MATCH(Graphs!CT$4,Data!$P$3:$Z$3,0))="n.q.",NA(),INDEX(Data!$P$4:$Z$947,MATCH(Graphs!$CK390,Data!$A$4:$A$947,0),MATCH(Graphs!CT$4,Data!$P$3:$Z$3,0)))</f>
        <v>142.2425147</v>
      </c>
      <c r="CU390" s="24" t="str">
        <f t="array" ref="CU390">IF(INDEX(Data!$P$4:$Z$947,MATCH(Graphs!$CK390,Data!$A$4:$A$947,0),MATCH(Graphs!CU$4,Data!$P$3:$Z$3,0))="n.q.",NA(),INDEX(Data!$P$4:$Z$947,MATCH(Graphs!$CK390,Data!$A$4:$A$947,0),MATCH(Graphs!CU$4,Data!$P$3:$Z$3,0)))</f>
        <v>#N/A</v>
      </c>
      <c r="CV390" s="24" t="str">
        <f t="array" ref="CV390">IF(INDEX(Data!$P$4:$Z$947,MATCH(Graphs!$CK390,Data!$A$4:$A$947,0),MATCH(Graphs!CV$4,Data!$P$3:$Z$3,0))="n.q.",NA(),INDEX(Data!$P$4:$Z$947,MATCH(Graphs!$CK390,Data!$A$4:$A$947,0),MATCH(Graphs!CV$4,Data!$P$3:$Z$3,0)))</f>
        <v>#N/A</v>
      </c>
    </row>
    <row r="391" ht="14.25" customHeight="1"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5"/>
      <c r="CK391" s="22">
        <f>Data!A372</f>
        <v>43390</v>
      </c>
      <c r="CL391" s="24">
        <f t="array" ref="CL391">IF(INDEX(Data!$B$4:$L$947,MATCH(Graphs!$CK391,Data!$A$4:$A$947,0),MATCH(Graphs!CL$4,Data!$B$3:$L$3,0))="n.q.",NA(),INDEX(Data!$B$4:$L$947,MATCH(Graphs!$CK391,Data!$A$4:$A$947,0),MATCH(Graphs!CL$4,Data!$B$3:$L$3,0)))</f>
        <v>237.05</v>
      </c>
      <c r="CM391" s="24">
        <f t="array" ref="CM391">IF(INDEX(Data!$B$4:$L$947,MATCH(Graphs!$CK391,Data!$A$4:$A$947,0),MATCH(Graphs!CM$4,Data!$B$3:$L$3,0))="n.q.",NA(),INDEX(Data!$B$4:$L$947,MATCH(Graphs!$CK391,Data!$A$4:$A$947,0),MATCH(Graphs!CM$4,Data!$B$3:$L$3,0)))</f>
        <v>241.04</v>
      </c>
      <c r="CN391" s="24">
        <f t="array" ref="CN391">IF(INDEX(Data!$B$4:$L$947,MATCH(Graphs!$CK391,Data!$A$4:$A$947,0),MATCH(Graphs!CN$4,Data!$B$3:$L$3,0))="n.q.",NA(),INDEX(Data!$B$4:$L$947,MATCH(Graphs!$CK391,Data!$A$4:$A$947,0),MATCH(Graphs!CN$4,Data!$B$3:$L$3,0)))</f>
        <v>213</v>
      </c>
      <c r="CO391" s="24" t="str">
        <f t="array" ref="CO391">IF(INDEX(Data!$B$4:$L$947,MATCH(Graphs!$CK391,Data!$A$4:$A$947,0),MATCH(Graphs!CO$4,Data!$B$3:$L$3,0))="n.q.",NA(),INDEX(Data!$B$4:$L$947,MATCH(Graphs!$CK391,Data!$A$4:$A$947,0),MATCH(Graphs!CO$4,Data!$B$3:$L$3,0)))</f>
        <v>#N/A</v>
      </c>
      <c r="CP391" s="24" t="str">
        <f t="array" ref="CP391">IF(INDEX(Data!$B$4:$L$947,MATCH(Graphs!$CK391,Data!$A$4:$A$947,0),MATCH(Graphs!CP$4,Data!$B$3:$L$3,0))="n.q.",NA(),INDEX(Data!$B$4:$L$947,MATCH(Graphs!$CK391,Data!$A$4:$A$947,0),MATCH(Graphs!CP$4,Data!$B$3:$L$3,0)))</f>
        <v>#N/A</v>
      </c>
      <c r="CQ391" s="5"/>
      <c r="CR391" s="24">
        <f t="array" ref="CR391">IF(INDEX(Data!$P$4:$Z$947,MATCH(Graphs!$CK391,Data!$A$4:$A$947,0),MATCH(Graphs!CR$4,Data!$P$3:$Z$3,0))="n.q.",NA(),INDEX(Data!$P$4:$Z$947,MATCH(Graphs!$CK391,Data!$A$4:$A$947,0),MATCH(Graphs!CR$4,Data!$P$3:$Z$3,0)))</f>
        <v>146.2185603</v>
      </c>
      <c r="CS391" s="24" t="str">
        <f t="array" ref="CS391">IF(INDEX(Data!$P$4:$Z$947,MATCH(Graphs!$CK391,Data!$A$4:$A$947,0),MATCH(Graphs!CS$4,Data!$P$3:$Z$3,0))="n.q.",NA(),INDEX(Data!$P$4:$Z$947,MATCH(Graphs!$CK391,Data!$A$4:$A$947,0),MATCH(Graphs!CS$4,Data!$P$3:$Z$3,0)))</f>
        <v>#N/A</v>
      </c>
      <c r="CT391" s="24">
        <f t="array" ref="CT391">IF(INDEX(Data!$P$4:$Z$947,MATCH(Graphs!$CK391,Data!$A$4:$A$947,0),MATCH(Graphs!CT$4,Data!$P$3:$Z$3,0))="n.q.",NA(),INDEX(Data!$P$4:$Z$947,MATCH(Graphs!$CK391,Data!$A$4:$A$947,0),MATCH(Graphs!CT$4,Data!$P$3:$Z$3,0)))</f>
        <v>143.9722463</v>
      </c>
      <c r="CU391" s="24" t="str">
        <f t="array" ref="CU391">IF(INDEX(Data!$P$4:$Z$947,MATCH(Graphs!$CK391,Data!$A$4:$A$947,0),MATCH(Graphs!CU$4,Data!$P$3:$Z$3,0))="n.q.",NA(),INDEX(Data!$P$4:$Z$947,MATCH(Graphs!$CK391,Data!$A$4:$A$947,0),MATCH(Graphs!CU$4,Data!$P$3:$Z$3,0)))</f>
        <v>#N/A</v>
      </c>
      <c r="CV391" s="24" t="str">
        <f t="array" ref="CV391">IF(INDEX(Data!$P$4:$Z$947,MATCH(Graphs!$CK391,Data!$A$4:$A$947,0),MATCH(Graphs!CV$4,Data!$P$3:$Z$3,0))="n.q.",NA(),INDEX(Data!$P$4:$Z$947,MATCH(Graphs!$CK391,Data!$A$4:$A$947,0),MATCH(Graphs!CV$4,Data!$P$3:$Z$3,0)))</f>
        <v>#N/A</v>
      </c>
    </row>
    <row r="392" ht="14.25" customHeight="1"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5"/>
      <c r="CK392" s="22">
        <f>Data!A373</f>
        <v>43383</v>
      </c>
      <c r="CL392" s="24">
        <f t="array" ref="CL392">IF(INDEX(Data!$B$4:$L$947,MATCH(Graphs!$CK392,Data!$A$4:$A$947,0),MATCH(Graphs!CL$4,Data!$B$3:$L$3,0))="n.q.",NA(),INDEX(Data!$B$4:$L$947,MATCH(Graphs!$CK392,Data!$A$4:$A$947,0),MATCH(Graphs!CL$4,Data!$B$3:$L$3,0)))</f>
        <v>238.25</v>
      </c>
      <c r="CM392" s="24">
        <f t="array" ref="CM392">IF(INDEX(Data!$B$4:$L$947,MATCH(Graphs!$CK392,Data!$A$4:$A$947,0),MATCH(Graphs!CM$4,Data!$B$3:$L$3,0))="n.q.",NA(),INDEX(Data!$B$4:$L$947,MATCH(Graphs!$CK392,Data!$A$4:$A$947,0),MATCH(Graphs!CM$4,Data!$B$3:$L$3,0)))</f>
        <v>237.46</v>
      </c>
      <c r="CN392" s="24">
        <f t="array" ref="CN392">IF(INDEX(Data!$B$4:$L$947,MATCH(Graphs!$CK392,Data!$A$4:$A$947,0),MATCH(Graphs!CN$4,Data!$B$3:$L$3,0))="n.q.",NA(),INDEX(Data!$B$4:$L$947,MATCH(Graphs!$CK392,Data!$A$4:$A$947,0),MATCH(Graphs!CN$4,Data!$B$3:$L$3,0)))</f>
        <v>209</v>
      </c>
      <c r="CO392" s="24" t="str">
        <f t="array" ref="CO392">IF(INDEX(Data!$B$4:$L$947,MATCH(Graphs!$CK392,Data!$A$4:$A$947,0),MATCH(Graphs!CO$4,Data!$B$3:$L$3,0))="n.q.",NA(),INDEX(Data!$B$4:$L$947,MATCH(Graphs!$CK392,Data!$A$4:$A$947,0),MATCH(Graphs!CO$4,Data!$B$3:$L$3,0)))</f>
        <v>#N/A</v>
      </c>
      <c r="CP392" s="24" t="str">
        <f t="array" ref="CP392">IF(INDEX(Data!$B$4:$L$947,MATCH(Graphs!$CK392,Data!$A$4:$A$947,0),MATCH(Graphs!CP$4,Data!$B$3:$L$3,0))="n.q.",NA(),INDEX(Data!$B$4:$L$947,MATCH(Graphs!$CK392,Data!$A$4:$A$947,0),MATCH(Graphs!CP$4,Data!$B$3:$L$3,0)))</f>
        <v>#N/A</v>
      </c>
      <c r="CQ392" s="5"/>
      <c r="CR392" s="24">
        <f t="array" ref="CR392">IF(INDEX(Data!$P$4:$Z$947,MATCH(Graphs!$CK392,Data!$A$4:$A$947,0),MATCH(Graphs!CR$4,Data!$P$3:$Z$3,0))="n.q.",NA(),INDEX(Data!$P$4:$Z$947,MATCH(Graphs!$CK392,Data!$A$4:$A$947,0),MATCH(Graphs!CR$4,Data!$P$3:$Z$3,0)))</f>
        <v>143.0086957</v>
      </c>
      <c r="CS392" s="24">
        <f t="array" ref="CS392">IF(INDEX(Data!$P$4:$Z$947,MATCH(Graphs!$CK392,Data!$A$4:$A$947,0),MATCH(Graphs!CS$4,Data!$P$3:$Z$3,0))="n.q.",NA(),INDEX(Data!$P$4:$Z$947,MATCH(Graphs!$CK392,Data!$A$4:$A$947,0),MATCH(Graphs!CS$4,Data!$P$3:$Z$3,0)))</f>
        <v>175.79</v>
      </c>
      <c r="CT392" s="24">
        <f t="array" ref="CT392">IF(INDEX(Data!$P$4:$Z$947,MATCH(Graphs!$CK392,Data!$A$4:$A$947,0),MATCH(Graphs!CT$4,Data!$P$3:$Z$3,0))="n.q.",NA(),INDEX(Data!$P$4:$Z$947,MATCH(Graphs!$CK392,Data!$A$4:$A$947,0),MATCH(Graphs!CT$4,Data!$P$3:$Z$3,0)))</f>
        <v>145.2173913</v>
      </c>
      <c r="CU392" s="24" t="str">
        <f t="array" ref="CU392">IF(INDEX(Data!$P$4:$Z$947,MATCH(Graphs!$CK392,Data!$A$4:$A$947,0),MATCH(Graphs!CU$4,Data!$P$3:$Z$3,0))="n.q.",NA(),INDEX(Data!$P$4:$Z$947,MATCH(Graphs!$CK392,Data!$A$4:$A$947,0),MATCH(Graphs!CU$4,Data!$P$3:$Z$3,0)))</f>
        <v>#N/A</v>
      </c>
      <c r="CV392" s="24" t="str">
        <f t="array" ref="CV392">IF(INDEX(Data!$P$4:$Z$947,MATCH(Graphs!$CK392,Data!$A$4:$A$947,0),MATCH(Graphs!CV$4,Data!$P$3:$Z$3,0))="n.q.",NA(),INDEX(Data!$P$4:$Z$947,MATCH(Graphs!$CK392,Data!$A$4:$A$947,0),MATCH(Graphs!CV$4,Data!$P$3:$Z$3,0)))</f>
        <v>#N/A</v>
      </c>
    </row>
    <row r="393" ht="14.25" customHeight="1"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5"/>
      <c r="CK393" s="22">
        <f>Data!A374</f>
        <v>43376</v>
      </c>
      <c r="CL393" s="24">
        <f t="array" ref="CL393">IF(INDEX(Data!$B$4:$L$947,MATCH(Graphs!$CK393,Data!$A$4:$A$947,0),MATCH(Graphs!CL$4,Data!$B$3:$L$3,0))="n.q.",NA(),INDEX(Data!$B$4:$L$947,MATCH(Graphs!$CK393,Data!$A$4:$A$947,0),MATCH(Graphs!CL$4,Data!$B$3:$L$3,0)))</f>
        <v>236.06</v>
      </c>
      <c r="CM393" s="24">
        <f t="array" ref="CM393">IF(INDEX(Data!$B$4:$L$947,MATCH(Graphs!$CK393,Data!$A$4:$A$947,0),MATCH(Graphs!CM$4,Data!$B$3:$L$3,0))="n.q.",NA(),INDEX(Data!$B$4:$L$947,MATCH(Graphs!$CK393,Data!$A$4:$A$947,0),MATCH(Graphs!CM$4,Data!$B$3:$L$3,0)))</f>
        <v>240.21</v>
      </c>
      <c r="CN393" s="24">
        <f t="array" ref="CN393">IF(INDEX(Data!$B$4:$L$947,MATCH(Graphs!$CK393,Data!$A$4:$A$947,0),MATCH(Graphs!CN$4,Data!$B$3:$L$3,0))="n.q.",NA(),INDEX(Data!$B$4:$L$947,MATCH(Graphs!$CK393,Data!$A$4:$A$947,0),MATCH(Graphs!CN$4,Data!$B$3:$L$3,0)))</f>
        <v>208</v>
      </c>
      <c r="CO393" s="24" t="str">
        <f t="array" ref="CO393">IF(INDEX(Data!$B$4:$L$947,MATCH(Graphs!$CK393,Data!$A$4:$A$947,0),MATCH(Graphs!CO$4,Data!$B$3:$L$3,0))="n.q.",NA(),INDEX(Data!$B$4:$L$947,MATCH(Graphs!$CK393,Data!$A$4:$A$947,0),MATCH(Graphs!CO$4,Data!$B$3:$L$3,0)))</f>
        <v>#N/A</v>
      </c>
      <c r="CP393" s="24" t="str">
        <f t="array" ref="CP393">IF(INDEX(Data!$B$4:$L$947,MATCH(Graphs!$CK393,Data!$A$4:$A$947,0),MATCH(Graphs!CP$4,Data!$B$3:$L$3,0))="n.q.",NA(),INDEX(Data!$B$4:$L$947,MATCH(Graphs!$CK393,Data!$A$4:$A$947,0),MATCH(Graphs!CP$4,Data!$B$3:$L$3,0)))</f>
        <v>#N/A</v>
      </c>
      <c r="CQ393" s="5"/>
      <c r="CR393" s="24">
        <f t="array" ref="CR393">IF(INDEX(Data!$P$4:$Z$947,MATCH(Graphs!$CK393,Data!$A$4:$A$947,0),MATCH(Graphs!CR$4,Data!$P$3:$Z$3,0))="n.q.",NA(),INDEX(Data!$P$4:$Z$947,MATCH(Graphs!$CK393,Data!$A$4:$A$947,0),MATCH(Graphs!CR$4,Data!$P$3:$Z$3,0)))</f>
        <v>139.6865258</v>
      </c>
      <c r="CS393" s="24">
        <f t="array" ref="CS393">IF(INDEX(Data!$P$4:$Z$947,MATCH(Graphs!$CK393,Data!$A$4:$A$947,0),MATCH(Graphs!CS$4,Data!$P$3:$Z$3,0))="n.q.",NA(),INDEX(Data!$P$4:$Z$947,MATCH(Graphs!$CK393,Data!$A$4:$A$947,0),MATCH(Graphs!CS$4,Data!$P$3:$Z$3,0)))</f>
        <v>178.79</v>
      </c>
      <c r="CT393" s="24">
        <f t="array" ref="CT393">IF(INDEX(Data!$P$4:$Z$947,MATCH(Graphs!$CK393,Data!$A$4:$A$947,0),MATCH(Graphs!CT$4,Data!$P$3:$Z$3,0))="n.q.",NA(),INDEX(Data!$P$4:$Z$947,MATCH(Graphs!$CK393,Data!$A$4:$A$947,0),MATCH(Graphs!CT$4,Data!$P$3:$Z$3,0)))</f>
        <v>146.3456876</v>
      </c>
      <c r="CU393" s="24" t="str">
        <f t="array" ref="CU393">IF(INDEX(Data!$P$4:$Z$947,MATCH(Graphs!$CK393,Data!$A$4:$A$947,0),MATCH(Graphs!CU$4,Data!$P$3:$Z$3,0))="n.q.",NA(),INDEX(Data!$P$4:$Z$947,MATCH(Graphs!$CK393,Data!$A$4:$A$947,0),MATCH(Graphs!CU$4,Data!$P$3:$Z$3,0)))</f>
        <v>#N/A</v>
      </c>
      <c r="CV393" s="24" t="str">
        <f t="array" ref="CV393">IF(INDEX(Data!$P$4:$Z$947,MATCH(Graphs!$CK393,Data!$A$4:$A$947,0),MATCH(Graphs!CV$4,Data!$P$3:$Z$3,0))="n.q.",NA(),INDEX(Data!$P$4:$Z$947,MATCH(Graphs!$CK393,Data!$A$4:$A$947,0),MATCH(Graphs!CV$4,Data!$P$3:$Z$3,0)))</f>
        <v>#N/A</v>
      </c>
    </row>
    <row r="394" ht="14.25" customHeight="1"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5"/>
      <c r="CK394" s="22">
        <f>Data!A375</f>
        <v>43369</v>
      </c>
      <c r="CL394" s="24">
        <f t="array" ref="CL394">IF(INDEX(Data!$B$4:$L$947,MATCH(Graphs!$CK394,Data!$A$4:$A$947,0),MATCH(Graphs!CL$4,Data!$B$3:$L$3,0))="n.q.",NA(),INDEX(Data!$B$4:$L$947,MATCH(Graphs!$CK394,Data!$A$4:$A$947,0),MATCH(Graphs!CL$4,Data!$B$3:$L$3,0)))</f>
        <v>241.02</v>
      </c>
      <c r="CM394" s="24">
        <f t="array" ref="CM394">IF(INDEX(Data!$B$4:$L$947,MATCH(Graphs!$CK394,Data!$A$4:$A$947,0),MATCH(Graphs!CM$4,Data!$B$3:$L$3,0))="n.q.",NA(),INDEX(Data!$B$4:$L$947,MATCH(Graphs!$CK394,Data!$A$4:$A$947,0),MATCH(Graphs!CM$4,Data!$B$3:$L$3,0)))</f>
        <v>242.88</v>
      </c>
      <c r="CN394" s="24">
        <f t="array" ref="CN394">IF(INDEX(Data!$B$4:$L$947,MATCH(Graphs!$CK394,Data!$A$4:$A$947,0),MATCH(Graphs!CN$4,Data!$B$3:$L$3,0))="n.q.",NA(),INDEX(Data!$B$4:$L$947,MATCH(Graphs!$CK394,Data!$A$4:$A$947,0),MATCH(Graphs!CN$4,Data!$B$3:$L$3,0)))</f>
        <v>201</v>
      </c>
      <c r="CO394" s="24" t="str">
        <f t="array" ref="CO394">IF(INDEX(Data!$B$4:$L$947,MATCH(Graphs!$CK394,Data!$A$4:$A$947,0),MATCH(Graphs!CO$4,Data!$B$3:$L$3,0))="n.q.",NA(),INDEX(Data!$B$4:$L$947,MATCH(Graphs!$CK394,Data!$A$4:$A$947,0),MATCH(Graphs!CO$4,Data!$B$3:$L$3,0)))</f>
        <v>#N/A</v>
      </c>
      <c r="CP394" s="24" t="str">
        <f t="array" ref="CP394">IF(INDEX(Data!$B$4:$L$947,MATCH(Graphs!$CK394,Data!$A$4:$A$947,0),MATCH(Graphs!CP$4,Data!$B$3:$L$3,0))="n.q.",NA(),INDEX(Data!$B$4:$L$947,MATCH(Graphs!$CK394,Data!$A$4:$A$947,0),MATCH(Graphs!CP$4,Data!$B$3:$L$3,0)))</f>
        <v>#N/A</v>
      </c>
      <c r="CQ394" s="5"/>
      <c r="CR394" s="24">
        <f t="array" ref="CR394">IF(INDEX(Data!$P$4:$Z$947,MATCH(Graphs!$CK394,Data!$A$4:$A$947,0),MATCH(Graphs!CR$4,Data!$P$3:$Z$3,0))="n.q.",NA(),INDEX(Data!$P$4:$Z$947,MATCH(Graphs!$CK394,Data!$A$4:$A$947,0),MATCH(Graphs!CR$4,Data!$P$3:$Z$3,0)))</f>
        <v>137.5223652</v>
      </c>
      <c r="CS394" s="24">
        <f t="array" ref="CS394">IF(INDEX(Data!$P$4:$Z$947,MATCH(Graphs!$CK394,Data!$A$4:$A$947,0),MATCH(Graphs!CS$4,Data!$P$3:$Z$3,0))="n.q.",NA(),INDEX(Data!$P$4:$Z$947,MATCH(Graphs!$CK394,Data!$A$4:$A$947,0),MATCH(Graphs!CS$4,Data!$P$3:$Z$3,0)))</f>
        <v>177.79</v>
      </c>
      <c r="CT394" s="24">
        <f t="array" ref="CT394">IF(INDEX(Data!$P$4:$Z$947,MATCH(Graphs!$CK394,Data!$A$4:$A$947,0),MATCH(Graphs!CT$4,Data!$P$3:$Z$3,0))="n.q.",NA(),INDEX(Data!$P$4:$Z$947,MATCH(Graphs!$CK394,Data!$A$4:$A$947,0),MATCH(Graphs!CT$4,Data!$P$3:$Z$3,0)))</f>
        <v>143.9890943</v>
      </c>
      <c r="CU394" s="24" t="str">
        <f t="array" ref="CU394">IF(INDEX(Data!$P$4:$Z$947,MATCH(Graphs!$CK394,Data!$A$4:$A$947,0),MATCH(Graphs!CU$4,Data!$P$3:$Z$3,0))="n.q.",NA(),INDEX(Data!$P$4:$Z$947,MATCH(Graphs!$CK394,Data!$A$4:$A$947,0),MATCH(Graphs!CU$4,Data!$P$3:$Z$3,0)))</f>
        <v>#N/A</v>
      </c>
      <c r="CV394" s="24" t="str">
        <f t="array" ref="CV394">IF(INDEX(Data!$P$4:$Z$947,MATCH(Graphs!$CK394,Data!$A$4:$A$947,0),MATCH(Graphs!CV$4,Data!$P$3:$Z$3,0))="n.q.",NA(),INDEX(Data!$P$4:$Z$947,MATCH(Graphs!$CK394,Data!$A$4:$A$947,0),MATCH(Graphs!CV$4,Data!$P$3:$Z$3,0)))</f>
        <v>#N/A</v>
      </c>
    </row>
    <row r="395" ht="14.25" customHeight="1"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5"/>
      <c r="CK395" s="22">
        <f>Data!A376</f>
        <v>43362</v>
      </c>
      <c r="CL395" s="24">
        <f t="array" ref="CL395">IF(INDEX(Data!$B$4:$L$947,MATCH(Graphs!$CK395,Data!$A$4:$A$947,0),MATCH(Graphs!CL$4,Data!$B$3:$L$3,0))="n.q.",NA(),INDEX(Data!$B$4:$L$947,MATCH(Graphs!$CK395,Data!$A$4:$A$947,0),MATCH(Graphs!CL$4,Data!$B$3:$L$3,0)))</f>
        <v>238.84</v>
      </c>
      <c r="CM395" s="24">
        <f t="array" ref="CM395">IF(INDEX(Data!$B$4:$L$947,MATCH(Graphs!$CK395,Data!$A$4:$A$947,0),MATCH(Graphs!CM$4,Data!$B$3:$L$3,0))="n.q.",NA(),INDEX(Data!$B$4:$L$947,MATCH(Graphs!$CK395,Data!$A$4:$A$947,0),MATCH(Graphs!CM$4,Data!$B$3:$L$3,0)))</f>
        <v>244.8</v>
      </c>
      <c r="CN395" s="24">
        <f t="array" ref="CN395">IF(INDEX(Data!$B$4:$L$947,MATCH(Graphs!$CK395,Data!$A$4:$A$947,0),MATCH(Graphs!CN$4,Data!$B$3:$L$3,0))="n.q.",NA(),INDEX(Data!$B$4:$L$947,MATCH(Graphs!$CK395,Data!$A$4:$A$947,0),MATCH(Graphs!CN$4,Data!$B$3:$L$3,0)))</f>
        <v>197</v>
      </c>
      <c r="CO395" s="24" t="str">
        <f t="array" ref="CO395">IF(INDEX(Data!$B$4:$L$947,MATCH(Graphs!$CK395,Data!$A$4:$A$947,0),MATCH(Graphs!CO$4,Data!$B$3:$L$3,0))="n.q.",NA(),INDEX(Data!$B$4:$L$947,MATCH(Graphs!$CK395,Data!$A$4:$A$947,0),MATCH(Graphs!CO$4,Data!$B$3:$L$3,0)))</f>
        <v>#N/A</v>
      </c>
      <c r="CP395" s="24" t="str">
        <f t="array" ref="CP395">IF(INDEX(Data!$B$4:$L$947,MATCH(Graphs!$CK395,Data!$A$4:$A$947,0),MATCH(Graphs!CP$4,Data!$B$3:$L$3,0))="n.q.",NA(),INDEX(Data!$B$4:$L$947,MATCH(Graphs!$CK395,Data!$A$4:$A$947,0),MATCH(Graphs!CP$4,Data!$B$3:$L$3,0)))</f>
        <v>#N/A</v>
      </c>
      <c r="CQ395" s="5"/>
      <c r="CR395" s="24">
        <f t="array" ref="CR395">IF(INDEX(Data!$P$4:$Z$947,MATCH(Graphs!$CK395,Data!$A$4:$A$947,0),MATCH(Graphs!CR$4,Data!$P$3:$Z$3,0))="n.q.",NA(),INDEX(Data!$P$4:$Z$947,MATCH(Graphs!$CK395,Data!$A$4:$A$947,0),MATCH(Graphs!CR$4,Data!$P$3:$Z$3,0)))</f>
        <v>130.5048427</v>
      </c>
      <c r="CS395" s="24">
        <f t="array" ref="CS395">IF(INDEX(Data!$P$4:$Z$947,MATCH(Graphs!$CK395,Data!$A$4:$A$947,0),MATCH(Graphs!CS$4,Data!$P$3:$Z$3,0))="n.q.",NA(),INDEX(Data!$P$4:$Z$947,MATCH(Graphs!$CK395,Data!$A$4:$A$947,0),MATCH(Graphs!CS$4,Data!$P$3:$Z$3,0)))</f>
        <v>176.29</v>
      </c>
      <c r="CT395" s="24">
        <f t="array" ref="CT395">IF(INDEX(Data!$P$4:$Z$947,MATCH(Graphs!$CK395,Data!$A$4:$A$947,0),MATCH(Graphs!CT$4,Data!$P$3:$Z$3,0))="n.q.",NA(),INDEX(Data!$P$4:$Z$947,MATCH(Graphs!$CK395,Data!$A$4:$A$947,0),MATCH(Graphs!CT$4,Data!$P$3:$Z$3,0)))</f>
        <v>143.9958858</v>
      </c>
      <c r="CU395" s="24" t="str">
        <f t="array" ref="CU395">IF(INDEX(Data!$P$4:$Z$947,MATCH(Graphs!$CK395,Data!$A$4:$A$947,0),MATCH(Graphs!CU$4,Data!$P$3:$Z$3,0))="n.q.",NA(),INDEX(Data!$P$4:$Z$947,MATCH(Graphs!$CK395,Data!$A$4:$A$947,0),MATCH(Graphs!CU$4,Data!$P$3:$Z$3,0)))</f>
        <v>#N/A</v>
      </c>
      <c r="CV395" s="24" t="str">
        <f t="array" ref="CV395">IF(INDEX(Data!$P$4:$Z$947,MATCH(Graphs!$CK395,Data!$A$4:$A$947,0),MATCH(Graphs!CV$4,Data!$P$3:$Z$3,0))="n.q.",NA(),INDEX(Data!$P$4:$Z$947,MATCH(Graphs!$CK395,Data!$A$4:$A$947,0),MATCH(Graphs!CV$4,Data!$P$3:$Z$3,0)))</f>
        <v>#N/A</v>
      </c>
    </row>
    <row r="396" ht="14.25" customHeight="1"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5"/>
      <c r="CK396" s="22">
        <f>Data!A377</f>
        <v>43355</v>
      </c>
      <c r="CL396" s="24">
        <f t="array" ref="CL396">IF(INDEX(Data!$B$4:$L$947,MATCH(Graphs!$CK396,Data!$A$4:$A$947,0),MATCH(Graphs!CL$4,Data!$B$3:$L$3,0))="n.q.",NA(),INDEX(Data!$B$4:$L$947,MATCH(Graphs!$CK396,Data!$A$4:$A$947,0),MATCH(Graphs!CL$4,Data!$B$3:$L$3,0)))</f>
        <v>236.18</v>
      </c>
      <c r="CM396" s="24">
        <f t="array" ref="CM396">IF(INDEX(Data!$B$4:$L$947,MATCH(Graphs!$CK396,Data!$A$4:$A$947,0),MATCH(Graphs!CM$4,Data!$B$3:$L$3,0))="n.q.",NA(),INDEX(Data!$B$4:$L$947,MATCH(Graphs!$CK396,Data!$A$4:$A$947,0),MATCH(Graphs!CM$4,Data!$B$3:$L$3,0)))</f>
        <v>234.24</v>
      </c>
      <c r="CN396" s="24">
        <f t="array" ref="CN396">IF(INDEX(Data!$B$4:$L$947,MATCH(Graphs!$CK396,Data!$A$4:$A$947,0),MATCH(Graphs!CN$4,Data!$B$3:$L$3,0))="n.q.",NA(),INDEX(Data!$B$4:$L$947,MATCH(Graphs!$CK396,Data!$A$4:$A$947,0),MATCH(Graphs!CN$4,Data!$B$3:$L$3,0)))</f>
        <v>201</v>
      </c>
      <c r="CO396" s="24" t="str">
        <f t="array" ref="CO396">IF(INDEX(Data!$B$4:$L$947,MATCH(Graphs!$CK396,Data!$A$4:$A$947,0),MATCH(Graphs!CO$4,Data!$B$3:$L$3,0))="n.q.",NA(),INDEX(Data!$B$4:$L$947,MATCH(Graphs!$CK396,Data!$A$4:$A$947,0),MATCH(Graphs!CO$4,Data!$B$3:$L$3,0)))</f>
        <v>#N/A</v>
      </c>
      <c r="CP396" s="24" t="str">
        <f t="array" ref="CP396">IF(INDEX(Data!$B$4:$L$947,MATCH(Graphs!$CK396,Data!$A$4:$A$947,0),MATCH(Graphs!CP$4,Data!$B$3:$L$3,0))="n.q.",NA(),INDEX(Data!$B$4:$L$947,MATCH(Graphs!$CK396,Data!$A$4:$A$947,0),MATCH(Graphs!CP$4,Data!$B$3:$L$3,0)))</f>
        <v>#N/A</v>
      </c>
      <c r="CQ396" s="5"/>
      <c r="CR396" s="24">
        <f t="array" ref="CR396">IF(INDEX(Data!$P$4:$Z$947,MATCH(Graphs!$CK396,Data!$A$4:$A$947,0),MATCH(Graphs!CR$4,Data!$P$3:$Z$3,0))="n.q.",NA(),INDEX(Data!$P$4:$Z$947,MATCH(Graphs!$CK396,Data!$A$4:$A$947,0),MATCH(Graphs!CR$4,Data!$P$3:$Z$3,0)))</f>
        <v>136.0984031</v>
      </c>
      <c r="CS396" s="24">
        <f t="array" ref="CS396">IF(INDEX(Data!$P$4:$Z$947,MATCH(Graphs!$CK396,Data!$A$4:$A$947,0),MATCH(Graphs!CS$4,Data!$P$3:$Z$3,0))="n.q.",NA(),INDEX(Data!$P$4:$Z$947,MATCH(Graphs!$CK396,Data!$A$4:$A$947,0),MATCH(Graphs!CS$4,Data!$P$3:$Z$3,0)))</f>
        <v>181.29</v>
      </c>
      <c r="CT396" s="24">
        <f t="array" ref="CT396">IF(INDEX(Data!$P$4:$Z$947,MATCH(Graphs!$CK396,Data!$A$4:$A$947,0),MATCH(Graphs!CT$4,Data!$P$3:$Z$3,0))="n.q.",NA(),INDEX(Data!$P$4:$Z$947,MATCH(Graphs!$CK396,Data!$A$4:$A$947,0),MATCH(Graphs!CT$4,Data!$P$3:$Z$3,0)))</f>
        <v>153.6469573</v>
      </c>
      <c r="CU396" s="24" t="str">
        <f t="array" ref="CU396">IF(INDEX(Data!$P$4:$Z$947,MATCH(Graphs!$CK396,Data!$A$4:$A$947,0),MATCH(Graphs!CU$4,Data!$P$3:$Z$3,0))="n.q.",NA(),INDEX(Data!$P$4:$Z$947,MATCH(Graphs!$CK396,Data!$A$4:$A$947,0),MATCH(Graphs!CU$4,Data!$P$3:$Z$3,0)))</f>
        <v>#N/A</v>
      </c>
      <c r="CV396" s="24" t="str">
        <f t="array" ref="CV396">IF(INDEX(Data!$P$4:$Z$947,MATCH(Graphs!$CK396,Data!$A$4:$A$947,0),MATCH(Graphs!CV$4,Data!$P$3:$Z$3,0))="n.q.",NA(),INDEX(Data!$P$4:$Z$947,MATCH(Graphs!$CK396,Data!$A$4:$A$947,0),MATCH(Graphs!CV$4,Data!$P$3:$Z$3,0)))</f>
        <v>#N/A</v>
      </c>
    </row>
    <row r="397" ht="14.25" customHeight="1"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5"/>
      <c r="CK397" s="22">
        <f>Data!A378</f>
        <v>43348</v>
      </c>
      <c r="CL397" s="24">
        <f t="array" ref="CL397">IF(INDEX(Data!$B$4:$L$947,MATCH(Graphs!$CK397,Data!$A$4:$A$947,0),MATCH(Graphs!CL$4,Data!$B$3:$L$3,0))="n.q.",NA(),INDEX(Data!$B$4:$L$947,MATCH(Graphs!$CK397,Data!$A$4:$A$947,0),MATCH(Graphs!CL$4,Data!$B$3:$L$3,0)))</f>
        <v>237.92</v>
      </c>
      <c r="CM397" s="24">
        <f t="array" ref="CM397">IF(INDEX(Data!$B$4:$L$947,MATCH(Graphs!$CK397,Data!$A$4:$A$947,0),MATCH(Graphs!CM$4,Data!$B$3:$L$3,0))="n.q.",NA(),INDEX(Data!$B$4:$L$947,MATCH(Graphs!$CK397,Data!$A$4:$A$947,0),MATCH(Graphs!CM$4,Data!$B$3:$L$3,0)))</f>
        <v>241.31</v>
      </c>
      <c r="CN397" s="24">
        <f t="array" ref="CN397">IF(INDEX(Data!$B$4:$L$947,MATCH(Graphs!$CK397,Data!$A$4:$A$947,0),MATCH(Graphs!CN$4,Data!$B$3:$L$3,0))="n.q.",NA(),INDEX(Data!$B$4:$L$947,MATCH(Graphs!$CK397,Data!$A$4:$A$947,0),MATCH(Graphs!CN$4,Data!$B$3:$L$3,0)))</f>
        <v>201</v>
      </c>
      <c r="CO397" s="24" t="str">
        <f t="array" ref="CO397">IF(INDEX(Data!$B$4:$L$947,MATCH(Graphs!$CK397,Data!$A$4:$A$947,0),MATCH(Graphs!CO$4,Data!$B$3:$L$3,0))="n.q.",NA(),INDEX(Data!$B$4:$L$947,MATCH(Graphs!$CK397,Data!$A$4:$A$947,0),MATCH(Graphs!CO$4,Data!$B$3:$L$3,0)))</f>
        <v>#N/A</v>
      </c>
      <c r="CP397" s="24" t="str">
        <f t="array" ref="CP397">IF(INDEX(Data!$B$4:$L$947,MATCH(Graphs!$CK397,Data!$A$4:$A$947,0),MATCH(Graphs!CP$4,Data!$B$3:$L$3,0))="n.q.",NA(),INDEX(Data!$B$4:$L$947,MATCH(Graphs!$CK397,Data!$A$4:$A$947,0),MATCH(Graphs!CP$4,Data!$B$3:$L$3,0)))</f>
        <v>#N/A</v>
      </c>
      <c r="CQ397" s="5"/>
      <c r="CR397" s="24">
        <f t="array" ref="CR397">IF(INDEX(Data!$P$4:$Z$947,MATCH(Graphs!$CK397,Data!$A$4:$A$947,0),MATCH(Graphs!CR$4,Data!$P$3:$Z$3,0))="n.q.",NA(),INDEX(Data!$P$4:$Z$947,MATCH(Graphs!$CK397,Data!$A$4:$A$947,0),MATCH(Graphs!CR$4,Data!$P$3:$Z$3,0)))</f>
        <v>142.3329304</v>
      </c>
      <c r="CS397" s="24">
        <f t="array" ref="CS397">IF(INDEX(Data!$P$4:$Z$947,MATCH(Graphs!$CK397,Data!$A$4:$A$947,0),MATCH(Graphs!CS$4,Data!$P$3:$Z$3,0))="n.q.",NA(),INDEX(Data!$P$4:$Z$947,MATCH(Graphs!$CK397,Data!$A$4:$A$947,0),MATCH(Graphs!CS$4,Data!$P$3:$Z$3,0)))</f>
        <v>183.79</v>
      </c>
      <c r="CT397" s="24">
        <f t="array" ref="CT397">IF(INDEX(Data!$P$4:$Z$947,MATCH(Graphs!$CK397,Data!$A$4:$A$947,0),MATCH(Graphs!CT$4,Data!$P$3:$Z$3,0))="n.q.",NA(),INDEX(Data!$P$4:$Z$947,MATCH(Graphs!$CK397,Data!$A$4:$A$947,0),MATCH(Graphs!CT$4,Data!$P$3:$Z$3,0)))</f>
        <v>156.2769815</v>
      </c>
      <c r="CU397" s="24" t="str">
        <f t="array" ref="CU397">IF(INDEX(Data!$P$4:$Z$947,MATCH(Graphs!$CK397,Data!$A$4:$A$947,0),MATCH(Graphs!CU$4,Data!$P$3:$Z$3,0))="n.q.",NA(),INDEX(Data!$P$4:$Z$947,MATCH(Graphs!$CK397,Data!$A$4:$A$947,0),MATCH(Graphs!CU$4,Data!$P$3:$Z$3,0)))</f>
        <v>#N/A</v>
      </c>
      <c r="CV397" s="24" t="str">
        <f t="array" ref="CV397">IF(INDEX(Data!$P$4:$Z$947,MATCH(Graphs!$CK397,Data!$A$4:$A$947,0),MATCH(Graphs!CV$4,Data!$P$3:$Z$3,0))="n.q.",NA(),INDEX(Data!$P$4:$Z$947,MATCH(Graphs!$CK397,Data!$A$4:$A$947,0),MATCH(Graphs!CV$4,Data!$P$3:$Z$3,0)))</f>
        <v>#N/A</v>
      </c>
    </row>
    <row r="398" ht="14.25" customHeight="1"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5"/>
      <c r="CK398" s="22">
        <f>Data!A379</f>
        <v>43341</v>
      </c>
      <c r="CL398" s="24">
        <f t="array" ref="CL398">IF(INDEX(Data!$B$4:$L$947,MATCH(Graphs!$CK398,Data!$A$4:$A$947,0),MATCH(Graphs!CL$4,Data!$B$3:$L$3,0))="n.q.",NA(),INDEX(Data!$B$4:$L$947,MATCH(Graphs!$CK398,Data!$A$4:$A$947,0),MATCH(Graphs!CL$4,Data!$B$3:$L$3,0)))</f>
        <v>242.32</v>
      </c>
      <c r="CM398" s="24">
        <f t="array" ref="CM398">IF(INDEX(Data!$B$4:$L$947,MATCH(Graphs!$CK398,Data!$A$4:$A$947,0),MATCH(Graphs!CM$4,Data!$B$3:$L$3,0))="n.q.",NA(),INDEX(Data!$B$4:$L$947,MATCH(Graphs!$CK398,Data!$A$4:$A$947,0),MATCH(Graphs!CM$4,Data!$B$3:$L$3,0)))</f>
        <v>247.93</v>
      </c>
      <c r="CN398" s="24">
        <f t="array" ref="CN398">IF(INDEX(Data!$B$4:$L$947,MATCH(Graphs!$CK398,Data!$A$4:$A$947,0),MATCH(Graphs!CN$4,Data!$B$3:$L$3,0))="n.q.",NA(),INDEX(Data!$B$4:$L$947,MATCH(Graphs!$CK398,Data!$A$4:$A$947,0),MATCH(Graphs!CN$4,Data!$B$3:$L$3,0)))</f>
        <v>205.5</v>
      </c>
      <c r="CO398" s="24" t="str">
        <f t="array" ref="CO398">IF(INDEX(Data!$B$4:$L$947,MATCH(Graphs!$CK398,Data!$A$4:$A$947,0),MATCH(Graphs!CO$4,Data!$B$3:$L$3,0))="n.q.",NA(),INDEX(Data!$B$4:$L$947,MATCH(Graphs!$CK398,Data!$A$4:$A$947,0),MATCH(Graphs!CO$4,Data!$B$3:$L$3,0)))</f>
        <v>#N/A</v>
      </c>
      <c r="CP398" s="24" t="str">
        <f t="array" ref="CP398">IF(INDEX(Data!$B$4:$L$947,MATCH(Graphs!$CK398,Data!$A$4:$A$947,0),MATCH(Graphs!CP$4,Data!$B$3:$L$3,0))="n.q.",NA(),INDEX(Data!$B$4:$L$947,MATCH(Graphs!$CK398,Data!$A$4:$A$947,0),MATCH(Graphs!CP$4,Data!$B$3:$L$3,0)))</f>
        <v>#N/A</v>
      </c>
      <c r="CQ398" s="5"/>
      <c r="CR398" s="24">
        <f t="array" ref="CR398">IF(INDEX(Data!$P$4:$Z$947,MATCH(Graphs!$CK398,Data!$A$4:$A$947,0),MATCH(Graphs!CR$4,Data!$P$3:$Z$3,0))="n.q.",NA(),INDEX(Data!$P$4:$Z$947,MATCH(Graphs!$CK398,Data!$A$4:$A$947,0),MATCH(Graphs!CR$4,Data!$P$3:$Z$3,0)))</f>
        <v>137.838765</v>
      </c>
      <c r="CS398" s="24">
        <f t="array" ref="CS398">IF(INDEX(Data!$P$4:$Z$947,MATCH(Graphs!$CK398,Data!$A$4:$A$947,0),MATCH(Graphs!CS$4,Data!$P$3:$Z$3,0))="n.q.",NA(),INDEX(Data!$P$4:$Z$947,MATCH(Graphs!$CK398,Data!$A$4:$A$947,0),MATCH(Graphs!CS$4,Data!$P$3:$Z$3,0)))</f>
        <v>185.54</v>
      </c>
      <c r="CT398" s="24">
        <f t="array" ref="CT398">IF(INDEX(Data!$P$4:$Z$947,MATCH(Graphs!$CK398,Data!$A$4:$A$947,0),MATCH(Graphs!CT$4,Data!$P$3:$Z$3,0))="n.q.",NA(),INDEX(Data!$P$4:$Z$947,MATCH(Graphs!$CK398,Data!$A$4:$A$947,0),MATCH(Graphs!CT$4,Data!$P$3:$Z$3,0)))</f>
        <v>159.5197256</v>
      </c>
      <c r="CU398" s="24" t="str">
        <f t="array" ref="CU398">IF(INDEX(Data!$P$4:$Z$947,MATCH(Graphs!$CK398,Data!$A$4:$A$947,0),MATCH(Graphs!CU$4,Data!$P$3:$Z$3,0))="n.q.",NA(),INDEX(Data!$P$4:$Z$947,MATCH(Graphs!$CK398,Data!$A$4:$A$947,0),MATCH(Graphs!CU$4,Data!$P$3:$Z$3,0)))</f>
        <v>#N/A</v>
      </c>
      <c r="CV398" s="24" t="str">
        <f t="array" ref="CV398">IF(INDEX(Data!$P$4:$Z$947,MATCH(Graphs!$CK398,Data!$A$4:$A$947,0),MATCH(Graphs!CV$4,Data!$P$3:$Z$3,0))="n.q.",NA(),INDEX(Data!$P$4:$Z$947,MATCH(Graphs!$CK398,Data!$A$4:$A$947,0),MATCH(Graphs!CV$4,Data!$P$3:$Z$3,0)))</f>
        <v>#N/A</v>
      </c>
    </row>
    <row r="399" ht="14.25" customHeight="1"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5"/>
      <c r="CK399" s="22">
        <f>Data!A380</f>
        <v>43334</v>
      </c>
      <c r="CL399" s="24">
        <f t="array" ref="CL399">IF(INDEX(Data!$B$4:$L$947,MATCH(Graphs!$CK399,Data!$A$4:$A$947,0),MATCH(Graphs!CL$4,Data!$B$3:$L$3,0))="n.q.",NA(),INDEX(Data!$B$4:$L$947,MATCH(Graphs!$CK399,Data!$A$4:$A$947,0),MATCH(Graphs!CL$4,Data!$B$3:$L$3,0)))</f>
        <v>243.25</v>
      </c>
      <c r="CM399" s="24">
        <f t="array" ref="CM399">IF(INDEX(Data!$B$4:$L$947,MATCH(Graphs!$CK399,Data!$A$4:$A$947,0),MATCH(Graphs!CM$4,Data!$B$3:$L$3,0))="n.q.",NA(),INDEX(Data!$B$4:$L$947,MATCH(Graphs!$CK399,Data!$A$4:$A$947,0),MATCH(Graphs!CM$4,Data!$B$3:$L$3,0)))</f>
        <v>244.35</v>
      </c>
      <c r="CN399" s="24">
        <f t="array" ref="CN399">IF(INDEX(Data!$B$4:$L$947,MATCH(Graphs!$CK399,Data!$A$4:$A$947,0),MATCH(Graphs!CN$4,Data!$B$3:$L$3,0))="n.q.",NA(),INDEX(Data!$B$4:$L$947,MATCH(Graphs!$CK399,Data!$A$4:$A$947,0),MATCH(Graphs!CN$4,Data!$B$3:$L$3,0)))</f>
        <v>202</v>
      </c>
      <c r="CO399" s="24" t="str">
        <f t="array" ref="CO399">IF(INDEX(Data!$B$4:$L$947,MATCH(Graphs!$CK399,Data!$A$4:$A$947,0),MATCH(Graphs!CO$4,Data!$B$3:$L$3,0))="n.q.",NA(),INDEX(Data!$B$4:$L$947,MATCH(Graphs!$CK399,Data!$A$4:$A$947,0),MATCH(Graphs!CO$4,Data!$B$3:$L$3,0)))</f>
        <v>#N/A</v>
      </c>
      <c r="CP399" s="24" t="str">
        <f t="array" ref="CP399">IF(INDEX(Data!$B$4:$L$947,MATCH(Graphs!$CK399,Data!$A$4:$A$947,0),MATCH(Graphs!CP$4,Data!$B$3:$L$3,0))="n.q.",NA(),INDEX(Data!$B$4:$L$947,MATCH(Graphs!$CK399,Data!$A$4:$A$947,0),MATCH(Graphs!CP$4,Data!$B$3:$L$3,0)))</f>
        <v>#N/A</v>
      </c>
      <c r="CQ399" s="5"/>
      <c r="CR399" s="24">
        <f t="array" ref="CR399">IF(INDEX(Data!$P$4:$Z$947,MATCH(Graphs!$CK399,Data!$A$4:$A$947,0),MATCH(Graphs!CR$4,Data!$P$3:$Z$3,0))="n.q.",NA(),INDEX(Data!$P$4:$Z$947,MATCH(Graphs!$CK399,Data!$A$4:$A$947,0),MATCH(Graphs!CR$4,Data!$P$3:$Z$3,0)))</f>
        <v>143.190427</v>
      </c>
      <c r="CS399" s="24">
        <f t="array" ref="CS399">IF(INDEX(Data!$P$4:$Z$947,MATCH(Graphs!$CK399,Data!$A$4:$A$947,0),MATCH(Graphs!CS$4,Data!$P$3:$Z$3,0))="n.q.",NA(),INDEX(Data!$P$4:$Z$947,MATCH(Graphs!$CK399,Data!$A$4:$A$947,0),MATCH(Graphs!CS$4,Data!$P$3:$Z$3,0)))</f>
        <v>186.79</v>
      </c>
      <c r="CT399" s="24">
        <f t="array" ref="CT399">IF(INDEX(Data!$P$4:$Z$947,MATCH(Graphs!$CK399,Data!$A$4:$A$947,0),MATCH(Graphs!CT$4,Data!$P$3:$Z$3,0))="n.q.",NA(),INDEX(Data!$P$4:$Z$947,MATCH(Graphs!$CK399,Data!$A$4:$A$947,0),MATCH(Graphs!CT$4,Data!$P$3:$Z$3,0)))</f>
        <v>160.9848485</v>
      </c>
      <c r="CU399" s="24" t="str">
        <f t="array" ref="CU399">IF(INDEX(Data!$P$4:$Z$947,MATCH(Graphs!$CK399,Data!$A$4:$A$947,0),MATCH(Graphs!CU$4,Data!$P$3:$Z$3,0))="n.q.",NA(),INDEX(Data!$P$4:$Z$947,MATCH(Graphs!$CK399,Data!$A$4:$A$947,0),MATCH(Graphs!CU$4,Data!$P$3:$Z$3,0)))</f>
        <v>#N/A</v>
      </c>
      <c r="CV399" s="24" t="str">
        <f t="array" ref="CV399">IF(INDEX(Data!$P$4:$Z$947,MATCH(Graphs!$CK399,Data!$A$4:$A$947,0),MATCH(Graphs!CV$4,Data!$P$3:$Z$3,0))="n.q.",NA(),INDEX(Data!$P$4:$Z$947,MATCH(Graphs!$CK399,Data!$A$4:$A$947,0),MATCH(Graphs!CV$4,Data!$P$3:$Z$3,0)))</f>
        <v>#N/A</v>
      </c>
    </row>
    <row r="400" ht="14.25" customHeight="1"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5"/>
      <c r="CK400" s="22">
        <f>Data!A381</f>
        <v>43327</v>
      </c>
      <c r="CL400" s="24">
        <f t="array" ref="CL400">IF(INDEX(Data!$B$4:$L$947,MATCH(Graphs!$CK400,Data!$A$4:$A$947,0),MATCH(Graphs!CL$4,Data!$B$3:$L$3,0))="n.q.",NA(),INDEX(Data!$B$4:$L$947,MATCH(Graphs!$CK400,Data!$A$4:$A$947,0),MATCH(Graphs!CL$4,Data!$B$3:$L$3,0)))</f>
        <v>239.51</v>
      </c>
      <c r="CM400" s="24">
        <f t="array" ref="CM400">IF(INDEX(Data!$B$4:$L$947,MATCH(Graphs!$CK400,Data!$A$4:$A$947,0),MATCH(Graphs!CM$4,Data!$B$3:$L$3,0))="n.q.",NA(),INDEX(Data!$B$4:$L$947,MATCH(Graphs!$CK400,Data!$A$4:$A$947,0),MATCH(Graphs!CM$4,Data!$B$3:$L$3,0)))</f>
        <v>246.27</v>
      </c>
      <c r="CN400" s="24">
        <f t="array" ref="CN400">IF(INDEX(Data!$B$4:$L$947,MATCH(Graphs!$CK400,Data!$A$4:$A$947,0),MATCH(Graphs!CN$4,Data!$B$3:$L$3,0))="n.q.",NA(),INDEX(Data!$B$4:$L$947,MATCH(Graphs!$CK400,Data!$A$4:$A$947,0),MATCH(Graphs!CN$4,Data!$B$3:$L$3,0)))</f>
        <v>205</v>
      </c>
      <c r="CO400" s="24" t="str">
        <f t="array" ref="CO400">IF(INDEX(Data!$B$4:$L$947,MATCH(Graphs!$CK400,Data!$A$4:$A$947,0),MATCH(Graphs!CO$4,Data!$B$3:$L$3,0))="n.q.",NA(),INDEX(Data!$B$4:$L$947,MATCH(Graphs!$CK400,Data!$A$4:$A$947,0),MATCH(Graphs!CO$4,Data!$B$3:$L$3,0)))</f>
        <v>#N/A</v>
      </c>
      <c r="CP400" s="24" t="str">
        <f t="array" ref="CP400">IF(INDEX(Data!$B$4:$L$947,MATCH(Graphs!$CK400,Data!$A$4:$A$947,0),MATCH(Graphs!CP$4,Data!$B$3:$L$3,0))="n.q.",NA(),INDEX(Data!$B$4:$L$947,MATCH(Graphs!$CK400,Data!$A$4:$A$947,0),MATCH(Graphs!CP$4,Data!$B$3:$L$3,0)))</f>
        <v>#N/A</v>
      </c>
      <c r="CQ400" s="5"/>
      <c r="CR400" s="24">
        <f t="array" ref="CR400">IF(INDEX(Data!$P$4:$Z$947,MATCH(Graphs!$CK400,Data!$A$4:$A$947,0),MATCH(Graphs!CR$4,Data!$P$3:$Z$3,0))="n.q.",NA(),INDEX(Data!$P$4:$Z$947,MATCH(Graphs!$CK400,Data!$A$4:$A$947,0),MATCH(Graphs!CR$4,Data!$P$3:$Z$3,0)))</f>
        <v>151.090893</v>
      </c>
      <c r="CS400" s="24" t="str">
        <f t="array" ref="CS400">IF(INDEX(Data!$P$4:$Z$947,MATCH(Graphs!$CK400,Data!$A$4:$A$947,0),MATCH(Graphs!CS$4,Data!$P$3:$Z$3,0))="n.q.",NA(),INDEX(Data!$P$4:$Z$947,MATCH(Graphs!$CK400,Data!$A$4:$A$947,0),MATCH(Graphs!CS$4,Data!$P$3:$Z$3,0)))</f>
        <v>#N/A</v>
      </c>
      <c r="CT400" s="24">
        <f t="array" ref="CT400">IF(INDEX(Data!$P$4:$Z$947,MATCH(Graphs!$CK400,Data!$A$4:$A$947,0),MATCH(Graphs!CT$4,Data!$P$3:$Z$3,0))="n.q.",NA(),INDEX(Data!$P$4:$Z$947,MATCH(Graphs!$CK400,Data!$A$4:$A$947,0),MATCH(Graphs!CT$4,Data!$P$3:$Z$3,0)))</f>
        <v>168.7130112</v>
      </c>
      <c r="CU400" s="24" t="str">
        <f t="array" ref="CU400">IF(INDEX(Data!$P$4:$Z$947,MATCH(Graphs!$CK400,Data!$A$4:$A$947,0),MATCH(Graphs!CU$4,Data!$P$3:$Z$3,0))="n.q.",NA(),INDEX(Data!$P$4:$Z$947,MATCH(Graphs!$CK400,Data!$A$4:$A$947,0),MATCH(Graphs!CU$4,Data!$P$3:$Z$3,0)))</f>
        <v>#N/A</v>
      </c>
      <c r="CV400" s="24" t="str">
        <f t="array" ref="CV400">IF(INDEX(Data!$P$4:$Z$947,MATCH(Graphs!$CK400,Data!$A$4:$A$947,0),MATCH(Graphs!CV$4,Data!$P$3:$Z$3,0))="n.q.",NA(),INDEX(Data!$P$4:$Z$947,MATCH(Graphs!$CK400,Data!$A$4:$A$947,0),MATCH(Graphs!CV$4,Data!$P$3:$Z$3,0)))</f>
        <v>#N/A</v>
      </c>
    </row>
  </sheetData>
  <mergeCells count="1">
    <mergeCell ref="C1:Y1"/>
  </mergeCells>
  <conditionalFormatting sqref="C4 E4 G4 I4 K4 O4 Q4 S4 U4 W4">
    <cfRule type="containsText" dxfId="0" priority="1" operator="containsText" text="(drop-down list)">
      <formula>NOT(ISERROR(SEARCH(("(drop-down list)"),(C4))))</formula>
    </cfRule>
  </conditionalFormatting>
  <dataValidations>
    <dataValidation type="list" allowBlank="1" showErrorMessage="1" sqref="C4 E4 G4 I4 K4 O4 Q4 S4 U4 W4">
      <formula1>'Drop-down list'!$B$2:$B$13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07CB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71"/>
    <col customWidth="1" min="2" max="2" width="16.57"/>
    <col customWidth="1" min="3" max="3" width="15.71"/>
    <col customWidth="1" min="4" max="7" width="14.29"/>
    <col customWidth="1" min="8" max="8" width="18.71"/>
    <col customWidth="1" min="9" max="9" width="15.29"/>
    <col customWidth="1" min="10" max="10" width="12.57"/>
    <col customWidth="1" min="11" max="12" width="14.57"/>
    <col customWidth="1" min="13" max="13" width="2.57"/>
    <col customWidth="1" min="14" max="14" width="14.57"/>
    <col customWidth="1" min="15" max="15" width="2.57"/>
    <col customWidth="1" min="16" max="26" width="14.43"/>
  </cols>
  <sheetData>
    <row r="1" ht="15.0" customHeight="1">
      <c r="B1" s="31"/>
      <c r="C1" s="32"/>
      <c r="D1" s="31"/>
      <c r="E1" s="31"/>
      <c r="F1" s="31"/>
      <c r="H1" s="31"/>
      <c r="I1" s="31"/>
      <c r="K1" s="31"/>
      <c r="L1" s="31"/>
      <c r="M1" s="31"/>
    </row>
    <row r="2" ht="14.25" customHeight="1">
      <c r="A2" s="33"/>
      <c r="B2" s="34" t="s">
        <v>10</v>
      </c>
      <c r="C2" s="35"/>
      <c r="D2" s="35"/>
      <c r="E2" s="35"/>
      <c r="F2" s="35"/>
      <c r="G2" s="36"/>
      <c r="H2" s="37" t="s">
        <v>11</v>
      </c>
      <c r="I2" s="35"/>
      <c r="J2" s="36"/>
      <c r="K2" s="38" t="s">
        <v>12</v>
      </c>
      <c r="L2" s="36"/>
      <c r="M2" s="39"/>
      <c r="N2" s="33"/>
      <c r="O2" s="33"/>
      <c r="P2" s="40" t="s">
        <v>13</v>
      </c>
      <c r="Q2" s="35"/>
      <c r="R2" s="35"/>
      <c r="S2" s="35"/>
      <c r="T2" s="35"/>
      <c r="U2" s="36"/>
      <c r="V2" s="41" t="s">
        <v>14</v>
      </c>
      <c r="W2" s="35"/>
      <c r="X2" s="36"/>
      <c r="Y2" s="42" t="s">
        <v>15</v>
      </c>
      <c r="Z2" s="36"/>
    </row>
    <row r="3" ht="51.0" customHeight="1">
      <c r="A3" s="43" t="s">
        <v>16</v>
      </c>
      <c r="B3" s="44" t="s">
        <v>17</v>
      </c>
      <c r="C3" s="44" t="s">
        <v>2</v>
      </c>
      <c r="D3" s="44" t="s">
        <v>4</v>
      </c>
      <c r="E3" s="44" t="s">
        <v>3</v>
      </c>
      <c r="F3" s="44" t="s">
        <v>18</v>
      </c>
      <c r="G3" s="44" t="s">
        <v>19</v>
      </c>
      <c r="H3" s="45" t="s">
        <v>6</v>
      </c>
      <c r="I3" s="45" t="s">
        <v>8</v>
      </c>
      <c r="J3" s="45" t="s">
        <v>7</v>
      </c>
      <c r="K3" s="46" t="s">
        <v>20</v>
      </c>
      <c r="L3" s="46" t="s">
        <v>21</v>
      </c>
      <c r="M3" s="47"/>
      <c r="N3" s="48" t="s">
        <v>22</v>
      </c>
      <c r="O3" s="49"/>
      <c r="P3" s="50" t="s">
        <v>17</v>
      </c>
      <c r="Q3" s="50" t="s">
        <v>2</v>
      </c>
      <c r="R3" s="50" t="s">
        <v>4</v>
      </c>
      <c r="S3" s="50" t="s">
        <v>3</v>
      </c>
      <c r="T3" s="50" t="s">
        <v>18</v>
      </c>
      <c r="U3" s="50" t="s">
        <v>19</v>
      </c>
      <c r="V3" s="51" t="s">
        <v>6</v>
      </c>
      <c r="W3" s="51" t="s">
        <v>8</v>
      </c>
      <c r="X3" s="52" t="s">
        <v>7</v>
      </c>
      <c r="Y3" s="53" t="s">
        <v>20</v>
      </c>
      <c r="Z3" s="53" t="s">
        <v>21</v>
      </c>
    </row>
    <row r="4" ht="14.25" customHeight="1">
      <c r="A4" s="54">
        <v>45966.0</v>
      </c>
      <c r="B4" s="55">
        <v>246.09</v>
      </c>
      <c r="C4" s="55">
        <v>231.41</v>
      </c>
      <c r="D4" s="55">
        <v>220.0</v>
      </c>
      <c r="E4" s="55">
        <v>249.86</v>
      </c>
      <c r="F4" s="55">
        <v>290.0</v>
      </c>
      <c r="G4" s="55" t="s">
        <v>23</v>
      </c>
      <c r="H4" s="56">
        <v>209.93</v>
      </c>
      <c r="I4" s="56">
        <v>218.0</v>
      </c>
      <c r="J4" s="56" t="s">
        <v>23</v>
      </c>
      <c r="K4" s="57">
        <v>233.0</v>
      </c>
      <c r="L4" s="57">
        <v>229.11</v>
      </c>
      <c r="M4" s="58"/>
      <c r="N4" s="59">
        <v>1.1492</v>
      </c>
      <c r="O4" s="60"/>
      <c r="P4" s="61">
        <v>212.38456891343748</v>
      </c>
      <c r="Q4" s="61">
        <v>199.715198066799</v>
      </c>
      <c r="R4" s="61">
        <v>189.86795546733407</v>
      </c>
      <c r="S4" s="61">
        <v>215.6382152412186</v>
      </c>
      <c r="T4" s="61">
        <v>250.28048675239492</v>
      </c>
      <c r="U4" s="61" t="s">
        <v>23</v>
      </c>
      <c r="V4" s="62">
        <v>181.17718132389746</v>
      </c>
      <c r="W4" s="62">
        <v>188.14188314490377</v>
      </c>
      <c r="X4" s="62" t="s">
        <v>23</v>
      </c>
      <c r="Y4" s="63">
        <v>201.0874255631311</v>
      </c>
      <c r="Z4" s="63">
        <v>197.73021489600416</v>
      </c>
    </row>
    <row r="5" ht="14.25" customHeight="1">
      <c r="A5" s="64">
        <v>45959.0</v>
      </c>
      <c r="B5" s="65">
        <v>237.82</v>
      </c>
      <c r="C5" s="65">
        <v>230.31</v>
      </c>
      <c r="D5" s="65">
        <v>219.0</v>
      </c>
      <c r="E5" s="65">
        <v>241.68</v>
      </c>
      <c r="F5" s="65">
        <v>290.0</v>
      </c>
      <c r="G5" s="65" t="s">
        <v>23</v>
      </c>
      <c r="H5" s="66">
        <v>207.47</v>
      </c>
      <c r="I5" s="66">
        <v>215.0</v>
      </c>
      <c r="J5" s="66" t="s">
        <v>23</v>
      </c>
      <c r="K5" s="67">
        <v>228.0</v>
      </c>
      <c r="L5" s="67">
        <v>227.98</v>
      </c>
      <c r="M5" s="58"/>
      <c r="N5" s="59">
        <v>1.1636</v>
      </c>
      <c r="O5" s="60"/>
      <c r="P5" s="68">
        <v>204.62915160901738</v>
      </c>
      <c r="Q5" s="68">
        <v>198.1672689726381</v>
      </c>
      <c r="R5" s="68">
        <v>188.43572534847704</v>
      </c>
      <c r="S5" s="68">
        <v>207.95043882292208</v>
      </c>
      <c r="T5" s="68">
        <v>249.52675959387372</v>
      </c>
      <c r="U5" s="68" t="s">
        <v>23</v>
      </c>
      <c r="V5" s="66">
        <v>178.51488556186544</v>
      </c>
      <c r="W5" s="66">
        <v>184.99397694028568</v>
      </c>
      <c r="X5" s="66" t="s">
        <v>23</v>
      </c>
      <c r="Y5" s="57">
        <v>196.1796592669076</v>
      </c>
      <c r="Z5" s="57">
        <v>196.16245052486664</v>
      </c>
    </row>
    <row r="6" ht="14.25" customHeight="1">
      <c r="A6" s="54">
        <v>45952.0</v>
      </c>
      <c r="B6" s="55">
        <v>227.35</v>
      </c>
      <c r="C6" s="55">
        <v>227.1</v>
      </c>
      <c r="D6" s="55">
        <v>219.0</v>
      </c>
      <c r="E6" s="55">
        <v>227.26</v>
      </c>
      <c r="F6" s="55">
        <v>280.0</v>
      </c>
      <c r="G6" s="55" t="s">
        <v>23</v>
      </c>
      <c r="H6" s="56">
        <v>201.57</v>
      </c>
      <c r="I6" s="56">
        <v>213.0</v>
      </c>
      <c r="J6" s="56" t="s">
        <v>23</v>
      </c>
      <c r="K6" s="57">
        <v>226.0</v>
      </c>
      <c r="L6" s="57">
        <v>220.13</v>
      </c>
      <c r="M6" s="58"/>
      <c r="N6" s="59">
        <v>1.1587</v>
      </c>
      <c r="O6" s="60"/>
      <c r="P6" s="61" t="s">
        <v>23</v>
      </c>
      <c r="Q6" s="61" t="s">
        <v>23</v>
      </c>
      <c r="R6" s="61" t="s">
        <v>23</v>
      </c>
      <c r="S6" s="61" t="s">
        <v>23</v>
      </c>
      <c r="T6" s="61" t="s">
        <v>23</v>
      </c>
      <c r="U6" s="61" t="s">
        <v>23</v>
      </c>
      <c r="V6" s="62" t="s">
        <v>23</v>
      </c>
      <c r="W6" s="62" t="s">
        <v>23</v>
      </c>
      <c r="X6" s="62" t="s">
        <v>23</v>
      </c>
      <c r="Y6" s="63" t="s">
        <v>23</v>
      </c>
      <c r="Z6" s="63" t="s">
        <v>23</v>
      </c>
    </row>
    <row r="7" ht="14.25" customHeight="1">
      <c r="A7" s="64">
        <v>45945.0</v>
      </c>
      <c r="B7" s="65">
        <v>220.0</v>
      </c>
      <c r="C7" s="65">
        <v>226.42</v>
      </c>
      <c r="D7" s="65">
        <v>219.0</v>
      </c>
      <c r="E7" s="65">
        <v>227.17</v>
      </c>
      <c r="F7" s="65">
        <v>280.0</v>
      </c>
      <c r="G7" s="65" t="s">
        <v>23</v>
      </c>
      <c r="H7" s="66">
        <v>199.89</v>
      </c>
      <c r="I7" s="66">
        <v>214.0</v>
      </c>
      <c r="J7" s="66" t="s">
        <v>23</v>
      </c>
      <c r="K7" s="67">
        <v>224.0</v>
      </c>
      <c r="L7" s="67">
        <v>220.61</v>
      </c>
      <c r="M7" s="58"/>
      <c r="N7" s="59">
        <v>1.1622</v>
      </c>
      <c r="O7" s="60"/>
      <c r="P7" s="68" t="s">
        <v>23</v>
      </c>
      <c r="Q7" s="68" t="s">
        <v>23</v>
      </c>
      <c r="R7" s="68" t="s">
        <v>23</v>
      </c>
      <c r="S7" s="68" t="s">
        <v>23</v>
      </c>
      <c r="T7" s="68" t="s">
        <v>23</v>
      </c>
      <c r="U7" s="68" t="s">
        <v>23</v>
      </c>
      <c r="V7" s="66" t="s">
        <v>23</v>
      </c>
      <c r="W7" s="66" t="s">
        <v>23</v>
      </c>
      <c r="X7" s="66" t="s">
        <v>23</v>
      </c>
      <c r="Y7" s="57" t="s">
        <v>23</v>
      </c>
      <c r="Z7" s="57" t="s">
        <v>23</v>
      </c>
    </row>
    <row r="8" ht="14.25" customHeight="1">
      <c r="A8" s="54">
        <v>45938.0</v>
      </c>
      <c r="B8" s="55">
        <v>223.13</v>
      </c>
      <c r="C8" s="55">
        <v>224.68</v>
      </c>
      <c r="D8" s="55">
        <v>217.0</v>
      </c>
      <c r="E8" s="55">
        <v>229.01</v>
      </c>
      <c r="F8" s="55">
        <v>280.0</v>
      </c>
      <c r="G8" s="55" t="s">
        <v>23</v>
      </c>
      <c r="H8" s="56">
        <v>201.96</v>
      </c>
      <c r="I8" s="56">
        <v>214.0</v>
      </c>
      <c r="J8" s="56" t="s">
        <v>23</v>
      </c>
      <c r="K8" s="57">
        <v>224.0</v>
      </c>
      <c r="L8" s="57">
        <v>217.72</v>
      </c>
      <c r="M8" s="58"/>
      <c r="N8" s="59">
        <v>1.1627</v>
      </c>
      <c r="O8" s="60"/>
      <c r="P8" s="61">
        <v>191.90676872796075</v>
      </c>
      <c r="Q8" s="61">
        <v>193.23987271007138</v>
      </c>
      <c r="R8" s="61">
        <v>186.63455749548464</v>
      </c>
      <c r="S8" s="61">
        <v>196.96396318912872</v>
      </c>
      <c r="T8" s="61">
        <v>240.81878386514146</v>
      </c>
      <c r="U8" s="61" t="s">
        <v>23</v>
      </c>
      <c r="V8" s="62">
        <v>173.69914853358563</v>
      </c>
      <c r="W8" s="62">
        <v>184.0543562397867</v>
      </c>
      <c r="X8" s="62" t="s">
        <v>23</v>
      </c>
      <c r="Y8" s="63">
        <v>192.6550270921132</v>
      </c>
      <c r="Z8" s="63">
        <v>187.25380579685213</v>
      </c>
    </row>
    <row r="9" ht="14.25" customHeight="1">
      <c r="A9" s="64">
        <v>45931.0</v>
      </c>
      <c r="B9" s="65">
        <v>220.19</v>
      </c>
      <c r="C9" s="65">
        <v>225.77</v>
      </c>
      <c r="D9" s="65">
        <v>216.0</v>
      </c>
      <c r="E9" s="65">
        <v>227.99</v>
      </c>
      <c r="F9" s="65">
        <v>270.0</v>
      </c>
      <c r="G9" s="65" t="s">
        <v>23</v>
      </c>
      <c r="H9" s="66">
        <v>200.97</v>
      </c>
      <c r="I9" s="66">
        <v>214.0</v>
      </c>
      <c r="J9" s="66" t="s">
        <v>23</v>
      </c>
      <c r="K9" s="67">
        <v>224.0</v>
      </c>
      <c r="L9" s="67">
        <v>219.33</v>
      </c>
      <c r="M9" s="58"/>
      <c r="N9" s="59">
        <v>1.1724</v>
      </c>
      <c r="O9" s="60"/>
      <c r="P9" s="68">
        <v>187.8113271920846</v>
      </c>
      <c r="Q9" s="68">
        <v>192.5707949505288</v>
      </c>
      <c r="R9" s="68">
        <v>184.2374616171955</v>
      </c>
      <c r="S9" s="68">
        <v>194.46434663937222</v>
      </c>
      <c r="T9" s="68">
        <v>230.29682702149435</v>
      </c>
      <c r="U9" s="68" t="s">
        <v>23</v>
      </c>
      <c r="V9" s="66">
        <v>171.41760491299897</v>
      </c>
      <c r="W9" s="66">
        <v>182.53155919481404</v>
      </c>
      <c r="X9" s="66" t="s">
        <v>23</v>
      </c>
      <c r="Y9" s="57">
        <v>191.06107130672123</v>
      </c>
      <c r="Z9" s="57">
        <v>187.07778915046057</v>
      </c>
    </row>
    <row r="10" ht="14.25" customHeight="1">
      <c r="A10" s="54">
        <v>45924.0</v>
      </c>
      <c r="B10" s="55">
        <v>227.63</v>
      </c>
      <c r="C10" s="55">
        <v>229.72</v>
      </c>
      <c r="D10" s="55">
        <v>216.0</v>
      </c>
      <c r="E10" s="55">
        <v>233.97</v>
      </c>
      <c r="F10" s="55">
        <v>280.0</v>
      </c>
      <c r="G10" s="55" t="s">
        <v>23</v>
      </c>
      <c r="H10" s="56">
        <v>204.81</v>
      </c>
      <c r="I10" s="56">
        <v>220.0</v>
      </c>
      <c r="J10" s="56" t="s">
        <v>23</v>
      </c>
      <c r="K10" s="57">
        <v>223.0</v>
      </c>
      <c r="L10" s="57">
        <v>221.51</v>
      </c>
      <c r="M10" s="58"/>
      <c r="N10" s="59">
        <v>1.1756</v>
      </c>
      <c r="O10" s="60"/>
      <c r="P10" s="61">
        <v>193.62878530112283</v>
      </c>
      <c r="Q10" s="61">
        <v>195.40660088465464</v>
      </c>
      <c r="R10" s="61">
        <v>183.73596461381422</v>
      </c>
      <c r="S10" s="61">
        <v>199.0217761143246</v>
      </c>
      <c r="T10" s="61">
        <v>238.17625042531475</v>
      </c>
      <c r="U10" s="61" t="s">
        <v>23</v>
      </c>
      <c r="V10" s="62">
        <v>174.21742089145968</v>
      </c>
      <c r="W10" s="62">
        <v>187.138482477033</v>
      </c>
      <c r="X10" s="62" t="s">
        <v>23</v>
      </c>
      <c r="Y10" s="63">
        <v>189.6903708744471</v>
      </c>
      <c r="Z10" s="63">
        <v>188.42293297039808</v>
      </c>
    </row>
    <row r="11" ht="14.25" customHeight="1">
      <c r="A11" s="64">
        <v>45917.0</v>
      </c>
      <c r="B11" s="65">
        <v>230.84</v>
      </c>
      <c r="C11" s="65">
        <v>232.33</v>
      </c>
      <c r="D11" s="65">
        <v>217.0</v>
      </c>
      <c r="E11" s="65">
        <v>237.46</v>
      </c>
      <c r="F11" s="65">
        <v>290.0</v>
      </c>
      <c r="G11" s="65" t="s">
        <v>23</v>
      </c>
      <c r="H11" s="66">
        <v>207.37</v>
      </c>
      <c r="I11" s="66">
        <v>218.0</v>
      </c>
      <c r="J11" s="66" t="s">
        <v>23</v>
      </c>
      <c r="K11" s="67">
        <v>226.0</v>
      </c>
      <c r="L11" s="67">
        <v>225.82</v>
      </c>
      <c r="M11" s="58"/>
      <c r="N11" s="59">
        <v>1.1837</v>
      </c>
      <c r="O11" s="60"/>
      <c r="P11" s="68">
        <v>195.01562896004054</v>
      </c>
      <c r="Q11" s="68">
        <v>196.27439384979303</v>
      </c>
      <c r="R11" s="68">
        <v>183.32347723240687</v>
      </c>
      <c r="S11" s="68">
        <v>200.60826222860524</v>
      </c>
      <c r="T11" s="68">
        <v>244.99450874376953</v>
      </c>
      <c r="U11" s="68" t="s">
        <v>23</v>
      </c>
      <c r="V11" s="66">
        <v>175.18796992481205</v>
      </c>
      <c r="W11" s="66">
        <v>184.16828588324745</v>
      </c>
      <c r="X11" s="66" t="s">
        <v>23</v>
      </c>
      <c r="Y11" s="57">
        <v>190.92675508997212</v>
      </c>
      <c r="Z11" s="57">
        <v>190.77468953282082</v>
      </c>
    </row>
    <row r="12" ht="14.25" customHeight="1">
      <c r="A12" s="54">
        <v>45910.0</v>
      </c>
      <c r="B12" s="55">
        <v>225.97</v>
      </c>
      <c r="C12" s="55">
        <v>224.51</v>
      </c>
      <c r="D12" s="55">
        <v>215.0</v>
      </c>
      <c r="E12" s="55">
        <v>234.06</v>
      </c>
      <c r="F12" s="55">
        <v>300.0</v>
      </c>
      <c r="G12" s="55" t="s">
        <v>23</v>
      </c>
      <c r="H12" s="56">
        <v>202.35</v>
      </c>
      <c r="I12" s="56">
        <v>216.0</v>
      </c>
      <c r="J12" s="56" t="s">
        <v>23</v>
      </c>
      <c r="K12" s="57">
        <v>227.0</v>
      </c>
      <c r="L12" s="57">
        <v>221.0</v>
      </c>
      <c r="M12" s="58"/>
      <c r="N12" s="59">
        <v>1.1707</v>
      </c>
      <c r="O12" s="60"/>
      <c r="P12" s="61">
        <v>193.02126932604423</v>
      </c>
      <c r="Q12" s="61">
        <v>191.77415221662253</v>
      </c>
      <c r="R12" s="61">
        <v>183.65080720936191</v>
      </c>
      <c r="S12" s="61">
        <v>199.9316648159221</v>
      </c>
      <c r="T12" s="61">
        <v>256.25694029213287</v>
      </c>
      <c r="U12" s="61" t="s">
        <v>23</v>
      </c>
      <c r="V12" s="62">
        <v>172.84530622704364</v>
      </c>
      <c r="W12" s="62">
        <v>184.50499701033567</v>
      </c>
      <c r="X12" s="62" t="s">
        <v>23</v>
      </c>
      <c r="Y12" s="63">
        <v>193.90108482104722</v>
      </c>
      <c r="Z12" s="63">
        <v>188.77594601520457</v>
      </c>
    </row>
    <row r="13" ht="14.25" customHeight="1">
      <c r="A13" s="64">
        <v>45903.0</v>
      </c>
      <c r="B13" s="65">
        <v>221.93</v>
      </c>
      <c r="C13" s="65">
        <v>224.93</v>
      </c>
      <c r="D13" s="65">
        <v>211.0</v>
      </c>
      <c r="E13" s="65">
        <v>226.98</v>
      </c>
      <c r="F13" s="65">
        <v>300.0</v>
      </c>
      <c r="G13" s="65" t="s">
        <v>23</v>
      </c>
      <c r="H13" s="66">
        <v>207.47</v>
      </c>
      <c r="I13" s="66">
        <v>230.0</v>
      </c>
      <c r="J13" s="66" t="s">
        <v>23</v>
      </c>
      <c r="K13" s="67">
        <v>228.0</v>
      </c>
      <c r="L13" s="67">
        <v>221.43</v>
      </c>
      <c r="M13" s="58"/>
      <c r="N13" s="59">
        <v>1.1653</v>
      </c>
      <c r="O13" s="60"/>
      <c r="P13" s="68">
        <v>190.44881146485884</v>
      </c>
      <c r="Q13" s="68">
        <v>193.02325581395348</v>
      </c>
      <c r="R13" s="68">
        <v>181.06925255299063</v>
      </c>
      <c r="S13" s="68">
        <v>194.78245945250148</v>
      </c>
      <c r="T13" s="68">
        <v>257.4444349094654</v>
      </c>
      <c r="U13" s="68" t="s">
        <v>23</v>
      </c>
      <c r="V13" s="66">
        <v>178.0399897022226</v>
      </c>
      <c r="W13" s="66">
        <v>197.37406676392345</v>
      </c>
      <c r="X13" s="66" t="s">
        <v>23</v>
      </c>
      <c r="Y13" s="57">
        <v>195.65777053119368</v>
      </c>
      <c r="Z13" s="57">
        <v>190.0197374066764</v>
      </c>
    </row>
    <row r="14" ht="14.25" customHeight="1">
      <c r="A14" s="54">
        <v>45896.0</v>
      </c>
      <c r="B14" s="55">
        <v>219.45</v>
      </c>
      <c r="C14" s="55">
        <v>230.15</v>
      </c>
      <c r="D14" s="55">
        <v>213.0</v>
      </c>
      <c r="E14" s="55">
        <v>226.16</v>
      </c>
      <c r="F14" s="55">
        <v>315.0</v>
      </c>
      <c r="G14" s="55" t="s">
        <v>23</v>
      </c>
      <c r="H14" s="56">
        <v>202.16</v>
      </c>
      <c r="I14" s="56">
        <v>243.0</v>
      </c>
      <c r="J14" s="56" t="s">
        <v>23</v>
      </c>
      <c r="K14" s="57">
        <v>223.0</v>
      </c>
      <c r="L14" s="57">
        <v>221.44</v>
      </c>
      <c r="M14" s="58"/>
      <c r="N14" s="59">
        <v>1.1593</v>
      </c>
      <c r="O14" s="60"/>
      <c r="P14" s="61">
        <v>189.2952643836798</v>
      </c>
      <c r="Q14" s="61">
        <v>198.52497196584147</v>
      </c>
      <c r="R14" s="61">
        <v>183.73156214957302</v>
      </c>
      <c r="S14" s="61">
        <v>195.0832398861382</v>
      </c>
      <c r="T14" s="61">
        <v>271.7156905028897</v>
      </c>
      <c r="U14" s="61" t="s">
        <v>23</v>
      </c>
      <c r="V14" s="62">
        <v>174.38109203829896</v>
      </c>
      <c r="W14" s="62">
        <v>209.60924695937203</v>
      </c>
      <c r="X14" s="62" t="s">
        <v>23</v>
      </c>
      <c r="Y14" s="63">
        <v>192.3574570861727</v>
      </c>
      <c r="Z14" s="63">
        <v>191.01181747606313</v>
      </c>
    </row>
    <row r="15" ht="14.25" customHeight="1">
      <c r="A15" s="64">
        <v>45889.0</v>
      </c>
      <c r="B15" s="65">
        <v>218.81</v>
      </c>
      <c r="C15" s="65">
        <v>232.63</v>
      </c>
      <c r="D15" s="65">
        <v>215.0</v>
      </c>
      <c r="E15" s="65">
        <v>231.76</v>
      </c>
      <c r="F15" s="65">
        <v>315.0</v>
      </c>
      <c r="G15" s="65">
        <v>336.049793</v>
      </c>
      <c r="H15" s="66">
        <v>201.17</v>
      </c>
      <c r="I15" s="66">
        <v>243.0</v>
      </c>
      <c r="J15" s="66" t="s">
        <v>23</v>
      </c>
      <c r="K15" s="67">
        <v>222.0</v>
      </c>
      <c r="L15" s="67">
        <v>224.47</v>
      </c>
      <c r="M15" s="58"/>
      <c r="N15" s="59">
        <v>1.1651</v>
      </c>
      <c r="O15" s="60"/>
      <c r="P15" s="68">
        <v>187.8036220066947</v>
      </c>
      <c r="Q15" s="68">
        <v>199.66526478413869</v>
      </c>
      <c r="R15" s="68">
        <v>184.5335164363574</v>
      </c>
      <c r="S15" s="68">
        <v>198.9185477641404</v>
      </c>
      <c r="T15" s="68">
        <v>270.3630589648957</v>
      </c>
      <c r="U15" s="68">
        <v>288.43</v>
      </c>
      <c r="V15" s="66">
        <v>172.66329070466054</v>
      </c>
      <c r="W15" s="66">
        <v>208.5657883443481</v>
      </c>
      <c r="X15" s="66" t="s">
        <v>23</v>
      </c>
      <c r="Y15" s="57">
        <v>190.54158441335508</v>
      </c>
      <c r="Z15" s="57">
        <v>192.66157411380996</v>
      </c>
    </row>
    <row r="16" ht="14.25" customHeight="1">
      <c r="A16" s="54">
        <v>45882.0</v>
      </c>
      <c r="B16" s="55">
        <v>217.61</v>
      </c>
      <c r="C16" s="55">
        <v>237.46</v>
      </c>
      <c r="D16" s="55">
        <v>222.0</v>
      </c>
      <c r="E16" s="55">
        <v>230.29</v>
      </c>
      <c r="F16" s="55">
        <v>315.0</v>
      </c>
      <c r="G16" s="55">
        <v>328.99712300000004</v>
      </c>
      <c r="H16" s="56">
        <v>197.63</v>
      </c>
      <c r="I16" s="56">
        <v>244.0</v>
      </c>
      <c r="J16" s="56" t="s">
        <v>23</v>
      </c>
      <c r="K16" s="57">
        <v>224.0</v>
      </c>
      <c r="L16" s="57">
        <v>221.06</v>
      </c>
      <c r="M16" s="58"/>
      <c r="N16" s="59">
        <v>1.1711</v>
      </c>
      <c r="O16" s="60"/>
      <c r="P16" s="61">
        <v>185.81675347963454</v>
      </c>
      <c r="Q16" s="61">
        <v>202.76662966441808</v>
      </c>
      <c r="R16" s="61">
        <v>189.56536589531208</v>
      </c>
      <c r="S16" s="61">
        <v>196.6441806848262</v>
      </c>
      <c r="T16" s="61">
        <v>268.97788404064556</v>
      </c>
      <c r="U16" s="61">
        <v>280.93</v>
      </c>
      <c r="V16" s="62">
        <v>168.75587054905643</v>
      </c>
      <c r="W16" s="62">
        <v>208.3511228759286</v>
      </c>
      <c r="X16" s="62" t="s">
        <v>23</v>
      </c>
      <c r="Y16" s="63">
        <v>191.27316198445905</v>
      </c>
      <c r="Z16" s="63">
        <v>188.76270173341302</v>
      </c>
    </row>
    <row r="17" ht="14.25" customHeight="1">
      <c r="A17" s="64">
        <v>45875.0</v>
      </c>
      <c r="B17" s="65">
        <v>214.4</v>
      </c>
      <c r="C17" s="65">
        <v>233.77</v>
      </c>
      <c r="D17" s="65">
        <v>224.0</v>
      </c>
      <c r="E17" s="65">
        <v>230.2</v>
      </c>
      <c r="F17" s="65">
        <v>310.0</v>
      </c>
      <c r="G17" s="65" t="s">
        <v>23</v>
      </c>
      <c r="H17" s="66">
        <v>194.77</v>
      </c>
      <c r="I17" s="66">
        <v>245.0</v>
      </c>
      <c r="J17" s="66" t="s">
        <v>23</v>
      </c>
      <c r="K17" s="67">
        <v>221.0</v>
      </c>
      <c r="L17" s="67">
        <v>219.79</v>
      </c>
      <c r="M17" s="58"/>
      <c r="N17" s="59">
        <v>1.1604</v>
      </c>
      <c r="O17" s="60"/>
      <c r="P17" s="68">
        <v>184.7638745260255</v>
      </c>
      <c r="Q17" s="68">
        <v>201.45639434677696</v>
      </c>
      <c r="R17" s="68">
        <v>193.03688383316097</v>
      </c>
      <c r="S17" s="68">
        <v>198.37986901068595</v>
      </c>
      <c r="T17" s="68">
        <v>267.1492588762495</v>
      </c>
      <c r="U17" s="68" t="s">
        <v>23</v>
      </c>
      <c r="V17" s="66">
        <v>167.84729403653913</v>
      </c>
      <c r="W17" s="66">
        <v>211.1340916925198</v>
      </c>
      <c r="X17" s="66" t="s">
        <v>23</v>
      </c>
      <c r="Y17" s="57">
        <v>190.45156842468114</v>
      </c>
      <c r="Z17" s="57">
        <v>189.40882454326092</v>
      </c>
    </row>
    <row r="18" ht="14.25" customHeight="1">
      <c r="A18" s="54">
        <v>45868.0</v>
      </c>
      <c r="B18" s="55">
        <v>216.33</v>
      </c>
      <c r="C18" s="55">
        <v>232.49</v>
      </c>
      <c r="D18" s="55">
        <v>225.0</v>
      </c>
      <c r="E18" s="55">
        <v>234.06</v>
      </c>
      <c r="F18" s="55">
        <v>315.0</v>
      </c>
      <c r="G18" s="55">
        <v>316.9925</v>
      </c>
      <c r="H18" s="56">
        <v>196.35</v>
      </c>
      <c r="I18" s="56">
        <v>243.0</v>
      </c>
      <c r="J18" s="56" t="s">
        <v>23</v>
      </c>
      <c r="K18" s="57">
        <v>220.0</v>
      </c>
      <c r="L18" s="57">
        <v>216.44</v>
      </c>
      <c r="M18" s="58"/>
      <c r="N18" s="59">
        <v>1.1527</v>
      </c>
      <c r="O18" s="60"/>
      <c r="P18" s="61">
        <v>187.67242127179665</v>
      </c>
      <c r="Q18" s="61">
        <v>201.6916804025332</v>
      </c>
      <c r="R18" s="61">
        <v>195.19389259998263</v>
      </c>
      <c r="S18" s="61">
        <v>203.05370000867526</v>
      </c>
      <c r="T18" s="61">
        <v>273.2714496399757</v>
      </c>
      <c r="U18" s="61">
        <v>275.0</v>
      </c>
      <c r="V18" s="62">
        <v>170.33920360891818</v>
      </c>
      <c r="W18" s="62">
        <v>210.80940400798124</v>
      </c>
      <c r="X18" s="62" t="s">
        <v>23</v>
      </c>
      <c r="Y18" s="63">
        <v>190.85625054220526</v>
      </c>
      <c r="Z18" s="63">
        <v>187.76784939706775</v>
      </c>
    </row>
    <row r="19" ht="14.25" customHeight="1">
      <c r="A19" s="64">
        <v>45861.0</v>
      </c>
      <c r="B19" s="65">
        <v>218.81</v>
      </c>
      <c r="C19" s="65">
        <v>237.03</v>
      </c>
      <c r="D19" s="65">
        <v>225.0</v>
      </c>
      <c r="E19" s="65">
        <v>232.77</v>
      </c>
      <c r="F19" s="65">
        <v>320.0</v>
      </c>
      <c r="G19" s="65" t="s">
        <v>23</v>
      </c>
      <c r="H19" s="66">
        <v>200.19</v>
      </c>
      <c r="I19" s="66">
        <v>246.0</v>
      </c>
      <c r="J19" s="66" t="s">
        <v>23</v>
      </c>
      <c r="K19" s="67">
        <v>215.0</v>
      </c>
      <c r="L19" s="67">
        <v>226.46</v>
      </c>
      <c r="M19" s="58"/>
      <c r="N19" s="59">
        <v>1.1726</v>
      </c>
      <c r="O19" s="60"/>
      <c r="P19" s="68">
        <v>186.60242196827562</v>
      </c>
      <c r="Q19" s="68">
        <v>202.1405423844448</v>
      </c>
      <c r="R19" s="68">
        <v>191.88128944226503</v>
      </c>
      <c r="S19" s="68">
        <v>198.5075899710046</v>
      </c>
      <c r="T19" s="68">
        <v>272.89783387344363</v>
      </c>
      <c r="U19" s="68" t="s">
        <v>23</v>
      </c>
      <c r="V19" s="66">
        <v>170.7231792597646</v>
      </c>
      <c r="W19" s="66">
        <v>209.7902097902098</v>
      </c>
      <c r="X19" s="66" t="s">
        <v>23</v>
      </c>
      <c r="Y19" s="57">
        <v>183.35323213371993</v>
      </c>
      <c r="Z19" s="57">
        <v>193.12638580931264</v>
      </c>
    </row>
    <row r="20" ht="14.25" customHeight="1">
      <c r="A20" s="54">
        <v>45854.0</v>
      </c>
      <c r="B20" s="55">
        <v>219.08</v>
      </c>
      <c r="C20" s="55">
        <v>231.16</v>
      </c>
      <c r="D20" s="55">
        <v>217.0</v>
      </c>
      <c r="E20" s="55">
        <v>232.5</v>
      </c>
      <c r="F20" s="55">
        <v>320.0</v>
      </c>
      <c r="G20" s="55" t="s">
        <v>23</v>
      </c>
      <c r="H20" s="56">
        <v>202.84</v>
      </c>
      <c r="I20" s="56">
        <v>239.0</v>
      </c>
      <c r="J20" s="56" t="s">
        <v>23</v>
      </c>
      <c r="K20" s="57">
        <v>208.0</v>
      </c>
      <c r="L20" s="57">
        <v>220.7</v>
      </c>
      <c r="M20" s="58"/>
      <c r="N20" s="59">
        <v>1.1602</v>
      </c>
      <c r="O20" s="60"/>
      <c r="P20" s="61">
        <v>188.82951215307708</v>
      </c>
      <c r="Q20" s="61">
        <v>199.24151008446822</v>
      </c>
      <c r="R20" s="61">
        <v>187.0367178072746</v>
      </c>
      <c r="S20" s="61">
        <v>200.3964833649371</v>
      </c>
      <c r="T20" s="61">
        <v>275.81451473883817</v>
      </c>
      <c r="U20" s="61" t="s">
        <v>23</v>
      </c>
      <c r="V20" s="62">
        <v>174.83192553008104</v>
      </c>
      <c r="W20" s="62">
        <v>205.99896569556975</v>
      </c>
      <c r="X20" s="62" t="s">
        <v>23</v>
      </c>
      <c r="Y20" s="63">
        <v>179.2794345802448</v>
      </c>
      <c r="Z20" s="63">
        <v>190.22582313394244</v>
      </c>
    </row>
    <row r="21" ht="14.25" customHeight="1">
      <c r="A21" s="64">
        <v>45847.0</v>
      </c>
      <c r="B21" s="65">
        <v>221.2</v>
      </c>
      <c r="C21" s="65">
        <v>231.52</v>
      </c>
      <c r="D21" s="65">
        <v>213.0</v>
      </c>
      <c r="E21" s="65">
        <v>232.96</v>
      </c>
      <c r="F21" s="65">
        <v>320.0</v>
      </c>
      <c r="G21" s="65" t="s">
        <v>23</v>
      </c>
      <c r="H21" s="66">
        <v>194.18</v>
      </c>
      <c r="I21" s="66">
        <v>232.0</v>
      </c>
      <c r="J21" s="66" t="s">
        <v>23</v>
      </c>
      <c r="K21" s="67">
        <v>200.0</v>
      </c>
      <c r="L21" s="67">
        <v>219.82</v>
      </c>
      <c r="M21" s="58"/>
      <c r="N21" s="59">
        <v>1.1698</v>
      </c>
      <c r="O21" s="60"/>
      <c r="P21" s="68">
        <v>189.09215250470166</v>
      </c>
      <c r="Q21" s="68">
        <v>197.91417336296806</v>
      </c>
      <c r="R21" s="68">
        <v>182.08240724910243</v>
      </c>
      <c r="S21" s="68">
        <v>199.14515301760986</v>
      </c>
      <c r="T21" s="68">
        <v>273.5510343648487</v>
      </c>
      <c r="U21" s="68" t="s">
        <v>23</v>
      </c>
      <c r="V21" s="66">
        <v>165.99418704051976</v>
      </c>
      <c r="W21" s="66">
        <v>198.32449991451531</v>
      </c>
      <c r="X21" s="66" t="s">
        <v>23</v>
      </c>
      <c r="Y21" s="57">
        <v>170.96939647803043</v>
      </c>
      <c r="Z21" s="57">
        <v>187.91246366900324</v>
      </c>
    </row>
    <row r="22" ht="14.25" customHeight="1">
      <c r="A22" s="54">
        <v>45840.0</v>
      </c>
      <c r="B22" s="55">
        <v>227.44</v>
      </c>
      <c r="C22" s="55">
        <v>230.83</v>
      </c>
      <c r="D22" s="55">
        <v>212.0</v>
      </c>
      <c r="E22" s="55">
        <v>241.5</v>
      </c>
      <c r="F22" s="55">
        <v>320.0</v>
      </c>
      <c r="G22" s="55" t="s">
        <v>23</v>
      </c>
      <c r="H22" s="56">
        <v>200.78</v>
      </c>
      <c r="I22" s="56">
        <v>237.0</v>
      </c>
      <c r="J22" s="56" t="s">
        <v>23</v>
      </c>
      <c r="K22" s="57">
        <v>196.0</v>
      </c>
      <c r="L22" s="57">
        <v>216.68</v>
      </c>
      <c r="M22" s="58"/>
      <c r="N22" s="59">
        <v>1.1755</v>
      </c>
      <c r="O22" s="60"/>
      <c r="P22" s="61">
        <v>193.48362398979157</v>
      </c>
      <c r="Q22" s="61">
        <v>196.36750319013188</v>
      </c>
      <c r="R22" s="61">
        <v>180.34878774989366</v>
      </c>
      <c r="S22" s="61">
        <v>205.44449170565716</v>
      </c>
      <c r="T22" s="61">
        <v>272.22458528285836</v>
      </c>
      <c r="U22" s="61" t="s">
        <v>23</v>
      </c>
      <c r="V22" s="62">
        <v>170.80391322841345</v>
      </c>
      <c r="W22" s="62">
        <v>201.61633347511696</v>
      </c>
      <c r="X22" s="62" t="s">
        <v>23</v>
      </c>
      <c r="Y22" s="63">
        <v>166.73755848575075</v>
      </c>
      <c r="Z22" s="63">
        <v>184.33007230965546</v>
      </c>
    </row>
    <row r="23" ht="14.25" customHeight="1">
      <c r="A23" s="64">
        <v>45833.0</v>
      </c>
      <c r="B23" s="65">
        <v>217.98</v>
      </c>
      <c r="C23" s="65">
        <v>227.5</v>
      </c>
      <c r="D23" s="65">
        <v>211.0</v>
      </c>
      <c r="E23" s="65">
        <v>234.88</v>
      </c>
      <c r="F23" s="65">
        <v>320.0</v>
      </c>
      <c r="G23" s="65" t="s">
        <v>23</v>
      </c>
      <c r="H23" s="66">
        <v>192.22</v>
      </c>
      <c r="I23" s="66">
        <v>234.0</v>
      </c>
      <c r="J23" s="66" t="s">
        <v>23</v>
      </c>
      <c r="K23" s="67">
        <v>195.0</v>
      </c>
      <c r="L23" s="67">
        <v>215.88</v>
      </c>
      <c r="M23" s="58"/>
      <c r="N23" s="59">
        <v>1.1598</v>
      </c>
      <c r="O23" s="60"/>
      <c r="P23" s="68">
        <v>187.94619762027935</v>
      </c>
      <c r="Q23" s="68">
        <v>196.1545093981721</v>
      </c>
      <c r="R23" s="68">
        <v>181.92791860665633</v>
      </c>
      <c r="S23" s="68">
        <v>202.51767546128644</v>
      </c>
      <c r="T23" s="68">
        <v>275.9096395930333</v>
      </c>
      <c r="U23" s="68" t="s">
        <v>23</v>
      </c>
      <c r="V23" s="66">
        <v>165.7354716330402</v>
      </c>
      <c r="W23" s="66">
        <v>201.7589239524056</v>
      </c>
      <c r="X23" s="66" t="s">
        <v>23</v>
      </c>
      <c r="Y23" s="57">
        <v>168.13243662700467</v>
      </c>
      <c r="Z23" s="57">
        <v>186.13554061045008</v>
      </c>
    </row>
    <row r="24" ht="14.25" customHeight="1">
      <c r="A24" s="54">
        <v>45826.0</v>
      </c>
      <c r="B24" s="55">
        <v>236.72</v>
      </c>
      <c r="C24" s="55">
        <v>235.93</v>
      </c>
      <c r="D24" s="55">
        <v>209.0</v>
      </c>
      <c r="E24" s="55">
        <v>252.15</v>
      </c>
      <c r="F24" s="55">
        <v>320.0</v>
      </c>
      <c r="G24" s="55" t="s">
        <v>23</v>
      </c>
      <c r="H24" s="56">
        <v>200.19</v>
      </c>
      <c r="I24" s="56">
        <v>232.0</v>
      </c>
      <c r="J24" s="56" t="s">
        <v>23</v>
      </c>
      <c r="K24" s="57">
        <v>200.0</v>
      </c>
      <c r="L24" s="57">
        <v>222.11</v>
      </c>
      <c r="M24" s="58"/>
      <c r="N24" s="59">
        <v>1.1508</v>
      </c>
      <c r="O24" s="60"/>
      <c r="P24" s="61">
        <v>205.7003823427181</v>
      </c>
      <c r="Q24" s="61">
        <v>205.0139033715676</v>
      </c>
      <c r="R24" s="61">
        <v>181.6127911018422</v>
      </c>
      <c r="S24" s="61">
        <v>219.1084462982273</v>
      </c>
      <c r="T24" s="61">
        <v>278.06743135210286</v>
      </c>
      <c r="U24" s="61" t="s">
        <v>23</v>
      </c>
      <c r="V24" s="62">
        <v>173.95724713242961</v>
      </c>
      <c r="W24" s="62">
        <v>201.59888773027458</v>
      </c>
      <c r="X24" s="62" t="s">
        <v>23</v>
      </c>
      <c r="Y24" s="63">
        <v>173.7921445950643</v>
      </c>
      <c r="Z24" s="63">
        <v>193.00486618004868</v>
      </c>
    </row>
    <row r="25" ht="14.25" customHeight="1">
      <c r="A25" s="64">
        <v>45819.0</v>
      </c>
      <c r="B25" s="65">
        <v>222.02</v>
      </c>
      <c r="C25" s="65">
        <v>227.52</v>
      </c>
      <c r="D25" s="65">
        <v>212.0</v>
      </c>
      <c r="E25" s="65">
        <v>235.62</v>
      </c>
      <c r="F25" s="65">
        <v>320.0</v>
      </c>
      <c r="G25" s="65" t="s">
        <v>23</v>
      </c>
      <c r="H25" s="66">
        <v>201.57</v>
      </c>
      <c r="I25" s="66">
        <v>238.0</v>
      </c>
      <c r="J25" s="66" t="s">
        <v>23</v>
      </c>
      <c r="K25" s="67">
        <v>196.0</v>
      </c>
      <c r="L25" s="67">
        <v>221.77</v>
      </c>
      <c r="M25" s="58"/>
      <c r="N25" s="59">
        <v>1.1433</v>
      </c>
      <c r="O25" s="60"/>
      <c r="P25" s="68">
        <v>194.19225050293014</v>
      </c>
      <c r="Q25" s="68">
        <v>199.00288638152716</v>
      </c>
      <c r="R25" s="68">
        <v>185.42814659319515</v>
      </c>
      <c r="S25" s="68">
        <v>206.08764103909735</v>
      </c>
      <c r="T25" s="68">
        <v>279.89154202746437</v>
      </c>
      <c r="U25" s="68" t="s">
        <v>23</v>
      </c>
      <c r="V25" s="66">
        <v>176.30543164523746</v>
      </c>
      <c r="W25" s="66">
        <v>208.16933438292662</v>
      </c>
      <c r="X25" s="66" t="s">
        <v>23</v>
      </c>
      <c r="Y25" s="57">
        <v>171.4335694918219</v>
      </c>
      <c r="Z25" s="57">
        <v>193.97358523572117</v>
      </c>
    </row>
    <row r="26" ht="14.25" customHeight="1">
      <c r="A26" s="54">
        <v>45812.0</v>
      </c>
      <c r="B26" s="55">
        <v>225.33</v>
      </c>
      <c r="C26" s="55">
        <v>228.49</v>
      </c>
      <c r="D26" s="55">
        <v>212.0</v>
      </c>
      <c r="E26" s="55">
        <v>240.85</v>
      </c>
      <c r="F26" s="55">
        <v>320.0</v>
      </c>
      <c r="G26" s="55" t="s">
        <v>23</v>
      </c>
      <c r="H26" s="56">
        <v>203.44</v>
      </c>
      <c r="I26" s="56">
        <v>239.0</v>
      </c>
      <c r="J26" s="56" t="s">
        <v>23</v>
      </c>
      <c r="K26" s="57">
        <v>203.0</v>
      </c>
      <c r="L26" s="57">
        <v>223.93</v>
      </c>
      <c r="M26" s="58"/>
      <c r="N26" s="59">
        <v>1.1384</v>
      </c>
      <c r="O26" s="60"/>
      <c r="P26" s="61">
        <v>197.93569922698524</v>
      </c>
      <c r="Q26" s="61">
        <v>200.71152494729444</v>
      </c>
      <c r="R26" s="61">
        <v>186.22628250175683</v>
      </c>
      <c r="S26" s="61">
        <v>211.5688685874912</v>
      </c>
      <c r="T26" s="61">
        <v>281.09627547434997</v>
      </c>
      <c r="U26" s="61" t="s">
        <v>23</v>
      </c>
      <c r="V26" s="62">
        <v>178.70695713281796</v>
      </c>
      <c r="W26" s="62">
        <v>209.94378074490513</v>
      </c>
      <c r="X26" s="62" t="s">
        <v>23</v>
      </c>
      <c r="Y26" s="63">
        <v>178.32044975404074</v>
      </c>
      <c r="Z26" s="63">
        <v>196.70590302178496</v>
      </c>
    </row>
    <row r="27" ht="14.25" customHeight="1">
      <c r="A27" s="64">
        <v>45805.0</v>
      </c>
      <c r="B27" s="65">
        <v>220.55</v>
      </c>
      <c r="C27" s="65">
        <v>229.18</v>
      </c>
      <c r="D27" s="65">
        <v>225.0</v>
      </c>
      <c r="E27" s="65">
        <v>235.25</v>
      </c>
      <c r="F27" s="65">
        <v>320.0</v>
      </c>
      <c r="G27" s="65" t="s">
        <v>23</v>
      </c>
      <c r="H27" s="66">
        <v>208.26</v>
      </c>
      <c r="I27" s="66">
        <v>238.0</v>
      </c>
      <c r="J27" s="66" t="s">
        <v>23</v>
      </c>
      <c r="K27" s="67">
        <v>201.0</v>
      </c>
      <c r="L27" s="67">
        <v>221.28</v>
      </c>
      <c r="M27" s="58"/>
      <c r="N27" s="59">
        <v>1.1317</v>
      </c>
      <c r="O27" s="60"/>
      <c r="P27" s="68">
        <v>194.8838031280375</v>
      </c>
      <c r="Q27" s="68">
        <v>202.50949898382964</v>
      </c>
      <c r="R27" s="68">
        <v>198.81594062030575</v>
      </c>
      <c r="S27" s="68">
        <v>207.87311124856413</v>
      </c>
      <c r="T27" s="68">
        <v>282.76044888221264</v>
      </c>
      <c r="U27" s="68" t="s">
        <v>23</v>
      </c>
      <c r="V27" s="66">
        <v>184.024034638155</v>
      </c>
      <c r="W27" s="66">
        <v>210.30308385614563</v>
      </c>
      <c r="X27" s="66" t="s">
        <v>23</v>
      </c>
      <c r="Y27" s="57">
        <v>177.6089069541398</v>
      </c>
      <c r="Z27" s="57">
        <v>195.52885040205004</v>
      </c>
    </row>
    <row r="28" ht="14.25" customHeight="1">
      <c r="A28" s="54">
        <v>45798.0</v>
      </c>
      <c r="B28" s="55">
        <v>227.54</v>
      </c>
      <c r="C28" s="55">
        <v>243.97</v>
      </c>
      <c r="D28" s="55">
        <v>235.0</v>
      </c>
      <c r="E28" s="55">
        <v>242.69</v>
      </c>
      <c r="F28" s="55">
        <v>320.0</v>
      </c>
      <c r="G28" s="55" t="s">
        <v>23</v>
      </c>
      <c r="H28" s="56">
        <v>212.19</v>
      </c>
      <c r="I28" s="56">
        <v>242.0</v>
      </c>
      <c r="J28" s="56" t="s">
        <v>23</v>
      </c>
      <c r="K28" s="57">
        <v>217.0</v>
      </c>
      <c r="L28" s="57">
        <v>232.62</v>
      </c>
      <c r="M28" s="58"/>
      <c r="N28" s="59">
        <v>1.1321</v>
      </c>
      <c r="O28" s="60"/>
      <c r="P28" s="61">
        <v>200.9893118982422</v>
      </c>
      <c r="Q28" s="61">
        <v>215.50216411977738</v>
      </c>
      <c r="R28" s="61">
        <v>207.57883579189115</v>
      </c>
      <c r="S28" s="61">
        <v>214.37152195035773</v>
      </c>
      <c r="T28" s="61">
        <v>282.6605423549156</v>
      </c>
      <c r="U28" s="61" t="s">
        <v>23</v>
      </c>
      <c r="V28" s="62">
        <v>187.43043900715483</v>
      </c>
      <c r="W28" s="62">
        <v>213.76203515590493</v>
      </c>
      <c r="X28" s="62" t="s">
        <v>23</v>
      </c>
      <c r="Y28" s="63">
        <v>191.67918028442716</v>
      </c>
      <c r="Z28" s="63">
        <v>205.47654800812649</v>
      </c>
    </row>
    <row r="29" ht="14.25" customHeight="1">
      <c r="A29" s="64">
        <v>45791.0</v>
      </c>
      <c r="B29" s="65">
        <v>218.53</v>
      </c>
      <c r="C29" s="65">
        <v>230.37</v>
      </c>
      <c r="D29" s="65">
        <v>232.0</v>
      </c>
      <c r="E29" s="65">
        <v>234.42</v>
      </c>
      <c r="F29" s="65">
        <v>320.0</v>
      </c>
      <c r="G29" s="65" t="s">
        <v>23</v>
      </c>
      <c r="H29" s="66">
        <v>205.7</v>
      </c>
      <c r="I29" s="66">
        <v>243.0</v>
      </c>
      <c r="J29" s="66" t="s">
        <v>23</v>
      </c>
      <c r="K29" s="67">
        <v>213.0</v>
      </c>
      <c r="L29" s="67">
        <v>219.73</v>
      </c>
      <c r="M29" s="58"/>
      <c r="N29" s="59">
        <v>1.1214</v>
      </c>
      <c r="O29" s="60"/>
      <c r="P29" s="68">
        <v>194.872480827537</v>
      </c>
      <c r="Q29" s="68">
        <v>205.4307116104869</v>
      </c>
      <c r="R29" s="68">
        <v>206.88425182807205</v>
      </c>
      <c r="S29" s="68">
        <v>209.0422685928304</v>
      </c>
      <c r="T29" s="68">
        <v>285.3575887283753</v>
      </c>
      <c r="U29" s="68" t="s">
        <v>23</v>
      </c>
      <c r="V29" s="66">
        <v>183.4314250044587</v>
      </c>
      <c r="W29" s="66">
        <v>216.69341894060997</v>
      </c>
      <c r="X29" s="66" t="s">
        <v>23</v>
      </c>
      <c r="Y29" s="57">
        <v>189.94114499732478</v>
      </c>
      <c r="Z29" s="57">
        <v>195.94257178526843</v>
      </c>
    </row>
    <row r="30" ht="14.25" customHeight="1">
      <c r="A30" s="54">
        <v>45784.0</v>
      </c>
      <c r="B30" s="55">
        <v>222.02</v>
      </c>
      <c r="C30" s="55">
        <v>233.86</v>
      </c>
      <c r="D30" s="55">
        <v>234.0</v>
      </c>
      <c r="E30" s="55">
        <v>238.65</v>
      </c>
      <c r="F30" s="55">
        <v>315.0</v>
      </c>
      <c r="G30" s="55" t="s">
        <v>23</v>
      </c>
      <c r="H30" s="56">
        <v>207.57</v>
      </c>
      <c r="I30" s="56">
        <v>248.0</v>
      </c>
      <c r="J30" s="56" t="s">
        <v>23</v>
      </c>
      <c r="K30" s="57">
        <v>218.0</v>
      </c>
      <c r="L30" s="57">
        <v>219.11</v>
      </c>
      <c r="M30" s="58"/>
      <c r="N30" s="59">
        <v>1.136</v>
      </c>
      <c r="O30" s="60"/>
      <c r="P30" s="61">
        <v>195.44014084507046</v>
      </c>
      <c r="Q30" s="61">
        <v>205.86267605633805</v>
      </c>
      <c r="R30" s="61">
        <v>205.98591549295776</v>
      </c>
      <c r="S30" s="61">
        <v>210.0792253521127</v>
      </c>
      <c r="T30" s="61">
        <v>277.2887323943662</v>
      </c>
      <c r="U30" s="61" t="s">
        <v>23</v>
      </c>
      <c r="V30" s="62">
        <v>182.72007042253523</v>
      </c>
      <c r="W30" s="62">
        <v>218.3098591549296</v>
      </c>
      <c r="X30" s="62" t="s">
        <v>23</v>
      </c>
      <c r="Y30" s="63">
        <v>191.90140845070425</v>
      </c>
      <c r="Z30" s="63">
        <v>192.8785211267606</v>
      </c>
    </row>
    <row r="31" ht="14.25" customHeight="1">
      <c r="A31" s="64">
        <v>45777.0</v>
      </c>
      <c r="B31" s="65">
        <v>218.9</v>
      </c>
      <c r="C31" s="65">
        <v>236.21</v>
      </c>
      <c r="D31" s="65">
        <v>234.0</v>
      </c>
      <c r="E31" s="65">
        <v>238.65</v>
      </c>
      <c r="F31" s="65">
        <v>315.0</v>
      </c>
      <c r="G31" s="65" t="s">
        <v>23</v>
      </c>
      <c r="H31" s="66">
        <v>215.54</v>
      </c>
      <c r="I31" s="66">
        <v>249.0</v>
      </c>
      <c r="J31" s="66" t="s">
        <v>23</v>
      </c>
      <c r="K31" s="67">
        <v>220.0</v>
      </c>
      <c r="L31" s="67">
        <v>222.59</v>
      </c>
      <c r="M31" s="58"/>
      <c r="N31" s="59">
        <v>1.1373</v>
      </c>
      <c r="O31" s="60"/>
      <c r="P31" s="68">
        <v>192.47340191682054</v>
      </c>
      <c r="Q31" s="68">
        <v>207.6936604238108</v>
      </c>
      <c r="R31" s="68">
        <v>205.75046161962544</v>
      </c>
      <c r="S31" s="68">
        <v>209.83909258770774</v>
      </c>
      <c r="T31" s="68">
        <v>276.9717752571881</v>
      </c>
      <c r="U31" s="68" t="s">
        <v>23</v>
      </c>
      <c r="V31" s="66">
        <v>189.5190363140772</v>
      </c>
      <c r="W31" s="66">
        <v>218.93959377472962</v>
      </c>
      <c r="X31" s="66" t="s">
        <v>23</v>
      </c>
      <c r="Y31" s="57">
        <v>193.4406049415282</v>
      </c>
      <c r="Z31" s="57">
        <v>195.7179284269762</v>
      </c>
    </row>
    <row r="32" ht="14.25" customHeight="1">
      <c r="A32" s="54">
        <v>45770.0</v>
      </c>
      <c r="B32" s="55">
        <v>225.33</v>
      </c>
      <c r="C32" s="55">
        <v>240.71</v>
      </c>
      <c r="D32" s="55">
        <v>235.0</v>
      </c>
      <c r="E32" s="55">
        <v>245.36</v>
      </c>
      <c r="F32" s="55">
        <v>315.0</v>
      </c>
      <c r="G32" s="55" t="s">
        <v>23</v>
      </c>
      <c r="H32" s="56">
        <v>217.71</v>
      </c>
      <c r="I32" s="56">
        <v>243.0</v>
      </c>
      <c r="J32" s="56" t="s">
        <v>23</v>
      </c>
      <c r="K32" s="57">
        <v>229.0</v>
      </c>
      <c r="L32" s="57">
        <v>223.69</v>
      </c>
      <c r="M32" s="58"/>
      <c r="N32" s="59">
        <v>1.1415</v>
      </c>
      <c r="O32" s="60"/>
      <c r="P32" s="61">
        <v>197.39816031537453</v>
      </c>
      <c r="Q32" s="61">
        <v>210.87166009636445</v>
      </c>
      <c r="R32" s="61">
        <v>205.8694699956198</v>
      </c>
      <c r="S32" s="61">
        <v>214.94524748138417</v>
      </c>
      <c r="T32" s="61">
        <v>275.9526938239159</v>
      </c>
      <c r="U32" s="61" t="s">
        <v>23</v>
      </c>
      <c r="V32" s="62">
        <v>190.72273324572933</v>
      </c>
      <c r="W32" s="62">
        <v>212.8777923784494</v>
      </c>
      <c r="X32" s="62" t="s">
        <v>23</v>
      </c>
      <c r="Y32" s="63">
        <v>200.6132282084976</v>
      </c>
      <c r="Z32" s="63">
        <v>195.96145422689443</v>
      </c>
    </row>
    <row r="33" ht="14.25" customHeight="1">
      <c r="A33" s="64">
        <v>45763.0</v>
      </c>
      <c r="B33" s="65">
        <v>230.66</v>
      </c>
      <c r="C33" s="65">
        <v>243.77</v>
      </c>
      <c r="D33" s="65">
        <v>234.0</v>
      </c>
      <c r="E33" s="65">
        <v>250.96</v>
      </c>
      <c r="F33" s="65">
        <v>320.0</v>
      </c>
      <c r="G33" s="65" t="s">
        <v>23</v>
      </c>
      <c r="H33" s="66">
        <v>224.1</v>
      </c>
      <c r="I33" s="66">
        <v>242.0</v>
      </c>
      <c r="J33" s="66" t="s">
        <v>23</v>
      </c>
      <c r="K33" s="67">
        <v>229.0</v>
      </c>
      <c r="L33" s="67">
        <v>225.56</v>
      </c>
      <c r="M33" s="58"/>
      <c r="N33" s="59">
        <v>1.1355</v>
      </c>
      <c r="O33" s="60"/>
      <c r="P33" s="68">
        <v>203.13518273888155</v>
      </c>
      <c r="Q33" s="68">
        <v>214.68075737560548</v>
      </c>
      <c r="R33" s="68">
        <v>206.0766182298547</v>
      </c>
      <c r="S33" s="68">
        <v>221.0127697049758</v>
      </c>
      <c r="T33" s="68">
        <v>281.81417877586966</v>
      </c>
      <c r="U33" s="68" t="s">
        <v>23</v>
      </c>
      <c r="V33" s="66">
        <v>197.35799207397622</v>
      </c>
      <c r="W33" s="66">
        <v>213.12197269925144</v>
      </c>
      <c r="X33" s="66" t="s">
        <v>23</v>
      </c>
      <c r="Y33" s="57">
        <v>201.67327168648174</v>
      </c>
      <c r="Z33" s="57">
        <v>198.64376926464115</v>
      </c>
    </row>
    <row r="34" ht="14.25" customHeight="1">
      <c r="A34" s="54">
        <v>45756.0</v>
      </c>
      <c r="B34" s="55">
        <v>230.47</v>
      </c>
      <c r="C34" s="55">
        <v>247.44</v>
      </c>
      <c r="D34" s="55">
        <v>234.0</v>
      </c>
      <c r="E34" s="55">
        <v>254.63</v>
      </c>
      <c r="F34" s="55">
        <v>320.0</v>
      </c>
      <c r="G34" s="55" t="s">
        <v>23</v>
      </c>
      <c r="H34" s="56">
        <v>219.28</v>
      </c>
      <c r="I34" s="56">
        <v>242.0</v>
      </c>
      <c r="J34" s="56" t="s">
        <v>23</v>
      </c>
      <c r="K34" s="57">
        <v>234.0</v>
      </c>
      <c r="L34" s="57">
        <v>228.67</v>
      </c>
      <c r="M34" s="58"/>
      <c r="N34" s="59">
        <v>1.1045</v>
      </c>
      <c r="O34" s="60"/>
      <c r="P34" s="61">
        <v>208.6645540968764</v>
      </c>
      <c r="Q34" s="61">
        <v>224.02897238569489</v>
      </c>
      <c r="R34" s="61">
        <v>211.86057039384337</v>
      </c>
      <c r="S34" s="61">
        <v>230.53870529651425</v>
      </c>
      <c r="T34" s="61">
        <v>289.7238569488456</v>
      </c>
      <c r="U34" s="61" t="s">
        <v>23</v>
      </c>
      <c r="V34" s="62">
        <v>198.53327297419645</v>
      </c>
      <c r="W34" s="62">
        <v>219.1036668175645</v>
      </c>
      <c r="X34" s="62" t="s">
        <v>23</v>
      </c>
      <c r="Y34" s="63">
        <v>211.86057039384337</v>
      </c>
      <c r="Z34" s="63">
        <v>207.03485740153914</v>
      </c>
    </row>
    <row r="35" ht="14.25" customHeight="1">
      <c r="A35" s="64">
        <v>45749.0</v>
      </c>
      <c r="B35" s="65">
        <v>231.21</v>
      </c>
      <c r="C35" s="65">
        <v>243.61</v>
      </c>
      <c r="D35" s="65">
        <v>236.0</v>
      </c>
      <c r="E35" s="65">
        <v>254.82</v>
      </c>
      <c r="F35" s="65">
        <v>330.0</v>
      </c>
      <c r="G35" s="65" t="s">
        <v>23</v>
      </c>
      <c r="H35" s="66">
        <v>210.92</v>
      </c>
      <c r="I35" s="66">
        <v>239.0</v>
      </c>
      <c r="J35" s="66" t="s">
        <v>23</v>
      </c>
      <c r="K35" s="67">
        <v>235.0</v>
      </c>
      <c r="L35" s="67">
        <v>229.48</v>
      </c>
      <c r="M35" s="58"/>
      <c r="N35" s="59">
        <v>1.0803</v>
      </c>
      <c r="O35" s="60"/>
      <c r="P35" s="68">
        <v>214.0238822549292</v>
      </c>
      <c r="Q35" s="68">
        <v>225.5021753216699</v>
      </c>
      <c r="R35" s="68">
        <v>218.45783578635564</v>
      </c>
      <c r="S35" s="68">
        <v>235.8789225215218</v>
      </c>
      <c r="T35" s="68">
        <v>305.47070258261596</v>
      </c>
      <c r="U35" s="68" t="s">
        <v>23</v>
      </c>
      <c r="V35" s="66">
        <v>195.24206239007682</v>
      </c>
      <c r="W35" s="66">
        <v>221.23484217347033</v>
      </c>
      <c r="X35" s="66" t="s">
        <v>23</v>
      </c>
      <c r="Y35" s="57">
        <v>217.53216699065075</v>
      </c>
      <c r="Z35" s="57">
        <v>212.4224752383597</v>
      </c>
    </row>
    <row r="36" ht="14.25" customHeight="1">
      <c r="A36" s="54">
        <v>45742.0</v>
      </c>
      <c r="B36" s="55">
        <v>231.58</v>
      </c>
      <c r="C36" s="55">
        <v>240.81</v>
      </c>
      <c r="D36" s="55">
        <v>237.0</v>
      </c>
      <c r="E36" s="55">
        <v>253.53</v>
      </c>
      <c r="F36" s="55">
        <v>330.0</v>
      </c>
      <c r="G36" s="55" t="s">
        <v>23</v>
      </c>
      <c r="H36" s="56">
        <v>206.39</v>
      </c>
      <c r="I36" s="56">
        <v>237.0</v>
      </c>
      <c r="J36" s="56" t="s">
        <v>23</v>
      </c>
      <c r="K36" s="57">
        <v>235.0</v>
      </c>
      <c r="L36" s="57">
        <v>226.79</v>
      </c>
      <c r="M36" s="58"/>
      <c r="N36" s="59">
        <v>1.0788</v>
      </c>
      <c r="O36" s="60"/>
      <c r="P36" s="61">
        <v>214.66444197256212</v>
      </c>
      <c r="Q36" s="61">
        <v>223.22024471635152</v>
      </c>
      <c r="R36" s="61">
        <v>219.6885428253615</v>
      </c>
      <c r="S36" s="61">
        <v>235.01112347052282</v>
      </c>
      <c r="T36" s="61">
        <v>305.89543937708567</v>
      </c>
      <c r="U36" s="61" t="s">
        <v>23</v>
      </c>
      <c r="V36" s="62">
        <v>191.31442343344455</v>
      </c>
      <c r="W36" s="62">
        <v>219.6885428253615</v>
      </c>
      <c r="X36" s="62" t="s">
        <v>23</v>
      </c>
      <c r="Y36" s="63">
        <v>217.834631071561</v>
      </c>
      <c r="Z36" s="63">
        <v>210.22432332220987</v>
      </c>
    </row>
    <row r="37" ht="14.25" customHeight="1">
      <c r="A37" s="64">
        <v>45735.0</v>
      </c>
      <c r="B37" s="65">
        <v>241.96</v>
      </c>
      <c r="C37" s="65">
        <v>249.53</v>
      </c>
      <c r="D37" s="65">
        <v>237.0</v>
      </c>
      <c r="E37" s="65">
        <v>264.46</v>
      </c>
      <c r="F37" s="65">
        <v>330.0</v>
      </c>
      <c r="G37" s="65" t="s">
        <v>23</v>
      </c>
      <c r="H37" s="66">
        <v>211.8</v>
      </c>
      <c r="I37" s="66">
        <v>237.0</v>
      </c>
      <c r="J37" s="66" t="s">
        <v>23</v>
      </c>
      <c r="K37" s="67">
        <v>236.0</v>
      </c>
      <c r="L37" s="67">
        <v>234.29</v>
      </c>
      <c r="M37" s="58"/>
      <c r="N37" s="59">
        <v>1.0897</v>
      </c>
      <c r="O37" s="60"/>
      <c r="P37" s="68">
        <v>222.04276406350374</v>
      </c>
      <c r="Q37" s="68">
        <v>228.98963017344227</v>
      </c>
      <c r="R37" s="68">
        <v>217.4910525832798</v>
      </c>
      <c r="S37" s="68">
        <v>242.6906488024227</v>
      </c>
      <c r="T37" s="68">
        <v>302.83564283747825</v>
      </c>
      <c r="U37" s="68" t="s">
        <v>23</v>
      </c>
      <c r="V37" s="66">
        <v>194.36542167569058</v>
      </c>
      <c r="W37" s="66">
        <v>217.4910525832798</v>
      </c>
      <c r="X37" s="66" t="s">
        <v>23</v>
      </c>
      <c r="Y37" s="57">
        <v>216.57336881710566</v>
      </c>
      <c r="Z37" s="57">
        <v>215.0041295769478</v>
      </c>
    </row>
    <row r="38" ht="14.25" customHeight="1">
      <c r="A38" s="54">
        <v>45728.0</v>
      </c>
      <c r="B38" s="55">
        <v>238.47</v>
      </c>
      <c r="C38" s="55">
        <v>245.62</v>
      </c>
      <c r="D38" s="55">
        <v>233.0</v>
      </c>
      <c r="E38" s="55">
        <v>256.47</v>
      </c>
      <c r="F38" s="55">
        <v>325.0</v>
      </c>
      <c r="G38" s="55" t="s">
        <v>23</v>
      </c>
      <c r="H38" s="56">
        <v>210.52</v>
      </c>
      <c r="I38" s="56">
        <v>233.0</v>
      </c>
      <c r="J38" s="56" t="s">
        <v>23</v>
      </c>
      <c r="K38" s="57">
        <v>232.0</v>
      </c>
      <c r="L38" s="57">
        <v>233.63</v>
      </c>
      <c r="M38" s="58"/>
      <c r="N38" s="59">
        <v>1.0886</v>
      </c>
      <c r="O38" s="60"/>
      <c r="P38" s="61">
        <v>219.06117949660114</v>
      </c>
      <c r="Q38" s="61">
        <v>225.62924857615286</v>
      </c>
      <c r="R38" s="61">
        <v>214.03637699797906</v>
      </c>
      <c r="S38" s="61">
        <v>235.5961785779901</v>
      </c>
      <c r="T38" s="61">
        <v>298.5485945250781</v>
      </c>
      <c r="U38" s="61" t="s">
        <v>23</v>
      </c>
      <c r="V38" s="62">
        <v>193.38600036744444</v>
      </c>
      <c r="W38" s="62">
        <v>214.03637699797906</v>
      </c>
      <c r="X38" s="62" t="s">
        <v>23</v>
      </c>
      <c r="Y38" s="63">
        <v>213.11776593790188</v>
      </c>
      <c r="Z38" s="63">
        <v>214.61510196582765</v>
      </c>
    </row>
    <row r="39" ht="14.25" customHeight="1">
      <c r="A39" s="64">
        <v>45721.0</v>
      </c>
      <c r="B39" s="65">
        <v>234.52</v>
      </c>
      <c r="C39" s="65">
        <v>241.42</v>
      </c>
      <c r="D39" s="65">
        <v>232.0</v>
      </c>
      <c r="E39" s="65">
        <v>246.92</v>
      </c>
      <c r="F39" s="65">
        <v>325.0</v>
      </c>
      <c r="G39" s="65" t="s">
        <v>23</v>
      </c>
      <c r="H39" s="66">
        <v>206.98</v>
      </c>
      <c r="I39" s="66">
        <v>229.0</v>
      </c>
      <c r="J39" s="66" t="s">
        <v>23</v>
      </c>
      <c r="K39" s="67">
        <v>235.0</v>
      </c>
      <c r="L39" s="67">
        <v>229.57</v>
      </c>
      <c r="M39" s="58"/>
      <c r="N39" s="59">
        <v>1.0694</v>
      </c>
      <c r="O39" s="60"/>
      <c r="P39" s="68">
        <v>219.300542360202</v>
      </c>
      <c r="Q39" s="68">
        <v>225.75275855619975</v>
      </c>
      <c r="R39" s="68">
        <v>216.94408079296804</v>
      </c>
      <c r="S39" s="68">
        <v>230.89582943706753</v>
      </c>
      <c r="T39" s="68">
        <v>303.9087338694595</v>
      </c>
      <c r="U39" s="68" t="s">
        <v>23</v>
      </c>
      <c r="V39" s="66">
        <v>193.54778380400225</v>
      </c>
      <c r="W39" s="66">
        <v>214.13876940340378</v>
      </c>
      <c r="X39" s="66" t="s">
        <v>23</v>
      </c>
      <c r="Y39" s="57">
        <v>219.7493921825323</v>
      </c>
      <c r="Z39" s="57">
        <v>214.671778567421</v>
      </c>
    </row>
    <row r="40" ht="14.25" customHeight="1">
      <c r="A40" s="54">
        <v>45714.0</v>
      </c>
      <c r="B40" s="55">
        <v>244.71</v>
      </c>
      <c r="C40" s="55">
        <v>241.07</v>
      </c>
      <c r="D40" s="55">
        <v>234.0</v>
      </c>
      <c r="E40" s="55">
        <v>257.21</v>
      </c>
      <c r="F40" s="55">
        <v>320.0</v>
      </c>
      <c r="G40" s="55" t="s">
        <v>23</v>
      </c>
      <c r="H40" s="56">
        <v>222.14</v>
      </c>
      <c r="I40" s="56">
        <v>232.0</v>
      </c>
      <c r="J40" s="56" t="s">
        <v>23</v>
      </c>
      <c r="K40" s="57">
        <v>232.0</v>
      </c>
      <c r="L40" s="57">
        <v>229.51</v>
      </c>
      <c r="M40" s="58"/>
      <c r="N40" s="59">
        <v>1.0487</v>
      </c>
      <c r="O40" s="60"/>
      <c r="P40" s="61">
        <v>233.34604748736533</v>
      </c>
      <c r="Q40" s="61">
        <v>229.87508343663583</v>
      </c>
      <c r="R40" s="61">
        <v>223.13340326118052</v>
      </c>
      <c r="S40" s="61">
        <v>245.2655668923429</v>
      </c>
      <c r="T40" s="61">
        <v>305.13969676742636</v>
      </c>
      <c r="U40" s="61" t="s">
        <v>23</v>
      </c>
      <c r="V40" s="62">
        <v>211.82416324973775</v>
      </c>
      <c r="W40" s="62">
        <v>221.2262801563841</v>
      </c>
      <c r="X40" s="62" t="s">
        <v>23</v>
      </c>
      <c r="Y40" s="63">
        <v>221.2262801563841</v>
      </c>
      <c r="Z40" s="63">
        <v>218.85191189091256</v>
      </c>
    </row>
    <row r="41" ht="14.25" customHeight="1">
      <c r="A41" s="64">
        <v>45707.0</v>
      </c>
      <c r="B41" s="65">
        <v>254.27</v>
      </c>
      <c r="C41" s="65">
        <v>243.78</v>
      </c>
      <c r="D41" s="65">
        <v>233.0</v>
      </c>
      <c r="E41" s="65">
        <v>267.77</v>
      </c>
      <c r="F41" s="65">
        <v>320.0</v>
      </c>
      <c r="G41" s="65" t="s">
        <v>23</v>
      </c>
      <c r="H41" s="66">
        <v>229.32</v>
      </c>
      <c r="I41" s="66">
        <v>230.0</v>
      </c>
      <c r="J41" s="66" t="s">
        <v>23</v>
      </c>
      <c r="K41" s="67">
        <v>228.0</v>
      </c>
      <c r="L41" s="67">
        <v>229.21</v>
      </c>
      <c r="M41" s="58"/>
      <c r="N41" s="59">
        <v>1.0434</v>
      </c>
      <c r="O41" s="60"/>
      <c r="P41" s="68">
        <v>243.6936936936937</v>
      </c>
      <c r="Q41" s="68">
        <v>233.6400230017251</v>
      </c>
      <c r="R41" s="68">
        <v>223.30841479777646</v>
      </c>
      <c r="S41" s="68">
        <v>256.63216407897255</v>
      </c>
      <c r="T41" s="68">
        <v>306.68966839179603</v>
      </c>
      <c r="U41" s="68" t="s">
        <v>23</v>
      </c>
      <c r="V41" s="66">
        <v>219.78148361127083</v>
      </c>
      <c r="W41" s="66">
        <v>220.4331991566034</v>
      </c>
      <c r="X41" s="66" t="s">
        <v>23</v>
      </c>
      <c r="Y41" s="57">
        <v>218.51638872915467</v>
      </c>
      <c r="Z41" s="57">
        <v>219.67605903776115</v>
      </c>
    </row>
    <row r="42" ht="14.25" customHeight="1">
      <c r="A42" s="54">
        <v>45700.0</v>
      </c>
      <c r="B42" s="55">
        <v>245.91</v>
      </c>
      <c r="C42" s="55">
        <v>245.55</v>
      </c>
      <c r="D42" s="55">
        <v>232.0</v>
      </c>
      <c r="E42" s="55">
        <v>263.27</v>
      </c>
      <c r="F42" s="55">
        <v>315.0</v>
      </c>
      <c r="G42" s="55" t="s">
        <v>23</v>
      </c>
      <c r="H42" s="56">
        <v>226.07</v>
      </c>
      <c r="I42" s="56">
        <v>227.0</v>
      </c>
      <c r="J42" s="56" t="s">
        <v>23</v>
      </c>
      <c r="K42" s="57">
        <v>229.0</v>
      </c>
      <c r="L42" s="57">
        <v>229.96</v>
      </c>
      <c r="M42" s="58"/>
      <c r="N42" s="59">
        <v>1.037</v>
      </c>
      <c r="O42" s="60"/>
      <c r="P42" s="61">
        <v>237.13596914175508</v>
      </c>
      <c r="Q42" s="61">
        <v>236.78881388621025</v>
      </c>
      <c r="R42" s="61">
        <v>223.72227579556414</v>
      </c>
      <c r="S42" s="61">
        <v>253.87656702025072</v>
      </c>
      <c r="T42" s="61">
        <v>303.7608486017358</v>
      </c>
      <c r="U42" s="61" t="s">
        <v>23</v>
      </c>
      <c r="V42" s="62">
        <v>218.00385728061718</v>
      </c>
      <c r="W42" s="62">
        <v>218.900675024108</v>
      </c>
      <c r="X42" s="62" t="s">
        <v>23</v>
      </c>
      <c r="Y42" s="63">
        <v>220.82931533269047</v>
      </c>
      <c r="Z42" s="63">
        <v>221.75506268081006</v>
      </c>
    </row>
    <row r="43" ht="14.25" customHeight="1">
      <c r="A43" s="64">
        <v>45693.0</v>
      </c>
      <c r="B43" s="65">
        <v>245.17</v>
      </c>
      <c r="C43" s="65">
        <v>244.08</v>
      </c>
      <c r="D43" s="65">
        <v>230.0</v>
      </c>
      <c r="E43" s="65">
        <v>263.36</v>
      </c>
      <c r="F43" s="65">
        <v>320.0</v>
      </c>
      <c r="G43" s="65" t="s">
        <v>23</v>
      </c>
      <c r="H43" s="66">
        <v>224.5</v>
      </c>
      <c r="I43" s="66">
        <v>226.0</v>
      </c>
      <c r="J43" s="66" t="s">
        <v>23</v>
      </c>
      <c r="K43" s="67">
        <v>229.0</v>
      </c>
      <c r="L43" s="67">
        <v>230.54</v>
      </c>
      <c r="M43" s="58"/>
      <c r="N43" s="59">
        <v>1.0422</v>
      </c>
      <c r="O43" s="60"/>
      <c r="P43" s="68">
        <v>235.24275570907693</v>
      </c>
      <c r="Q43" s="68">
        <v>234.19689119170985</v>
      </c>
      <c r="R43" s="68">
        <v>220.6870082517751</v>
      </c>
      <c r="S43" s="68">
        <v>252.69621953559778</v>
      </c>
      <c r="T43" s="68">
        <v>307.0427940894262</v>
      </c>
      <c r="U43" s="68" t="s">
        <v>23</v>
      </c>
      <c r="V43" s="66">
        <v>215.40971022836308</v>
      </c>
      <c r="W43" s="66">
        <v>216.84897332565725</v>
      </c>
      <c r="X43" s="66" t="s">
        <v>23</v>
      </c>
      <c r="Y43" s="57">
        <v>219.72749952024563</v>
      </c>
      <c r="Z43" s="57">
        <v>221.205142966801</v>
      </c>
    </row>
    <row r="44" ht="14.25" customHeight="1">
      <c r="A44" s="54">
        <v>45686.0</v>
      </c>
      <c r="B44" s="55">
        <v>241.59</v>
      </c>
      <c r="C44" s="55">
        <v>244.11</v>
      </c>
      <c r="D44" s="55">
        <v>229.0</v>
      </c>
      <c r="E44" s="55">
        <v>260.97</v>
      </c>
      <c r="F44" s="55">
        <v>320.0</v>
      </c>
      <c r="G44" s="55" t="s">
        <v>23</v>
      </c>
      <c r="H44" s="56">
        <v>227.15</v>
      </c>
      <c r="I44" s="56">
        <v>226.0</v>
      </c>
      <c r="J44" s="56" t="s">
        <v>23</v>
      </c>
      <c r="K44" s="57">
        <v>225.0</v>
      </c>
      <c r="L44" s="57">
        <v>228.48</v>
      </c>
      <c r="M44" s="58"/>
      <c r="N44" s="59">
        <v>1.0396</v>
      </c>
      <c r="O44" s="60"/>
      <c r="P44" s="61">
        <v>232.3874567141208</v>
      </c>
      <c r="Q44" s="61">
        <v>234.8114659484417</v>
      </c>
      <c r="R44" s="61">
        <v>220.27702962677952</v>
      </c>
      <c r="S44" s="61">
        <v>251.02924201616005</v>
      </c>
      <c r="T44" s="61">
        <v>307.81069642170064</v>
      </c>
      <c r="U44" s="61" t="s">
        <v>23</v>
      </c>
      <c r="V44" s="62">
        <v>218.49749903809158</v>
      </c>
      <c r="W44" s="62">
        <v>217.39130434782606</v>
      </c>
      <c r="X44" s="62" t="s">
        <v>23</v>
      </c>
      <c r="Y44" s="63">
        <v>216.42939592150825</v>
      </c>
      <c r="Z44" s="63">
        <v>219.77683724509424</v>
      </c>
    </row>
    <row r="45" ht="14.25" customHeight="1">
      <c r="A45" s="64">
        <v>45679.0</v>
      </c>
      <c r="B45" s="65">
        <v>238.47</v>
      </c>
      <c r="C45" s="65">
        <v>243.16</v>
      </c>
      <c r="D45" s="65">
        <v>226.0</v>
      </c>
      <c r="E45" s="65">
        <v>260.79</v>
      </c>
      <c r="F45" s="65">
        <v>310.0</v>
      </c>
      <c r="G45" s="65">
        <v>318.5090898</v>
      </c>
      <c r="H45" s="66">
        <v>221.35</v>
      </c>
      <c r="I45" s="66">
        <v>222.0</v>
      </c>
      <c r="J45" s="66" t="s">
        <v>23</v>
      </c>
      <c r="K45" s="67">
        <v>218.0</v>
      </c>
      <c r="L45" s="67">
        <v>224.4</v>
      </c>
      <c r="M45" s="58"/>
      <c r="N45" s="59">
        <v>1.0443</v>
      </c>
      <c r="O45" s="60"/>
      <c r="P45" s="68">
        <v>228.3539212869865</v>
      </c>
      <c r="Q45" s="68">
        <v>232.84496792109547</v>
      </c>
      <c r="R45" s="68">
        <v>216.41290816815092</v>
      </c>
      <c r="S45" s="68">
        <v>249.72708991669063</v>
      </c>
      <c r="T45" s="68">
        <v>296.8495643014459</v>
      </c>
      <c r="U45" s="68">
        <v>304.9976920425165</v>
      </c>
      <c r="V45" s="66">
        <v>211.96016470362923</v>
      </c>
      <c r="W45" s="66">
        <v>212.5825912094226</v>
      </c>
      <c r="X45" s="66" t="s">
        <v>23</v>
      </c>
      <c r="Y45" s="57">
        <v>208.75227425069426</v>
      </c>
      <c r="Z45" s="57">
        <v>214.88078138465957</v>
      </c>
    </row>
    <row r="46" ht="14.25" customHeight="1">
      <c r="A46" s="54">
        <v>45672.0</v>
      </c>
      <c r="B46" s="55">
        <v>235.89</v>
      </c>
      <c r="C46" s="55">
        <v>238.91</v>
      </c>
      <c r="D46" s="55">
        <v>219.0</v>
      </c>
      <c r="E46" s="55">
        <v>252.61</v>
      </c>
      <c r="F46" s="55">
        <v>310.0</v>
      </c>
      <c r="G46" s="55" t="s">
        <v>23</v>
      </c>
      <c r="H46" s="56">
        <v>219.18</v>
      </c>
      <c r="I46" s="56">
        <v>220.0</v>
      </c>
      <c r="J46" s="56" t="s">
        <v>23</v>
      </c>
      <c r="K46" s="57">
        <v>215.0</v>
      </c>
      <c r="L46" s="57">
        <v>216.29</v>
      </c>
      <c r="M46" s="58"/>
      <c r="N46" s="59">
        <v>1.03</v>
      </c>
      <c r="O46" s="60"/>
      <c r="P46" s="61">
        <v>229.01941747572815</v>
      </c>
      <c r="Q46" s="61">
        <v>231.9514563106796</v>
      </c>
      <c r="R46" s="61">
        <v>212.62135922330097</v>
      </c>
      <c r="S46" s="61">
        <v>245.25242718446603</v>
      </c>
      <c r="T46" s="61">
        <v>300.97087378640776</v>
      </c>
      <c r="U46" s="61" t="s">
        <v>23</v>
      </c>
      <c r="V46" s="62">
        <v>212.79611650485438</v>
      </c>
      <c r="W46" s="62">
        <v>213.59223300970874</v>
      </c>
      <c r="X46" s="62" t="s">
        <v>23</v>
      </c>
      <c r="Y46" s="63">
        <v>208.7378640776699</v>
      </c>
      <c r="Z46" s="63">
        <v>209.9902912621359</v>
      </c>
    </row>
    <row r="47" ht="14.25" customHeight="1">
      <c r="A47" s="64">
        <v>45665.0</v>
      </c>
      <c r="B47" s="65">
        <v>231.94</v>
      </c>
      <c r="C47" s="65">
        <v>241.69</v>
      </c>
      <c r="D47" s="65">
        <v>221.0</v>
      </c>
      <c r="E47" s="65">
        <v>249.95</v>
      </c>
      <c r="F47" s="65">
        <v>315.0</v>
      </c>
      <c r="G47" s="65" t="s">
        <v>23</v>
      </c>
      <c r="H47" s="66">
        <v>212.98</v>
      </c>
      <c r="I47" s="66">
        <v>217.0</v>
      </c>
      <c r="J47" s="66" t="s">
        <v>23</v>
      </c>
      <c r="K47" s="67">
        <v>216.0</v>
      </c>
      <c r="L47" s="67">
        <v>219.01</v>
      </c>
      <c r="M47" s="58"/>
      <c r="N47" s="59">
        <v>1.0286</v>
      </c>
      <c r="O47" s="60"/>
      <c r="P47" s="68">
        <v>225.49095858448376</v>
      </c>
      <c r="Q47" s="68">
        <v>234.96986194827923</v>
      </c>
      <c r="R47" s="68">
        <v>214.8551429126969</v>
      </c>
      <c r="S47" s="68">
        <v>243.00019443904336</v>
      </c>
      <c r="T47" s="68">
        <v>306.24149329185303</v>
      </c>
      <c r="U47" s="68" t="s">
        <v>23</v>
      </c>
      <c r="V47" s="66">
        <v>207.0581372739646</v>
      </c>
      <c r="W47" s="66">
        <v>210.96636204549876</v>
      </c>
      <c r="X47" s="66" t="s">
        <v>23</v>
      </c>
      <c r="Y47" s="57">
        <v>209.9941668286992</v>
      </c>
      <c r="Z47" s="57">
        <v>212.9204744312658</v>
      </c>
    </row>
    <row r="48" ht="14.25" customHeight="1">
      <c r="A48" s="54">
        <v>45658.0</v>
      </c>
      <c r="B48" s="55">
        <v>235.71</v>
      </c>
      <c r="C48" s="55">
        <v>248.77</v>
      </c>
      <c r="D48" s="55">
        <v>221.0</v>
      </c>
      <c r="E48" s="55">
        <v>255.09</v>
      </c>
      <c r="F48" s="55">
        <v>315.0</v>
      </c>
      <c r="G48" s="55" t="s">
        <v>23</v>
      </c>
      <c r="H48" s="56">
        <v>214.75</v>
      </c>
      <c r="I48" s="56">
        <v>217.0</v>
      </c>
      <c r="J48" s="56" t="s">
        <v>23</v>
      </c>
      <c r="K48" s="57">
        <v>216.0</v>
      </c>
      <c r="L48" s="57">
        <v>227.04</v>
      </c>
      <c r="M48" s="58"/>
      <c r="N48" s="59" t="s">
        <v>24</v>
      </c>
      <c r="O48" s="60"/>
      <c r="P48" s="61" t="s">
        <v>23</v>
      </c>
      <c r="Q48" s="61" t="s">
        <v>23</v>
      </c>
      <c r="R48" s="61" t="s">
        <v>23</v>
      </c>
      <c r="S48" s="61" t="s">
        <v>23</v>
      </c>
      <c r="T48" s="61" t="s">
        <v>23</v>
      </c>
      <c r="U48" s="61" t="s">
        <v>23</v>
      </c>
      <c r="V48" s="62" t="s">
        <v>23</v>
      </c>
      <c r="W48" s="62" t="s">
        <v>23</v>
      </c>
      <c r="X48" s="62" t="s">
        <v>23</v>
      </c>
      <c r="Y48" s="63" t="s">
        <v>23</v>
      </c>
      <c r="Z48" s="63" t="s">
        <v>23</v>
      </c>
    </row>
    <row r="49" ht="14.25" customHeight="1">
      <c r="A49" s="64">
        <v>45651.0</v>
      </c>
      <c r="B49" s="65">
        <v>233.23</v>
      </c>
      <c r="C49" s="65">
        <v>243.28</v>
      </c>
      <c r="D49" s="65">
        <v>220.0</v>
      </c>
      <c r="E49" s="65">
        <v>249.4</v>
      </c>
      <c r="F49" s="65">
        <v>315.0</v>
      </c>
      <c r="G49" s="65" t="s">
        <v>23</v>
      </c>
      <c r="H49" s="66">
        <v>210.82</v>
      </c>
      <c r="I49" s="66">
        <v>217.0</v>
      </c>
      <c r="J49" s="66" t="s">
        <v>23</v>
      </c>
      <c r="K49" s="67">
        <v>215.0</v>
      </c>
      <c r="L49" s="67">
        <v>222.44</v>
      </c>
      <c r="M49" s="58"/>
      <c r="N49" s="59" t="s">
        <v>24</v>
      </c>
      <c r="O49" s="60"/>
      <c r="P49" s="68" t="s">
        <v>23</v>
      </c>
      <c r="Q49" s="68" t="s">
        <v>23</v>
      </c>
      <c r="R49" s="68" t="s">
        <v>23</v>
      </c>
      <c r="S49" s="68" t="s">
        <v>23</v>
      </c>
      <c r="T49" s="68" t="s">
        <v>23</v>
      </c>
      <c r="U49" s="68" t="s">
        <v>23</v>
      </c>
      <c r="V49" s="66" t="s">
        <v>23</v>
      </c>
      <c r="W49" s="66" t="s">
        <v>23</v>
      </c>
      <c r="X49" s="66" t="s">
        <v>23</v>
      </c>
      <c r="Y49" s="57" t="s">
        <v>23</v>
      </c>
      <c r="Z49" s="57" t="s">
        <v>23</v>
      </c>
    </row>
    <row r="50" ht="14.25" customHeight="1">
      <c r="A50" s="54">
        <v>45644.0</v>
      </c>
      <c r="B50" s="55">
        <v>235.62</v>
      </c>
      <c r="C50" s="55">
        <v>246.47</v>
      </c>
      <c r="D50" s="55">
        <v>220.0</v>
      </c>
      <c r="E50" s="55">
        <v>251.24</v>
      </c>
      <c r="F50" s="55">
        <v>320.0</v>
      </c>
      <c r="G50" s="55" t="s">
        <v>23</v>
      </c>
      <c r="H50" s="56">
        <v>206.78</v>
      </c>
      <c r="I50" s="56">
        <v>216.0</v>
      </c>
      <c r="J50" s="56" t="s">
        <v>23</v>
      </c>
      <c r="K50" s="57">
        <v>217.0</v>
      </c>
      <c r="L50" s="57">
        <v>222.39</v>
      </c>
      <c r="M50" s="58"/>
      <c r="N50" s="59">
        <v>1.0496</v>
      </c>
      <c r="O50" s="60"/>
      <c r="P50" s="61">
        <v>224.4855182926829</v>
      </c>
      <c r="Q50" s="61">
        <v>234.82278963414632</v>
      </c>
      <c r="R50" s="61">
        <v>209.60365853658536</v>
      </c>
      <c r="S50" s="61">
        <v>239.36737804878047</v>
      </c>
      <c r="T50" s="61">
        <v>304.8780487804878</v>
      </c>
      <c r="U50" s="61" t="s">
        <v>23</v>
      </c>
      <c r="V50" s="62">
        <v>197.00838414634146</v>
      </c>
      <c r="W50" s="62">
        <v>205.79268292682926</v>
      </c>
      <c r="X50" s="62" t="s">
        <v>23</v>
      </c>
      <c r="Y50" s="63">
        <v>206.74542682926827</v>
      </c>
      <c r="Z50" s="63">
        <v>211.88071646341461</v>
      </c>
    </row>
    <row r="51" ht="14.25" customHeight="1">
      <c r="A51" s="64">
        <v>45637.0</v>
      </c>
      <c r="B51" s="65">
        <v>245.54</v>
      </c>
      <c r="C51" s="65">
        <v>244.24</v>
      </c>
      <c r="D51" s="65">
        <v>218.0</v>
      </c>
      <c r="E51" s="65">
        <v>258.03</v>
      </c>
      <c r="F51" s="65">
        <v>320.0</v>
      </c>
      <c r="G51" s="65" t="s">
        <v>23</v>
      </c>
      <c r="H51" s="66">
        <v>210.72</v>
      </c>
      <c r="I51" s="66">
        <v>216.0</v>
      </c>
      <c r="J51" s="66" t="s">
        <v>23</v>
      </c>
      <c r="K51" s="67">
        <v>217.0</v>
      </c>
      <c r="L51" s="67">
        <v>222.17</v>
      </c>
      <c r="M51" s="58"/>
      <c r="N51" s="59">
        <v>1.0507</v>
      </c>
      <c r="O51" s="60"/>
      <c r="P51" s="68">
        <v>233.69182449795375</v>
      </c>
      <c r="Q51" s="68">
        <v>232.45455410678596</v>
      </c>
      <c r="R51" s="68">
        <v>207.48072713429144</v>
      </c>
      <c r="S51" s="68">
        <v>245.57913771771197</v>
      </c>
      <c r="T51" s="68">
        <v>304.55886551822596</v>
      </c>
      <c r="U51" s="68" t="s">
        <v>23</v>
      </c>
      <c r="V51" s="66">
        <v>200.55201294375178</v>
      </c>
      <c r="W51" s="66">
        <v>205.5772342248025</v>
      </c>
      <c r="X51" s="66" t="s">
        <v>23</v>
      </c>
      <c r="Y51" s="57">
        <v>206.52898067954698</v>
      </c>
      <c r="Z51" s="57">
        <v>211.4495098505758</v>
      </c>
    </row>
    <row r="52" ht="14.25" customHeight="1">
      <c r="A52" s="54">
        <v>45630.0</v>
      </c>
      <c r="B52" s="55">
        <v>245.45</v>
      </c>
      <c r="C52" s="55">
        <v>237.31</v>
      </c>
      <c r="D52" s="55">
        <v>220.0</v>
      </c>
      <c r="E52" s="55">
        <v>245.36</v>
      </c>
      <c r="F52" s="55">
        <v>320.0</v>
      </c>
      <c r="G52" s="55" t="s">
        <v>23</v>
      </c>
      <c r="H52" s="56">
        <v>205.11</v>
      </c>
      <c r="I52" s="56">
        <v>213.0</v>
      </c>
      <c r="J52" s="56" t="s">
        <v>23</v>
      </c>
      <c r="K52" s="57">
        <v>213.0</v>
      </c>
      <c r="L52" s="57">
        <v>216.26</v>
      </c>
      <c r="M52" s="58"/>
      <c r="N52" s="59">
        <v>1.0492</v>
      </c>
      <c r="O52" s="60"/>
      <c r="P52" s="61">
        <v>233.94014487228367</v>
      </c>
      <c r="Q52" s="61">
        <v>226.18185284025927</v>
      </c>
      <c r="R52" s="61">
        <v>209.6835684330919</v>
      </c>
      <c r="S52" s="61">
        <v>233.85436523065195</v>
      </c>
      <c r="T52" s="61">
        <v>304.99428135722457</v>
      </c>
      <c r="U52" s="61" t="s">
        <v>23</v>
      </c>
      <c r="V52" s="62">
        <v>195.49180327868856</v>
      </c>
      <c r="W52" s="62">
        <v>203.0118185284026</v>
      </c>
      <c r="X52" s="62" t="s">
        <v>23</v>
      </c>
      <c r="Y52" s="63">
        <v>203.0118185284026</v>
      </c>
      <c r="Z52" s="63">
        <v>206.11894776972932</v>
      </c>
    </row>
    <row r="53" ht="14.25" customHeight="1">
      <c r="A53" s="64">
        <v>45623.0</v>
      </c>
      <c r="B53" s="65">
        <v>245.36</v>
      </c>
      <c r="C53" s="65">
        <v>236.33</v>
      </c>
      <c r="D53" s="65">
        <v>218.0</v>
      </c>
      <c r="E53" s="65">
        <v>246.64</v>
      </c>
      <c r="F53" s="65">
        <v>320.0</v>
      </c>
      <c r="G53" s="65" t="s">
        <v>23</v>
      </c>
      <c r="H53" s="66">
        <v>204.32</v>
      </c>
      <c r="I53" s="66">
        <v>213.0</v>
      </c>
      <c r="J53" s="66" t="s">
        <v>23</v>
      </c>
      <c r="K53" s="67">
        <v>206.0</v>
      </c>
      <c r="L53" s="67">
        <v>212.54</v>
      </c>
      <c r="M53" s="58"/>
      <c r="N53" s="59">
        <v>1.0531</v>
      </c>
      <c r="O53" s="60"/>
      <c r="P53" s="68">
        <v>232.98832019751214</v>
      </c>
      <c r="Q53" s="68">
        <v>224.4136359320103</v>
      </c>
      <c r="R53" s="68">
        <v>207.00788149273575</v>
      </c>
      <c r="S53" s="68">
        <v>234.2037793182034</v>
      </c>
      <c r="T53" s="68">
        <v>303.8647801728231</v>
      </c>
      <c r="U53" s="68" t="s">
        <v>23</v>
      </c>
      <c r="V53" s="66">
        <v>194.01766214034754</v>
      </c>
      <c r="W53" s="66">
        <v>202.25999430253538</v>
      </c>
      <c r="X53" s="66" t="s">
        <v>23</v>
      </c>
      <c r="Y53" s="57">
        <v>195.61295223625487</v>
      </c>
      <c r="Z53" s="57">
        <v>201.82318868103695</v>
      </c>
    </row>
    <row r="54" ht="14.25" customHeight="1">
      <c r="A54" s="54">
        <v>45616.0</v>
      </c>
      <c r="B54" s="55">
        <v>250.78</v>
      </c>
      <c r="C54" s="55">
        <v>238.3</v>
      </c>
      <c r="D54" s="55">
        <v>218.0</v>
      </c>
      <c r="E54" s="55">
        <v>256.01</v>
      </c>
      <c r="F54" s="55">
        <v>330.0</v>
      </c>
      <c r="G54" s="55" t="s">
        <v>23</v>
      </c>
      <c r="H54" s="56">
        <v>211.9</v>
      </c>
      <c r="I54" s="56">
        <v>213.0</v>
      </c>
      <c r="J54" s="56" t="s">
        <v>23</v>
      </c>
      <c r="K54" s="57">
        <v>208.0</v>
      </c>
      <c r="L54" s="57">
        <v>214.1</v>
      </c>
      <c r="M54" s="58"/>
      <c r="N54" s="59">
        <v>1.0562</v>
      </c>
      <c r="O54" s="60"/>
      <c r="P54" s="61">
        <v>237.43609164930885</v>
      </c>
      <c r="Q54" s="61">
        <v>225.62014769929937</v>
      </c>
      <c r="R54" s="61">
        <v>206.4003029729218</v>
      </c>
      <c r="S54" s="61">
        <v>242.38780533989774</v>
      </c>
      <c r="T54" s="61">
        <v>312.4408256012119</v>
      </c>
      <c r="U54" s="61" t="s">
        <v>23</v>
      </c>
      <c r="V54" s="62">
        <v>200.62488165120243</v>
      </c>
      <c r="W54" s="62">
        <v>201.66635106987312</v>
      </c>
      <c r="X54" s="62" t="s">
        <v>23</v>
      </c>
      <c r="Y54" s="63">
        <v>196.93239916682447</v>
      </c>
      <c r="Z54" s="63">
        <v>202.70782048854383</v>
      </c>
    </row>
    <row r="55" ht="14.25" customHeight="1">
      <c r="A55" s="64">
        <v>45609.0</v>
      </c>
      <c r="B55" s="65">
        <v>246.55</v>
      </c>
      <c r="C55" s="65">
        <v>226.67</v>
      </c>
      <c r="D55" s="65">
        <v>217.0</v>
      </c>
      <c r="E55" s="65">
        <v>248.3</v>
      </c>
      <c r="F55" s="65">
        <v>330.0</v>
      </c>
      <c r="G55" s="65" t="s">
        <v>23</v>
      </c>
      <c r="H55" s="66">
        <v>211.21</v>
      </c>
      <c r="I55" s="66">
        <v>210.0</v>
      </c>
      <c r="J55" s="66" t="s">
        <v>23</v>
      </c>
      <c r="K55" s="67">
        <v>200.0</v>
      </c>
      <c r="L55" s="67">
        <v>203.42</v>
      </c>
      <c r="M55" s="58"/>
      <c r="N55" s="59">
        <v>1.0629</v>
      </c>
      <c r="O55" s="60"/>
      <c r="P55" s="68">
        <v>231.95973280647289</v>
      </c>
      <c r="Q55" s="68">
        <v>213.25618590648227</v>
      </c>
      <c r="R55" s="68">
        <v>204.1584344717283</v>
      </c>
      <c r="S55" s="68">
        <v>233.6061717941481</v>
      </c>
      <c r="T55" s="68">
        <v>310.47135196161446</v>
      </c>
      <c r="U55" s="68" t="s">
        <v>23</v>
      </c>
      <c r="V55" s="66">
        <v>198.71107347822</v>
      </c>
      <c r="W55" s="66">
        <v>197.5726785210274</v>
      </c>
      <c r="X55" s="66" t="s">
        <v>23</v>
      </c>
      <c r="Y55" s="57">
        <v>188.1644557343118</v>
      </c>
      <c r="Z55" s="57">
        <v>191.38206792736852</v>
      </c>
    </row>
    <row r="56" ht="14.25" customHeight="1">
      <c r="A56" s="54">
        <v>45602.0</v>
      </c>
      <c r="B56" s="55">
        <v>258.4</v>
      </c>
      <c r="C56" s="55">
        <v>233.42</v>
      </c>
      <c r="D56" s="55">
        <v>219.0</v>
      </c>
      <c r="E56" s="55">
        <v>262.35</v>
      </c>
      <c r="F56" s="55">
        <v>330.0</v>
      </c>
      <c r="G56" s="55" t="s">
        <v>23</v>
      </c>
      <c r="H56" s="56">
        <v>212.69</v>
      </c>
      <c r="I56" s="56">
        <v>213.0</v>
      </c>
      <c r="J56" s="56" t="s">
        <v>23</v>
      </c>
      <c r="K56" s="57">
        <v>204.0</v>
      </c>
      <c r="L56" s="57">
        <v>210.88</v>
      </c>
      <c r="M56" s="58"/>
      <c r="N56" s="59">
        <v>1.0695</v>
      </c>
      <c r="O56" s="60"/>
      <c r="P56" s="61">
        <v>241.60822814399253</v>
      </c>
      <c r="Q56" s="61">
        <v>218.25151940158955</v>
      </c>
      <c r="R56" s="61">
        <v>204.7685834502104</v>
      </c>
      <c r="S56" s="61">
        <v>245.30154277699864</v>
      </c>
      <c r="T56" s="61">
        <v>308.55539971949514</v>
      </c>
      <c r="U56" s="61" t="s">
        <v>23</v>
      </c>
      <c r="V56" s="62">
        <v>198.86863020102854</v>
      </c>
      <c r="W56" s="62">
        <v>199.15848527349232</v>
      </c>
      <c r="X56" s="62" t="s">
        <v>23</v>
      </c>
      <c r="Y56" s="63">
        <v>190.74333800841518</v>
      </c>
      <c r="Z56" s="63">
        <v>197.17625058438523</v>
      </c>
    </row>
    <row r="57" ht="14.25" customHeight="1">
      <c r="A57" s="64">
        <v>45595.0</v>
      </c>
      <c r="B57" s="65">
        <v>258.4</v>
      </c>
      <c r="C57" s="65">
        <v>242.85</v>
      </c>
      <c r="D57" s="65">
        <v>219.0</v>
      </c>
      <c r="E57" s="65">
        <v>266.67</v>
      </c>
      <c r="F57" s="65">
        <v>330.0</v>
      </c>
      <c r="G57" s="65" t="s">
        <v>23</v>
      </c>
      <c r="H57" s="66">
        <v>210.42</v>
      </c>
      <c r="I57" s="66">
        <v>214.0</v>
      </c>
      <c r="J57" s="66" t="s">
        <v>23</v>
      </c>
      <c r="K57" s="67">
        <v>201.0</v>
      </c>
      <c r="L57" s="67">
        <v>214.61</v>
      </c>
      <c r="M57" s="58"/>
      <c r="N57" s="59">
        <v>1.0815</v>
      </c>
      <c r="O57" s="60"/>
      <c r="P57" s="68">
        <v>238.92741562644474</v>
      </c>
      <c r="Q57" s="68">
        <v>224.5492371705964</v>
      </c>
      <c r="R57" s="68">
        <v>202.49653259362</v>
      </c>
      <c r="S57" s="68">
        <v>246.57420249653262</v>
      </c>
      <c r="T57" s="68">
        <v>305.1317614424411</v>
      </c>
      <c r="U57" s="68" t="s">
        <v>23</v>
      </c>
      <c r="V57" s="66">
        <v>194.5631067961165</v>
      </c>
      <c r="W57" s="66">
        <v>197.87332408691634</v>
      </c>
      <c r="X57" s="66" t="s">
        <v>23</v>
      </c>
      <c r="Y57" s="57">
        <v>185.85298196948685</v>
      </c>
      <c r="Z57" s="57">
        <v>198.4373555247342</v>
      </c>
    </row>
    <row r="58" ht="14.25" customHeight="1">
      <c r="A58" s="54">
        <v>45588.0</v>
      </c>
      <c r="B58" s="55">
        <v>260.33</v>
      </c>
      <c r="C58" s="55">
        <v>243.15</v>
      </c>
      <c r="D58" s="55">
        <v>220.0</v>
      </c>
      <c r="E58" s="55">
        <v>270.25</v>
      </c>
      <c r="F58" s="55">
        <v>330.0</v>
      </c>
      <c r="G58" s="55" t="s">
        <v>23</v>
      </c>
      <c r="H58" s="56">
        <v>214.16</v>
      </c>
      <c r="I58" s="56">
        <v>218.0</v>
      </c>
      <c r="J58" s="56" t="s">
        <v>23</v>
      </c>
      <c r="K58" s="57">
        <v>205.0</v>
      </c>
      <c r="L58" s="57">
        <v>216.2</v>
      </c>
      <c r="M58" s="58"/>
      <c r="N58" s="59">
        <v>1.0767</v>
      </c>
      <c r="O58" s="60"/>
      <c r="P58" s="61">
        <v>241.78508405312527</v>
      </c>
      <c r="Q58" s="61">
        <v>225.82892170521038</v>
      </c>
      <c r="R58" s="61">
        <v>204.32803937958576</v>
      </c>
      <c r="S58" s="61">
        <v>250.99842110151388</v>
      </c>
      <c r="T58" s="61">
        <v>306.4920590693787</v>
      </c>
      <c r="U58" s="61" t="s">
        <v>23</v>
      </c>
      <c r="V58" s="62">
        <v>198.90405869787313</v>
      </c>
      <c r="W58" s="62">
        <v>202.47051174886226</v>
      </c>
      <c r="X58" s="62" t="s">
        <v>23</v>
      </c>
      <c r="Y58" s="63">
        <v>190.39658214915946</v>
      </c>
      <c r="Z58" s="63">
        <v>200.7987368812111</v>
      </c>
    </row>
    <row r="59" ht="14.25" customHeight="1">
      <c r="A59" s="64">
        <v>45581.0</v>
      </c>
      <c r="B59" s="65">
        <v>262.72</v>
      </c>
      <c r="C59" s="65">
        <v>249.61</v>
      </c>
      <c r="D59" s="65">
        <v>220.0</v>
      </c>
      <c r="E59" s="65">
        <v>271.44</v>
      </c>
      <c r="F59" s="65">
        <v>325.0</v>
      </c>
      <c r="G59" s="65" t="s">
        <v>23</v>
      </c>
      <c r="H59" s="66">
        <v>205.01</v>
      </c>
      <c r="I59" s="66">
        <v>216.0</v>
      </c>
      <c r="J59" s="66" t="s">
        <v>23</v>
      </c>
      <c r="K59" s="67">
        <v>200.0</v>
      </c>
      <c r="L59" s="67">
        <v>220.25</v>
      </c>
      <c r="M59" s="58"/>
      <c r="N59" s="59">
        <v>1.0897</v>
      </c>
      <c r="O59" s="60"/>
      <c r="P59" s="68">
        <v>241.09387904927968</v>
      </c>
      <c r="Q59" s="68">
        <v>229.0630448747362</v>
      </c>
      <c r="R59" s="68">
        <v>201.89042855831883</v>
      </c>
      <c r="S59" s="68">
        <v>249.09608149031845</v>
      </c>
      <c r="T59" s="68">
        <v>298.2472240066073</v>
      </c>
      <c r="U59" s="68" t="s">
        <v>23</v>
      </c>
      <c r="V59" s="66">
        <v>188.1343489033679</v>
      </c>
      <c r="W59" s="66">
        <v>198.21969349362212</v>
      </c>
      <c r="X59" s="66" t="s">
        <v>23</v>
      </c>
      <c r="Y59" s="57">
        <v>183.5367532348353</v>
      </c>
      <c r="Z59" s="57">
        <v>202.11984949986237</v>
      </c>
    </row>
    <row r="60" ht="14.25" customHeight="1">
      <c r="A60" s="54">
        <v>45574.0</v>
      </c>
      <c r="B60" s="55">
        <v>267.86</v>
      </c>
      <c r="C60" s="55">
        <v>253.6</v>
      </c>
      <c r="D60" s="55">
        <v>219.0</v>
      </c>
      <c r="E60" s="55">
        <v>278.79</v>
      </c>
      <c r="F60" s="55">
        <v>325.0</v>
      </c>
      <c r="G60" s="55" t="s">
        <v>23</v>
      </c>
      <c r="H60" s="56">
        <v>211.41</v>
      </c>
      <c r="I60" s="56">
        <v>220.0</v>
      </c>
      <c r="J60" s="56" t="s">
        <v>23</v>
      </c>
      <c r="K60" s="57">
        <v>196.0</v>
      </c>
      <c r="L60" s="57">
        <v>222.94</v>
      </c>
      <c r="M60" s="58"/>
      <c r="N60" s="59">
        <v>1.0957</v>
      </c>
      <c r="O60" s="60"/>
      <c r="P60" s="61">
        <v>244.46472574609842</v>
      </c>
      <c r="Q60" s="61">
        <v>231.450214474765</v>
      </c>
      <c r="R60" s="61">
        <v>199.8722277995802</v>
      </c>
      <c r="S60" s="61">
        <v>254.4400839645889</v>
      </c>
      <c r="T60" s="61">
        <v>296.6140366888747</v>
      </c>
      <c r="U60" s="61" t="s">
        <v>23</v>
      </c>
      <c r="V60" s="62">
        <v>192.94514921967692</v>
      </c>
      <c r="W60" s="62">
        <v>200.7848863740075</v>
      </c>
      <c r="X60" s="62" t="s">
        <v>23</v>
      </c>
      <c r="Y60" s="63">
        <v>178.88108058775214</v>
      </c>
      <c r="Z60" s="63">
        <v>203.46810258282378</v>
      </c>
    </row>
    <row r="61" ht="14.25" customHeight="1">
      <c r="A61" s="64">
        <v>45567.0</v>
      </c>
      <c r="B61" s="65">
        <v>272.0</v>
      </c>
      <c r="C61" s="65">
        <v>260.29</v>
      </c>
      <c r="D61" s="65">
        <v>215.0</v>
      </c>
      <c r="E61" s="65">
        <v>282.65</v>
      </c>
      <c r="F61" s="65">
        <v>320.0</v>
      </c>
      <c r="G61" s="65">
        <v>335.006856</v>
      </c>
      <c r="H61" s="66">
        <v>213.18</v>
      </c>
      <c r="I61" s="66">
        <v>218.0</v>
      </c>
      <c r="J61" s="66" t="s">
        <v>23</v>
      </c>
      <c r="K61" s="67">
        <v>205.0</v>
      </c>
      <c r="L61" s="67">
        <v>226.04</v>
      </c>
      <c r="M61" s="58"/>
      <c r="N61" s="59">
        <v>1.1071</v>
      </c>
      <c r="O61" s="60"/>
      <c r="P61" s="68">
        <v>245.68692981663807</v>
      </c>
      <c r="Q61" s="68">
        <v>235.10974618372327</v>
      </c>
      <c r="R61" s="68">
        <v>194.20106584771023</v>
      </c>
      <c r="S61" s="68">
        <v>255.3066570318851</v>
      </c>
      <c r="T61" s="68">
        <v>289.0434468431036</v>
      </c>
      <c r="U61" s="68">
        <v>302.5985511697227</v>
      </c>
      <c r="V61" s="66">
        <v>192.55713124379008</v>
      </c>
      <c r="W61" s="66">
        <v>196.91084816186432</v>
      </c>
      <c r="X61" s="66" t="s">
        <v>23</v>
      </c>
      <c r="Y61" s="57">
        <v>185.16845813386325</v>
      </c>
      <c r="Z61" s="57">
        <v>204.1730647637973</v>
      </c>
    </row>
    <row r="62" ht="14.25" customHeight="1">
      <c r="A62" s="54">
        <v>45560.0</v>
      </c>
      <c r="B62" s="55">
        <v>258.77</v>
      </c>
      <c r="C62" s="55">
        <v>249.23</v>
      </c>
      <c r="D62" s="55">
        <v>206.0</v>
      </c>
      <c r="E62" s="55">
        <v>268.6</v>
      </c>
      <c r="F62" s="55">
        <v>315.0</v>
      </c>
      <c r="G62" s="55" t="s">
        <v>23</v>
      </c>
      <c r="H62" s="56">
        <v>207.57</v>
      </c>
      <c r="I62" s="56">
        <v>210.0</v>
      </c>
      <c r="J62" s="56" t="s">
        <v>23</v>
      </c>
      <c r="K62" s="57">
        <v>189.0</v>
      </c>
      <c r="L62" s="57">
        <v>214.69</v>
      </c>
      <c r="M62" s="58"/>
      <c r="N62" s="59">
        <v>1.1194</v>
      </c>
      <c r="O62" s="60"/>
      <c r="P62" s="61">
        <v>231.16848311595496</v>
      </c>
      <c r="Q62" s="61">
        <v>222.64606038949438</v>
      </c>
      <c r="R62" s="61">
        <v>184.0271574057531</v>
      </c>
      <c r="S62" s="61">
        <v>239.94997319992856</v>
      </c>
      <c r="T62" s="61">
        <v>281.4007504020011</v>
      </c>
      <c r="U62" s="61" t="s">
        <v>23</v>
      </c>
      <c r="V62" s="62">
        <v>185.4296944791853</v>
      </c>
      <c r="W62" s="62">
        <v>187.60050026800073</v>
      </c>
      <c r="X62" s="62" t="s">
        <v>23</v>
      </c>
      <c r="Y62" s="63">
        <v>168.84045024120064</v>
      </c>
      <c r="Z62" s="63">
        <v>191.79024477398607</v>
      </c>
    </row>
    <row r="63" ht="14.25" customHeight="1">
      <c r="A63" s="64">
        <v>45553.0</v>
      </c>
      <c r="B63" s="65">
        <v>248.3</v>
      </c>
      <c r="C63" s="65">
        <v>246.37</v>
      </c>
      <c r="D63" s="65">
        <v>205.0</v>
      </c>
      <c r="E63" s="65">
        <v>267.68</v>
      </c>
      <c r="F63" s="65">
        <v>315.0</v>
      </c>
      <c r="G63" s="65" t="s">
        <v>23</v>
      </c>
      <c r="H63" s="66">
        <v>206.58</v>
      </c>
      <c r="I63" s="66">
        <v>204.0</v>
      </c>
      <c r="J63" s="66" t="s">
        <v>23</v>
      </c>
      <c r="K63" s="67">
        <v>189.0</v>
      </c>
      <c r="L63" s="67">
        <v>213.03</v>
      </c>
      <c r="M63" s="58"/>
      <c r="N63" s="59">
        <v>1.1124</v>
      </c>
      <c r="O63" s="60"/>
      <c r="P63" s="68">
        <v>223.21107515282273</v>
      </c>
      <c r="Q63" s="68">
        <v>221.47608773822364</v>
      </c>
      <c r="R63" s="68">
        <v>184.28622797554834</v>
      </c>
      <c r="S63" s="68">
        <v>240.63286587558432</v>
      </c>
      <c r="T63" s="68">
        <v>283.1715210355987</v>
      </c>
      <c r="U63" s="68" t="s">
        <v>23</v>
      </c>
      <c r="V63" s="66">
        <v>185.70658036677455</v>
      </c>
      <c r="W63" s="66">
        <v>183.38727076591152</v>
      </c>
      <c r="X63" s="66" t="s">
        <v>23</v>
      </c>
      <c r="Y63" s="57">
        <v>169.9029126213592</v>
      </c>
      <c r="Z63" s="57">
        <v>191.50485436893203</v>
      </c>
    </row>
    <row r="64" ht="14.25" customHeight="1">
      <c r="A64" s="54">
        <v>45546.0</v>
      </c>
      <c r="B64" s="55">
        <v>245.91</v>
      </c>
      <c r="C64" s="55">
        <v>245.17</v>
      </c>
      <c r="D64" s="55">
        <v>203.0</v>
      </c>
      <c r="E64" s="55">
        <v>274.93</v>
      </c>
      <c r="F64" s="55">
        <v>315.0</v>
      </c>
      <c r="G64" s="55" t="s">
        <v>23</v>
      </c>
      <c r="H64" s="56">
        <v>204.62</v>
      </c>
      <c r="I64" s="56">
        <v>202.0</v>
      </c>
      <c r="J64" s="56" t="s">
        <v>23</v>
      </c>
      <c r="K64" s="57">
        <v>191.0</v>
      </c>
      <c r="L64" s="57">
        <v>213.23</v>
      </c>
      <c r="M64" s="58"/>
      <c r="N64" s="59">
        <v>1.1043</v>
      </c>
      <c r="O64" s="60"/>
      <c r="P64" s="61">
        <v>222.68405324640042</v>
      </c>
      <c r="Q64" s="61">
        <v>222.01394548582812</v>
      </c>
      <c r="R64" s="61">
        <v>183.82685864348454</v>
      </c>
      <c r="S64" s="61">
        <v>248.9631440731685</v>
      </c>
      <c r="T64" s="61">
        <v>285.2485737571312</v>
      </c>
      <c r="U64" s="61" t="s">
        <v>23</v>
      </c>
      <c r="V64" s="62">
        <v>185.29385130852123</v>
      </c>
      <c r="W64" s="62">
        <v>182.92130761568413</v>
      </c>
      <c r="X64" s="62" t="s">
        <v>23</v>
      </c>
      <c r="Y64" s="63">
        <v>172.96024630987955</v>
      </c>
      <c r="Z64" s="63">
        <v>193.0906456578828</v>
      </c>
    </row>
    <row r="65" ht="14.25" customHeight="1">
      <c r="A65" s="64">
        <v>45539.0</v>
      </c>
      <c r="B65" s="65">
        <v>244.62</v>
      </c>
      <c r="C65" s="65">
        <v>242.28</v>
      </c>
      <c r="D65" s="65">
        <v>200.0</v>
      </c>
      <c r="E65" s="65">
        <v>276.68</v>
      </c>
      <c r="F65" s="65">
        <v>310.0</v>
      </c>
      <c r="G65" s="65" t="s">
        <v>23</v>
      </c>
      <c r="H65" s="66">
        <v>206.19</v>
      </c>
      <c r="I65" s="66">
        <v>201.0</v>
      </c>
      <c r="J65" s="66" t="s">
        <v>23</v>
      </c>
      <c r="K65" s="67">
        <v>198.0</v>
      </c>
      <c r="L65" s="67">
        <v>216.8</v>
      </c>
      <c r="M65" s="58"/>
      <c r="N65" s="59">
        <v>1.105</v>
      </c>
      <c r="O65" s="60"/>
      <c r="P65" s="68">
        <v>221.37556561085972</v>
      </c>
      <c r="Q65" s="68">
        <v>219.25791855203622</v>
      </c>
      <c r="R65" s="68">
        <v>180.99547511312218</v>
      </c>
      <c r="S65" s="68">
        <v>250.38914027149323</v>
      </c>
      <c r="T65" s="68">
        <v>280.5429864253394</v>
      </c>
      <c r="U65" s="68" t="s">
        <v>23</v>
      </c>
      <c r="V65" s="66">
        <v>186.59728506787332</v>
      </c>
      <c r="W65" s="66">
        <v>181.9004524886878</v>
      </c>
      <c r="X65" s="66" t="s">
        <v>23</v>
      </c>
      <c r="Y65" s="57">
        <v>179.18552036199094</v>
      </c>
      <c r="Z65" s="57">
        <v>196.19909502262445</v>
      </c>
    </row>
    <row r="66" ht="14.25" customHeight="1">
      <c r="A66" s="54">
        <v>45532.0</v>
      </c>
      <c r="B66" s="55">
        <v>214.68</v>
      </c>
      <c r="C66" s="55">
        <v>228.89</v>
      </c>
      <c r="D66" s="55">
        <v>200.0</v>
      </c>
      <c r="E66" s="55">
        <v>251.6</v>
      </c>
      <c r="F66" s="55">
        <v>295.0</v>
      </c>
      <c r="G66" s="55" t="s">
        <v>23</v>
      </c>
      <c r="H66" s="56">
        <v>180.01</v>
      </c>
      <c r="I66" s="56">
        <v>197.0</v>
      </c>
      <c r="J66" s="56" t="s">
        <v>23</v>
      </c>
      <c r="K66" s="57">
        <v>194.0</v>
      </c>
      <c r="L66" s="57">
        <v>201.08</v>
      </c>
      <c r="M66" s="58"/>
      <c r="N66" s="59">
        <v>1.1117</v>
      </c>
      <c r="O66" s="60"/>
      <c r="P66" s="61">
        <v>193.10965188450123</v>
      </c>
      <c r="Q66" s="61">
        <v>205.89187730502834</v>
      </c>
      <c r="R66" s="61">
        <v>179.90465053521635</v>
      </c>
      <c r="S66" s="61">
        <v>226.32005037330217</v>
      </c>
      <c r="T66" s="61">
        <v>265.35935953944414</v>
      </c>
      <c r="U66" s="61" t="s">
        <v>23</v>
      </c>
      <c r="V66" s="62">
        <v>161.92318071422147</v>
      </c>
      <c r="W66" s="62">
        <v>177.2060807771881</v>
      </c>
      <c r="X66" s="62" t="s">
        <v>23</v>
      </c>
      <c r="Y66" s="63">
        <v>174.50751101915986</v>
      </c>
      <c r="Z66" s="63">
        <v>180.87613564810653</v>
      </c>
    </row>
    <row r="67" ht="14.25" customHeight="1">
      <c r="A67" s="64">
        <v>45525.0</v>
      </c>
      <c r="B67" s="65">
        <v>216.7</v>
      </c>
      <c r="C67" s="65">
        <v>229.23</v>
      </c>
      <c r="D67" s="65">
        <v>202.0</v>
      </c>
      <c r="E67" s="65">
        <v>246.64</v>
      </c>
      <c r="F67" s="65">
        <v>295.0</v>
      </c>
      <c r="G67" s="65" t="s">
        <v>23</v>
      </c>
      <c r="H67" s="66">
        <v>183.65</v>
      </c>
      <c r="I67" s="66">
        <v>203.0</v>
      </c>
      <c r="J67" s="66" t="s">
        <v>23</v>
      </c>
      <c r="K67" s="67">
        <v>187.0</v>
      </c>
      <c r="L67" s="67">
        <v>193.57</v>
      </c>
      <c r="M67" s="58"/>
      <c r="N67" s="59">
        <v>1.1116</v>
      </c>
      <c r="O67" s="60"/>
      <c r="P67" s="68">
        <v>194.94422454120186</v>
      </c>
      <c r="Q67" s="68">
        <v>206.21626484346888</v>
      </c>
      <c r="R67" s="68">
        <v>181.72004318100036</v>
      </c>
      <c r="S67" s="68">
        <v>221.87837351565312</v>
      </c>
      <c r="T67" s="68">
        <v>265.3832313781936</v>
      </c>
      <c r="U67" s="68" t="s">
        <v>23</v>
      </c>
      <c r="V67" s="66">
        <v>165.21230658510257</v>
      </c>
      <c r="W67" s="66">
        <v>182.61964735516375</v>
      </c>
      <c r="X67" s="66" t="s">
        <v>23</v>
      </c>
      <c r="Y67" s="57">
        <v>168.22598056854986</v>
      </c>
      <c r="Z67" s="57">
        <v>174.13637999280317</v>
      </c>
    </row>
    <row r="68" ht="14.25" customHeight="1">
      <c r="A68" s="54">
        <v>45518.0</v>
      </c>
      <c r="B68" s="55">
        <v>218.53</v>
      </c>
      <c r="C68" s="55">
        <v>230.08</v>
      </c>
      <c r="D68" s="55">
        <v>202.0</v>
      </c>
      <c r="E68" s="55">
        <v>248.48</v>
      </c>
      <c r="F68" s="55">
        <v>295.0</v>
      </c>
      <c r="G68" s="55" t="s">
        <v>23</v>
      </c>
      <c r="H68" s="56">
        <v>183.46</v>
      </c>
      <c r="I68" s="56">
        <v>205.5</v>
      </c>
      <c r="J68" s="56" t="s">
        <v>23</v>
      </c>
      <c r="K68" s="57">
        <v>185.0</v>
      </c>
      <c r="L68" s="57">
        <v>199.22</v>
      </c>
      <c r="M68" s="58"/>
      <c r="N68" s="59">
        <v>1.1019</v>
      </c>
      <c r="O68" s="60"/>
      <c r="P68" s="61">
        <v>198.3210817678555</v>
      </c>
      <c r="Q68" s="61">
        <v>208.80297667664942</v>
      </c>
      <c r="R68" s="61">
        <v>183.3197204828024</v>
      </c>
      <c r="S68" s="61">
        <v>225.5014066612215</v>
      </c>
      <c r="T68" s="61">
        <v>267.7193937743897</v>
      </c>
      <c r="U68" s="61" t="s">
        <v>23</v>
      </c>
      <c r="V68" s="62">
        <v>166.4942372266086</v>
      </c>
      <c r="W68" s="62">
        <v>186.496052273346</v>
      </c>
      <c r="X68" s="62" t="s">
        <v>23</v>
      </c>
      <c r="Y68" s="63">
        <v>167.89182321444775</v>
      </c>
      <c r="Z68" s="63">
        <v>180.79680551774206</v>
      </c>
    </row>
    <row r="69" ht="14.25" customHeight="1">
      <c r="A69" s="64">
        <v>45511.0</v>
      </c>
      <c r="B69" s="65">
        <v>217.98</v>
      </c>
      <c r="C69" s="65">
        <v>241.13</v>
      </c>
      <c r="D69" s="65">
        <v>199.0</v>
      </c>
      <c r="E69" s="65">
        <v>253.72</v>
      </c>
      <c r="F69" s="65">
        <v>295.0</v>
      </c>
      <c r="G69" s="65" t="s">
        <v>23</v>
      </c>
      <c r="H69" s="66">
        <v>182.37</v>
      </c>
      <c r="I69" s="66">
        <v>205.0</v>
      </c>
      <c r="J69" s="66" t="s">
        <v>23</v>
      </c>
      <c r="K69" s="67">
        <v>190.0</v>
      </c>
      <c r="L69" s="67">
        <v>206.17</v>
      </c>
      <c r="M69" s="58"/>
      <c r="N69" s="59">
        <v>1.0922</v>
      </c>
      <c r="O69" s="60"/>
      <c r="P69" s="68">
        <v>199.57883171580295</v>
      </c>
      <c r="Q69" s="68">
        <v>220.77458340963193</v>
      </c>
      <c r="R69" s="68">
        <v>182.20106207654274</v>
      </c>
      <c r="S69" s="68">
        <v>232.30177623145943</v>
      </c>
      <c r="T69" s="68">
        <v>270.0970518220106</v>
      </c>
      <c r="U69" s="68" t="s">
        <v>23</v>
      </c>
      <c r="V69" s="66">
        <v>166.9749130195935</v>
      </c>
      <c r="W69" s="66">
        <v>187.69456143563448</v>
      </c>
      <c r="X69" s="66" t="s">
        <v>23</v>
      </c>
      <c r="Y69" s="57">
        <v>173.96081303790513</v>
      </c>
      <c r="Z69" s="57">
        <v>188.76579381065736</v>
      </c>
    </row>
    <row r="70" ht="14.25" customHeight="1">
      <c r="A70" s="54">
        <v>45504.0</v>
      </c>
      <c r="B70" s="55">
        <v>212.1</v>
      </c>
      <c r="C70" s="55">
        <v>242.13</v>
      </c>
      <c r="D70" s="55">
        <v>201.0</v>
      </c>
      <c r="E70" s="55">
        <v>253.16</v>
      </c>
      <c r="F70" s="55">
        <v>295.0</v>
      </c>
      <c r="G70" s="55" t="s">
        <v>23</v>
      </c>
      <c r="H70" s="56">
        <v>182.18</v>
      </c>
      <c r="I70" s="56">
        <v>203.0</v>
      </c>
      <c r="J70" s="56" t="s">
        <v>23</v>
      </c>
      <c r="K70" s="57">
        <v>189.0</v>
      </c>
      <c r="L70" s="57">
        <v>211.83</v>
      </c>
      <c r="M70" s="58"/>
      <c r="N70" s="59">
        <v>1.0828</v>
      </c>
      <c r="O70" s="60"/>
      <c r="P70" s="61">
        <v>195.8810491318803</v>
      </c>
      <c r="Q70" s="61">
        <v>223.6147026228297</v>
      </c>
      <c r="R70" s="61">
        <v>185.6298485408201</v>
      </c>
      <c r="S70" s="61">
        <v>233.8012560029553</v>
      </c>
      <c r="T70" s="61">
        <v>272.44181751015884</v>
      </c>
      <c r="U70" s="61" t="s">
        <v>23</v>
      </c>
      <c r="V70" s="62">
        <v>168.24898411525675</v>
      </c>
      <c r="W70" s="62">
        <v>187.4769117103805</v>
      </c>
      <c r="X70" s="62" t="s">
        <v>23</v>
      </c>
      <c r="Y70" s="63">
        <v>174.5474695234577</v>
      </c>
      <c r="Z70" s="63">
        <v>195.63169560398967</v>
      </c>
    </row>
    <row r="71" ht="14.25" customHeight="1">
      <c r="A71" s="64">
        <v>45497.0</v>
      </c>
      <c r="B71" s="65">
        <v>219.36</v>
      </c>
      <c r="C71" s="65">
        <v>241.75</v>
      </c>
      <c r="D71" s="65">
        <v>201.0</v>
      </c>
      <c r="E71" s="65">
        <v>259.96</v>
      </c>
      <c r="F71" s="65">
        <v>300.0</v>
      </c>
      <c r="G71" s="65" t="s">
        <v>23</v>
      </c>
      <c r="H71" s="66">
        <v>189.66</v>
      </c>
      <c r="I71" s="66">
        <v>202.0</v>
      </c>
      <c r="J71" s="66" t="s">
        <v>23</v>
      </c>
      <c r="K71" s="67">
        <v>185.0</v>
      </c>
      <c r="L71" s="67">
        <v>212.46</v>
      </c>
      <c r="M71" s="58"/>
      <c r="N71" s="59">
        <v>1.0848</v>
      </c>
      <c r="O71" s="60"/>
      <c r="P71" s="68">
        <v>202.212389380531</v>
      </c>
      <c r="Q71" s="68">
        <v>222.85213864306786</v>
      </c>
      <c r="R71" s="68">
        <v>185.28761061946904</v>
      </c>
      <c r="S71" s="68">
        <v>239.6386430678466</v>
      </c>
      <c r="T71" s="68">
        <v>276.5486725663717</v>
      </c>
      <c r="U71" s="68" t="s">
        <v>23</v>
      </c>
      <c r="V71" s="66">
        <v>174.83407079646017</v>
      </c>
      <c r="W71" s="66">
        <v>186.2094395280236</v>
      </c>
      <c r="X71" s="66" t="s">
        <v>23</v>
      </c>
      <c r="Y71" s="57">
        <v>170.53834808259586</v>
      </c>
      <c r="Z71" s="57">
        <v>195.85176991150445</v>
      </c>
    </row>
    <row r="72" ht="14.25" customHeight="1">
      <c r="A72" s="54">
        <v>45490.0</v>
      </c>
      <c r="B72" s="55">
        <v>216.51</v>
      </c>
      <c r="C72" s="55">
        <v>233.71</v>
      </c>
      <c r="D72" s="55">
        <v>196.0</v>
      </c>
      <c r="E72" s="55">
        <v>255.74</v>
      </c>
      <c r="F72" s="55">
        <v>310.0</v>
      </c>
      <c r="G72" s="55">
        <v>332.3936</v>
      </c>
      <c r="H72" s="56">
        <v>186.21</v>
      </c>
      <c r="I72" s="56">
        <v>195.0</v>
      </c>
      <c r="J72" s="56" t="s">
        <v>23</v>
      </c>
      <c r="K72" s="57">
        <v>179.0</v>
      </c>
      <c r="L72" s="57">
        <v>206.38</v>
      </c>
      <c r="M72" s="58"/>
      <c r="N72" s="59">
        <v>1.0934</v>
      </c>
      <c r="O72" s="60"/>
      <c r="P72" s="61">
        <v>198.01536491677336</v>
      </c>
      <c r="Q72" s="61">
        <v>213.74611304188772</v>
      </c>
      <c r="R72" s="61">
        <v>179.25736235595392</v>
      </c>
      <c r="S72" s="61">
        <v>233.89427473934518</v>
      </c>
      <c r="T72" s="61">
        <v>283.51929760380466</v>
      </c>
      <c r="U72" s="61">
        <v>304.0</v>
      </c>
      <c r="V72" s="62">
        <v>170.3036400219499</v>
      </c>
      <c r="W72" s="62">
        <v>178.34278397658682</v>
      </c>
      <c r="X72" s="62" t="s">
        <v>23</v>
      </c>
      <c r="Y72" s="63">
        <v>163.70952990671302</v>
      </c>
      <c r="Z72" s="63">
        <v>188.75068593378452</v>
      </c>
    </row>
    <row r="73" ht="14.25" customHeight="1">
      <c r="A73" s="64">
        <v>45483.0</v>
      </c>
      <c r="B73" s="65">
        <v>224.69</v>
      </c>
      <c r="C73" s="65">
        <v>235.66</v>
      </c>
      <c r="D73" s="65">
        <v>200.0</v>
      </c>
      <c r="E73" s="65">
        <v>259.23</v>
      </c>
      <c r="F73" s="65">
        <v>320.0</v>
      </c>
      <c r="G73" s="65" t="s">
        <v>23</v>
      </c>
      <c r="H73" s="66">
        <v>184.14</v>
      </c>
      <c r="I73" s="66">
        <v>186.0</v>
      </c>
      <c r="J73" s="66" t="s">
        <v>23</v>
      </c>
      <c r="K73" s="67">
        <v>175.0</v>
      </c>
      <c r="L73" s="67">
        <v>211.86</v>
      </c>
      <c r="M73" s="58"/>
      <c r="N73" s="59">
        <v>1.0825</v>
      </c>
      <c r="O73" s="60"/>
      <c r="P73" s="68">
        <v>207.56581986143186</v>
      </c>
      <c r="Q73" s="68">
        <v>217.69976905311776</v>
      </c>
      <c r="R73" s="68">
        <v>184.75750577367205</v>
      </c>
      <c r="S73" s="68">
        <v>239.47344110854505</v>
      </c>
      <c r="T73" s="68">
        <v>295.61200923787527</v>
      </c>
      <c r="U73" s="68" t="s">
        <v>23</v>
      </c>
      <c r="V73" s="66">
        <v>170.10623556581984</v>
      </c>
      <c r="W73" s="66">
        <v>171.82448036951502</v>
      </c>
      <c r="X73" s="66" t="s">
        <v>23</v>
      </c>
      <c r="Y73" s="57">
        <v>161.66281755196306</v>
      </c>
      <c r="Z73" s="57">
        <v>195.71362586605082</v>
      </c>
    </row>
    <row r="74" ht="14.25" customHeight="1">
      <c r="A74" s="54">
        <v>45476.0</v>
      </c>
      <c r="B74" s="55">
        <v>229.28</v>
      </c>
      <c r="C74" s="55">
        <v>236.23</v>
      </c>
      <c r="D74" s="55">
        <v>200.0</v>
      </c>
      <c r="E74" s="55">
        <v>265.84</v>
      </c>
      <c r="F74" s="55">
        <v>330.0</v>
      </c>
      <c r="G74" s="55" t="s">
        <v>23</v>
      </c>
      <c r="H74" s="56">
        <v>184.44</v>
      </c>
      <c r="I74" s="56">
        <v>188.0</v>
      </c>
      <c r="J74" s="56" t="s">
        <v>23</v>
      </c>
      <c r="K74" s="57">
        <v>176.0</v>
      </c>
      <c r="L74" s="57">
        <v>211.4</v>
      </c>
      <c r="M74" s="58"/>
      <c r="N74" s="59">
        <v>1.0758</v>
      </c>
      <c r="O74" s="60"/>
      <c r="P74" s="61">
        <v>213.12511619260084</v>
      </c>
      <c r="Q74" s="61">
        <v>219.5854248001487</v>
      </c>
      <c r="R74" s="61">
        <v>185.90816136828406</v>
      </c>
      <c r="S74" s="61">
        <v>247.10912809072315</v>
      </c>
      <c r="T74" s="61">
        <v>306.74846625766867</v>
      </c>
      <c r="U74" s="61" t="s">
        <v>23</v>
      </c>
      <c r="V74" s="62">
        <v>171.44450641383156</v>
      </c>
      <c r="W74" s="62">
        <v>174.753671686187</v>
      </c>
      <c r="X74" s="62" t="s">
        <v>23</v>
      </c>
      <c r="Y74" s="63">
        <v>163.59918200408995</v>
      </c>
      <c r="Z74" s="63">
        <v>196.50492656627625</v>
      </c>
    </row>
    <row r="75" ht="14.25" customHeight="1">
      <c r="A75" s="64">
        <v>45469.0</v>
      </c>
      <c r="B75" s="65">
        <v>217.25</v>
      </c>
      <c r="C75" s="65">
        <v>231.55</v>
      </c>
      <c r="D75" s="65">
        <v>200.0</v>
      </c>
      <c r="E75" s="65">
        <v>249.86</v>
      </c>
      <c r="F75" s="65">
        <v>330.0</v>
      </c>
      <c r="G75" s="65">
        <v>327.0834</v>
      </c>
      <c r="H75" s="66">
        <v>188.97</v>
      </c>
      <c r="I75" s="66">
        <v>186.0</v>
      </c>
      <c r="J75" s="66" t="s">
        <v>23</v>
      </c>
      <c r="K75" s="67">
        <v>174.0</v>
      </c>
      <c r="L75" s="67">
        <v>204.85</v>
      </c>
      <c r="M75" s="58"/>
      <c r="N75" s="59">
        <v>1.0689</v>
      </c>
      <c r="O75" s="60"/>
      <c r="P75" s="68">
        <v>203.24632800074843</v>
      </c>
      <c r="Q75" s="68">
        <v>216.62456731219012</v>
      </c>
      <c r="R75" s="68">
        <v>187.1082421180653</v>
      </c>
      <c r="S75" s="68">
        <v>233.754326878099</v>
      </c>
      <c r="T75" s="68">
        <v>308.7285994948078</v>
      </c>
      <c r="U75" s="68">
        <v>306.0</v>
      </c>
      <c r="V75" s="66">
        <v>176.789222565254</v>
      </c>
      <c r="W75" s="66">
        <v>174.01066516980075</v>
      </c>
      <c r="X75" s="66" t="s">
        <v>23</v>
      </c>
      <c r="Y75" s="57">
        <v>162.78417064271682</v>
      </c>
      <c r="Z75" s="57">
        <v>191.6456169894284</v>
      </c>
    </row>
    <row r="76" ht="14.25" customHeight="1">
      <c r="A76" s="54">
        <v>45462.0</v>
      </c>
      <c r="B76" s="55">
        <v>230.38</v>
      </c>
      <c r="C76" s="55">
        <v>240.76</v>
      </c>
      <c r="D76" s="55">
        <v>208.0</v>
      </c>
      <c r="E76" s="55">
        <v>255.64</v>
      </c>
      <c r="F76" s="55">
        <v>340.0</v>
      </c>
      <c r="G76" s="55" t="s">
        <v>23</v>
      </c>
      <c r="H76" s="56">
        <v>201.57</v>
      </c>
      <c r="I76" s="56">
        <v>196.0</v>
      </c>
      <c r="J76" s="56" t="s">
        <v>23</v>
      </c>
      <c r="K76" s="57">
        <v>182.0</v>
      </c>
      <c r="L76" s="57">
        <v>213.9</v>
      </c>
      <c r="M76" s="58"/>
      <c r="N76" s="59">
        <v>1.0749</v>
      </c>
      <c r="O76" s="60"/>
      <c r="P76" s="61">
        <v>214.3269141315471</v>
      </c>
      <c r="Q76" s="61">
        <v>223.98362638384967</v>
      </c>
      <c r="R76" s="61">
        <v>193.50637268583125</v>
      </c>
      <c r="S76" s="61">
        <v>237.8267745836822</v>
      </c>
      <c r="T76" s="61">
        <v>316.308493813378</v>
      </c>
      <c r="U76" s="61" t="s">
        <v>23</v>
      </c>
      <c r="V76" s="62">
        <v>187.52442087636058</v>
      </c>
      <c r="W76" s="62">
        <v>182.34254349241792</v>
      </c>
      <c r="X76" s="62" t="s">
        <v>23</v>
      </c>
      <c r="Y76" s="63">
        <v>169.31807610010233</v>
      </c>
      <c r="Z76" s="63">
        <v>198.99525537259282</v>
      </c>
    </row>
    <row r="77" ht="14.25" customHeight="1">
      <c r="A77" s="64">
        <v>45455.0</v>
      </c>
      <c r="B77" s="65">
        <v>241.41</v>
      </c>
      <c r="C77" s="65">
        <v>253.69</v>
      </c>
      <c r="D77" s="65">
        <v>215.0</v>
      </c>
      <c r="E77" s="65">
        <v>269.06</v>
      </c>
      <c r="F77" s="65">
        <v>355.0</v>
      </c>
      <c r="G77" s="65" t="s">
        <v>23</v>
      </c>
      <c r="H77" s="66">
        <v>203.24</v>
      </c>
      <c r="I77" s="66">
        <v>202.0</v>
      </c>
      <c r="J77" s="66" t="s">
        <v>23</v>
      </c>
      <c r="K77" s="67">
        <v>184.0</v>
      </c>
      <c r="L77" s="67">
        <v>225.51</v>
      </c>
      <c r="M77" s="58"/>
      <c r="N77" s="59">
        <v>1.0765</v>
      </c>
      <c r="O77" s="60"/>
      <c r="P77" s="68">
        <v>224.2545285647933</v>
      </c>
      <c r="Q77" s="68">
        <v>235.66186716209938</v>
      </c>
      <c r="R77" s="68">
        <v>199.72131908964235</v>
      </c>
      <c r="S77" s="68">
        <v>249.93961913608916</v>
      </c>
      <c r="T77" s="68">
        <v>329.7724105898746</v>
      </c>
      <c r="U77" s="68" t="s">
        <v>23</v>
      </c>
      <c r="V77" s="66">
        <v>188.79702740362285</v>
      </c>
      <c r="W77" s="66">
        <v>187.64514630747794</v>
      </c>
      <c r="X77" s="66" t="s">
        <v>23</v>
      </c>
      <c r="Y77" s="57">
        <v>170.9242916860195</v>
      </c>
      <c r="Z77" s="57">
        <v>209.48444031583836</v>
      </c>
    </row>
    <row r="78" ht="14.25" customHeight="1">
      <c r="A78" s="54">
        <v>45448.0</v>
      </c>
      <c r="B78" s="55">
        <v>252.34</v>
      </c>
      <c r="C78" s="55">
        <v>265.08</v>
      </c>
      <c r="D78" s="55">
        <v>228.0</v>
      </c>
      <c r="E78" s="55">
        <v>283.39</v>
      </c>
      <c r="F78" s="55">
        <v>360.0</v>
      </c>
      <c r="G78" s="55" t="s">
        <v>23</v>
      </c>
      <c r="H78" s="56">
        <v>196.15</v>
      </c>
      <c r="I78" s="56">
        <v>202.0</v>
      </c>
      <c r="J78" s="56" t="s">
        <v>23</v>
      </c>
      <c r="K78" s="57">
        <v>195.0</v>
      </c>
      <c r="L78" s="57">
        <v>234.66</v>
      </c>
      <c r="M78" s="58"/>
      <c r="N78" s="59">
        <v>1.0872</v>
      </c>
      <c r="O78" s="60"/>
      <c r="P78" s="61">
        <v>232.10080941869023</v>
      </c>
      <c r="Q78" s="61">
        <v>243.81898454746135</v>
      </c>
      <c r="R78" s="61">
        <v>209.71302428256072</v>
      </c>
      <c r="S78" s="61">
        <v>260.6604120676968</v>
      </c>
      <c r="T78" s="61">
        <v>331.12582781456956</v>
      </c>
      <c r="U78" s="61" t="s">
        <v>23</v>
      </c>
      <c r="V78" s="62">
        <v>180.41758646063283</v>
      </c>
      <c r="W78" s="62">
        <v>185.7983811626196</v>
      </c>
      <c r="X78" s="62" t="s">
        <v>23</v>
      </c>
      <c r="Y78" s="63">
        <v>179.3598233995585</v>
      </c>
      <c r="Z78" s="63">
        <v>215.83885209713026</v>
      </c>
    </row>
    <row r="79" ht="14.25" customHeight="1">
      <c r="A79" s="64">
        <v>45441.0</v>
      </c>
      <c r="B79" s="65">
        <v>267.4</v>
      </c>
      <c r="C79" s="65">
        <v>271.4</v>
      </c>
      <c r="D79" s="65">
        <v>226.0</v>
      </c>
      <c r="E79" s="65">
        <v>299.37</v>
      </c>
      <c r="F79" s="65">
        <v>350.0</v>
      </c>
      <c r="G79" s="65" t="s">
        <v>23</v>
      </c>
      <c r="H79" s="66">
        <v>198.12</v>
      </c>
      <c r="I79" s="66">
        <v>202.0</v>
      </c>
      <c r="J79" s="66" t="s">
        <v>23</v>
      </c>
      <c r="K79" s="67">
        <v>205.0</v>
      </c>
      <c r="L79" s="67">
        <v>247.62</v>
      </c>
      <c r="M79" s="58"/>
      <c r="N79" s="59">
        <v>1.0857</v>
      </c>
      <c r="O79" s="60"/>
      <c r="P79" s="68">
        <v>246.29271437782072</v>
      </c>
      <c r="Q79" s="68">
        <v>249.97697338122865</v>
      </c>
      <c r="R79" s="68">
        <v>208.16063369254857</v>
      </c>
      <c r="S79" s="68">
        <v>275.7391544625587</v>
      </c>
      <c r="T79" s="68">
        <v>322.37266279819465</v>
      </c>
      <c r="U79" s="68" t="s">
        <v>23</v>
      </c>
      <c r="V79" s="66">
        <v>182.48134843879524</v>
      </c>
      <c r="W79" s="66">
        <v>186.05507967210093</v>
      </c>
      <c r="X79" s="66" t="s">
        <v>23</v>
      </c>
      <c r="Y79" s="57">
        <v>188.8182739246569</v>
      </c>
      <c r="Z79" s="57">
        <v>228.0740536059685</v>
      </c>
    </row>
    <row r="80" ht="14.25" customHeight="1">
      <c r="A80" s="54">
        <v>45434.0</v>
      </c>
      <c r="B80" s="55">
        <v>267.49</v>
      </c>
      <c r="C80" s="55">
        <v>268.8</v>
      </c>
      <c r="D80" s="55">
        <v>219.0</v>
      </c>
      <c r="E80" s="55">
        <v>291.93</v>
      </c>
      <c r="F80" s="55">
        <v>360.0</v>
      </c>
      <c r="G80" s="55" t="s">
        <v>23</v>
      </c>
      <c r="H80" s="56">
        <v>200.48</v>
      </c>
      <c r="I80" s="56">
        <v>201.0</v>
      </c>
      <c r="J80" s="56" t="s">
        <v>23</v>
      </c>
      <c r="K80" s="57">
        <v>199.0</v>
      </c>
      <c r="L80" s="57">
        <v>242.8</v>
      </c>
      <c r="M80" s="58"/>
      <c r="N80" s="59">
        <v>1.083</v>
      </c>
      <c r="O80" s="60"/>
      <c r="P80" s="61">
        <v>246.98984302862422</v>
      </c>
      <c r="Q80" s="61">
        <v>248.19944598337952</v>
      </c>
      <c r="R80" s="61">
        <v>202.21606648199446</v>
      </c>
      <c r="S80" s="61">
        <v>269.5567867036011</v>
      </c>
      <c r="T80" s="61">
        <v>332.409972299169</v>
      </c>
      <c r="U80" s="61" t="s">
        <v>23</v>
      </c>
      <c r="V80" s="62">
        <v>185.11542012927055</v>
      </c>
      <c r="W80" s="62">
        <v>185.595567867036</v>
      </c>
      <c r="X80" s="62" t="s">
        <v>23</v>
      </c>
      <c r="Y80" s="63">
        <v>183.7488457987073</v>
      </c>
      <c r="Z80" s="63">
        <v>224.1920590951062</v>
      </c>
    </row>
    <row r="81" ht="14.25" customHeight="1">
      <c r="A81" s="64">
        <v>45427.0</v>
      </c>
      <c r="B81" s="65">
        <v>259.32</v>
      </c>
      <c r="C81" s="65">
        <v>259.64</v>
      </c>
      <c r="D81" s="65">
        <v>208.0</v>
      </c>
      <c r="E81" s="65">
        <v>286.6</v>
      </c>
      <c r="F81" s="65">
        <v>370.0</v>
      </c>
      <c r="G81" s="65" t="s">
        <v>23</v>
      </c>
      <c r="H81" s="66">
        <v>200.97</v>
      </c>
      <c r="I81" s="66">
        <v>195.0</v>
      </c>
      <c r="J81" s="66" t="s">
        <v>23</v>
      </c>
      <c r="K81" s="67">
        <v>195.0</v>
      </c>
      <c r="L81" s="67">
        <v>240.09</v>
      </c>
      <c r="M81" s="58"/>
      <c r="N81" s="59">
        <v>1.0832</v>
      </c>
      <c r="O81" s="60"/>
      <c r="P81" s="68">
        <v>239.40177252584934</v>
      </c>
      <c r="Q81" s="68">
        <v>239.69719350073856</v>
      </c>
      <c r="R81" s="68">
        <v>192.02363367799114</v>
      </c>
      <c r="S81" s="68">
        <v>264.5864106351551</v>
      </c>
      <c r="T81" s="68">
        <v>341.5805022156573</v>
      </c>
      <c r="U81" s="68" t="s">
        <v>23</v>
      </c>
      <c r="V81" s="66">
        <v>185.53360413589365</v>
      </c>
      <c r="W81" s="66">
        <v>180.0221565731167</v>
      </c>
      <c r="X81" s="66" t="s">
        <v>23</v>
      </c>
      <c r="Y81" s="57">
        <v>180.0221565731167</v>
      </c>
      <c r="Z81" s="57">
        <v>221.64881831610046</v>
      </c>
    </row>
    <row r="82" ht="14.25" customHeight="1">
      <c r="A82" s="54">
        <v>45420.0</v>
      </c>
      <c r="B82" s="55">
        <v>247.65</v>
      </c>
      <c r="C82" s="55">
        <v>234.52</v>
      </c>
      <c r="D82" s="55">
        <v>195.0</v>
      </c>
      <c r="E82" s="55">
        <v>280.54</v>
      </c>
      <c r="F82" s="55">
        <v>357.0</v>
      </c>
      <c r="G82" s="55" t="s">
        <v>23</v>
      </c>
      <c r="H82" s="56">
        <v>200.19</v>
      </c>
      <c r="I82" s="56">
        <v>187.0</v>
      </c>
      <c r="J82" s="56" t="s">
        <v>23</v>
      </c>
      <c r="K82" s="57">
        <v>197.0</v>
      </c>
      <c r="L82" s="57">
        <v>221.61</v>
      </c>
      <c r="M82" s="58"/>
      <c r="N82" s="59">
        <v>1.0743</v>
      </c>
      <c r="O82" s="60"/>
      <c r="P82" s="61">
        <v>230.52220050265288</v>
      </c>
      <c r="Q82" s="61">
        <v>218.30028855999257</v>
      </c>
      <c r="R82" s="61">
        <v>181.5135437028763</v>
      </c>
      <c r="S82" s="61">
        <v>261.13748487387136</v>
      </c>
      <c r="T82" s="61">
        <v>332.30941077911194</v>
      </c>
      <c r="U82" s="61" t="s">
        <v>23</v>
      </c>
      <c r="V82" s="62">
        <v>186.34459648142976</v>
      </c>
      <c r="W82" s="62">
        <v>174.0668342176301</v>
      </c>
      <c r="X82" s="62" t="s">
        <v>23</v>
      </c>
      <c r="Y82" s="63">
        <v>183.37522107418783</v>
      </c>
      <c r="Z82" s="63">
        <v>206.2831611281765</v>
      </c>
    </row>
    <row r="83" ht="14.25" customHeight="1">
      <c r="A83" s="64">
        <v>45413.0</v>
      </c>
      <c r="B83" s="65">
        <v>232.04</v>
      </c>
      <c r="C83" s="65">
        <v>224.32</v>
      </c>
      <c r="D83" s="65">
        <v>188.0</v>
      </c>
      <c r="E83" s="65">
        <v>277.6</v>
      </c>
      <c r="F83" s="65">
        <v>357.0</v>
      </c>
      <c r="G83" s="65" t="s">
        <v>23</v>
      </c>
      <c r="H83" s="66">
        <v>195.76</v>
      </c>
      <c r="I83" s="66">
        <v>185.0</v>
      </c>
      <c r="J83" s="66" t="s">
        <v>23</v>
      </c>
      <c r="K83" s="67">
        <v>185.0</v>
      </c>
      <c r="L83" s="67">
        <v>216.85</v>
      </c>
      <c r="M83" s="58"/>
      <c r="N83" s="59" t="s">
        <v>24</v>
      </c>
      <c r="O83" s="60"/>
      <c r="P83" s="68" t="s">
        <v>23</v>
      </c>
      <c r="Q83" s="68" t="s">
        <v>23</v>
      </c>
      <c r="R83" s="68" t="s">
        <v>23</v>
      </c>
      <c r="S83" s="68" t="s">
        <v>23</v>
      </c>
      <c r="T83" s="68" t="s">
        <v>23</v>
      </c>
      <c r="U83" s="68" t="s">
        <v>23</v>
      </c>
      <c r="V83" s="66" t="s">
        <v>23</v>
      </c>
      <c r="W83" s="66" t="s">
        <v>23</v>
      </c>
      <c r="X83" s="66" t="s">
        <v>23</v>
      </c>
      <c r="Y83" s="57" t="s">
        <v>23</v>
      </c>
      <c r="Z83" s="57" t="s">
        <v>23</v>
      </c>
    </row>
    <row r="84" ht="14.25" customHeight="1">
      <c r="A84" s="54">
        <v>45406.0</v>
      </c>
      <c r="B84" s="55">
        <v>236.81</v>
      </c>
      <c r="C84" s="55">
        <v>225.61</v>
      </c>
      <c r="D84" s="55">
        <v>184.0</v>
      </c>
      <c r="E84" s="55">
        <v>278.98</v>
      </c>
      <c r="F84" s="55">
        <v>357.0</v>
      </c>
      <c r="G84" s="55" t="s">
        <v>23</v>
      </c>
      <c r="H84" s="56">
        <v>193.59</v>
      </c>
      <c r="I84" s="56">
        <v>183.0</v>
      </c>
      <c r="J84" s="56">
        <v>223.999932</v>
      </c>
      <c r="K84" s="57">
        <v>182.0</v>
      </c>
      <c r="L84" s="57">
        <v>211.72</v>
      </c>
      <c r="M84" s="58"/>
      <c r="N84" s="59">
        <v>1.0686</v>
      </c>
      <c r="O84" s="60"/>
      <c r="P84" s="61">
        <v>221.6077110237694</v>
      </c>
      <c r="Q84" s="61">
        <v>211.12670784203632</v>
      </c>
      <c r="R84" s="61">
        <v>172.18790941418678</v>
      </c>
      <c r="S84" s="61">
        <v>261.07055961070563</v>
      </c>
      <c r="T84" s="61">
        <v>334.08197641774285</v>
      </c>
      <c r="U84" s="61" t="s">
        <v>23</v>
      </c>
      <c r="V84" s="62">
        <v>181.16226838854575</v>
      </c>
      <c r="W84" s="62">
        <v>171.2521055586749</v>
      </c>
      <c r="X84" s="62">
        <v>209.62</v>
      </c>
      <c r="Y84" s="63">
        <v>170.31630170316302</v>
      </c>
      <c r="Z84" s="63">
        <v>198.12839228897624</v>
      </c>
    </row>
    <row r="85" ht="14.25" customHeight="1">
      <c r="A85" s="64">
        <v>45399.0</v>
      </c>
      <c r="B85" s="65">
        <v>215.69</v>
      </c>
      <c r="C85" s="65">
        <v>217.25</v>
      </c>
      <c r="D85" s="65">
        <v>182.0</v>
      </c>
      <c r="E85" s="65">
        <v>263.73</v>
      </c>
      <c r="F85" s="65">
        <v>357.0</v>
      </c>
      <c r="G85" s="65" t="s">
        <v>23</v>
      </c>
      <c r="H85" s="66">
        <v>190.64</v>
      </c>
      <c r="I85" s="66">
        <v>178.0</v>
      </c>
      <c r="J85" s="66">
        <v>213.15360600000002</v>
      </c>
      <c r="K85" s="67">
        <v>181.0</v>
      </c>
      <c r="L85" s="67">
        <v>206.61</v>
      </c>
      <c r="M85" s="58"/>
      <c r="N85" s="59">
        <v>1.0638</v>
      </c>
      <c r="O85" s="60"/>
      <c r="P85" s="68">
        <v>202.75427711975934</v>
      </c>
      <c r="Q85" s="68">
        <v>204.22071818010903</v>
      </c>
      <c r="R85" s="68">
        <v>171.08479037413045</v>
      </c>
      <c r="S85" s="68">
        <v>247.9131415679639</v>
      </c>
      <c r="T85" s="68">
        <v>335.5893965031021</v>
      </c>
      <c r="U85" s="68" t="s">
        <v>23</v>
      </c>
      <c r="V85" s="66">
        <v>179.20661778529796</v>
      </c>
      <c r="W85" s="66">
        <v>167.32468509118254</v>
      </c>
      <c r="X85" s="66">
        <v>200.37</v>
      </c>
      <c r="Y85" s="57">
        <v>170.1447640533935</v>
      </c>
      <c r="Z85" s="57">
        <v>194.21883812746756</v>
      </c>
    </row>
    <row r="86" ht="14.25" customHeight="1">
      <c r="A86" s="54">
        <v>45392.0</v>
      </c>
      <c r="B86" s="55">
        <v>225.42</v>
      </c>
      <c r="C86" s="55">
        <v>219.21</v>
      </c>
      <c r="D86" s="55">
        <v>180.0</v>
      </c>
      <c r="E86" s="55">
        <v>275.39</v>
      </c>
      <c r="F86" s="55">
        <v>360.0</v>
      </c>
      <c r="G86" s="55" t="s">
        <v>23</v>
      </c>
      <c r="H86" s="56">
        <v>192.61</v>
      </c>
      <c r="I86" s="56">
        <v>176.0</v>
      </c>
      <c r="J86" s="56">
        <v>215.15832000000003</v>
      </c>
      <c r="K86" s="57">
        <v>183.0</v>
      </c>
      <c r="L86" s="57">
        <v>206.32</v>
      </c>
      <c r="M86" s="58"/>
      <c r="N86" s="59">
        <v>1.086</v>
      </c>
      <c r="O86" s="60"/>
      <c r="P86" s="61">
        <v>207.56906077348063</v>
      </c>
      <c r="Q86" s="61">
        <v>201.85082872928177</v>
      </c>
      <c r="R86" s="61">
        <v>165.74585635359114</v>
      </c>
      <c r="S86" s="61">
        <v>253.5819521178637</v>
      </c>
      <c r="T86" s="61">
        <v>331.4917127071823</v>
      </c>
      <c r="U86" s="61" t="s">
        <v>23</v>
      </c>
      <c r="V86" s="62">
        <v>177.3572744014733</v>
      </c>
      <c r="W86" s="62">
        <v>162.0626151012891</v>
      </c>
      <c r="X86" s="62">
        <v>198.12</v>
      </c>
      <c r="Y86" s="63">
        <v>168.50828729281767</v>
      </c>
      <c r="Z86" s="63">
        <v>189.98158379373848</v>
      </c>
    </row>
    <row r="87" ht="14.25" customHeight="1">
      <c r="A87" s="64">
        <v>45385.0</v>
      </c>
      <c r="B87" s="65">
        <v>226.34</v>
      </c>
      <c r="C87" s="65">
        <v>214.52</v>
      </c>
      <c r="D87" s="65">
        <v>179.0</v>
      </c>
      <c r="E87" s="65">
        <v>272.09</v>
      </c>
      <c r="F87" s="65">
        <v>360.0</v>
      </c>
      <c r="G87" s="65" t="s">
        <v>23</v>
      </c>
      <c r="H87" s="66">
        <v>191.62</v>
      </c>
      <c r="I87" s="66">
        <v>180.0</v>
      </c>
      <c r="J87" s="66">
        <v>214.980671</v>
      </c>
      <c r="K87" s="67">
        <v>178.0</v>
      </c>
      <c r="L87" s="67">
        <v>202.61</v>
      </c>
      <c r="M87" s="58"/>
      <c r="N87" s="59">
        <v>1.0783</v>
      </c>
      <c r="O87" s="60"/>
      <c r="P87" s="68">
        <v>209.90447927292962</v>
      </c>
      <c r="Q87" s="68">
        <v>198.94278030232775</v>
      </c>
      <c r="R87" s="68">
        <v>166.00204024853937</v>
      </c>
      <c r="S87" s="68">
        <v>252.33237503477693</v>
      </c>
      <c r="T87" s="68">
        <v>333.8588518965037</v>
      </c>
      <c r="U87" s="68" t="s">
        <v>23</v>
      </c>
      <c r="V87" s="66">
        <v>177.70564777891124</v>
      </c>
      <c r="W87" s="66">
        <v>166.92942594825186</v>
      </c>
      <c r="X87" s="66">
        <v>199.37</v>
      </c>
      <c r="Y87" s="57">
        <v>165.07465454882686</v>
      </c>
      <c r="Z87" s="57">
        <v>187.89761661875175</v>
      </c>
    </row>
    <row r="88" ht="14.25" customHeight="1">
      <c r="A88" s="54">
        <v>45378.0</v>
      </c>
      <c r="B88" s="55">
        <v>225.06</v>
      </c>
      <c r="C88" s="55">
        <v>214.45</v>
      </c>
      <c r="D88" s="55">
        <v>176.0</v>
      </c>
      <c r="E88" s="55">
        <v>273.1</v>
      </c>
      <c r="F88" s="55">
        <v>360.0</v>
      </c>
      <c r="G88" s="55" t="s">
        <v>23</v>
      </c>
      <c r="H88" s="56">
        <v>190.05</v>
      </c>
      <c r="I88" s="56">
        <v>179.0</v>
      </c>
      <c r="J88" s="56">
        <v>211.38790399999996</v>
      </c>
      <c r="K88" s="57">
        <v>176.0</v>
      </c>
      <c r="L88" s="57">
        <v>201.46</v>
      </c>
      <c r="M88" s="58"/>
      <c r="N88" s="59">
        <v>1.0816</v>
      </c>
      <c r="O88" s="60"/>
      <c r="P88" s="61">
        <v>208.08062130177518</v>
      </c>
      <c r="Q88" s="61">
        <v>198.27107988165682</v>
      </c>
      <c r="R88" s="61">
        <v>162.72189349112426</v>
      </c>
      <c r="S88" s="61">
        <v>252.49630177514797</v>
      </c>
      <c r="T88" s="61">
        <v>332.84023668639054</v>
      </c>
      <c r="U88" s="61" t="s">
        <v>23</v>
      </c>
      <c r="V88" s="62">
        <v>175.7119082840237</v>
      </c>
      <c r="W88" s="62">
        <v>165.49556213017752</v>
      </c>
      <c r="X88" s="62">
        <v>195.44</v>
      </c>
      <c r="Y88" s="63">
        <v>162.72189349112426</v>
      </c>
      <c r="Z88" s="63">
        <v>186.26109467455623</v>
      </c>
    </row>
    <row r="89" ht="14.25" customHeight="1">
      <c r="A89" s="64">
        <v>45371.0</v>
      </c>
      <c r="B89" s="65">
        <v>225.97</v>
      </c>
      <c r="C89" s="65">
        <v>214.21</v>
      </c>
      <c r="D89" s="65">
        <v>174.0</v>
      </c>
      <c r="E89" s="65">
        <v>270.25</v>
      </c>
      <c r="F89" s="65">
        <v>360.0</v>
      </c>
      <c r="G89" s="65" t="s">
        <v>23</v>
      </c>
      <c r="H89" s="66">
        <v>194.48</v>
      </c>
      <c r="I89" s="66">
        <v>175.0</v>
      </c>
      <c r="J89" s="66">
        <v>209.061048</v>
      </c>
      <c r="K89" s="67">
        <v>176.0</v>
      </c>
      <c r="L89" s="67">
        <v>199.0</v>
      </c>
      <c r="M89" s="58"/>
      <c r="N89" s="59">
        <v>1.0844</v>
      </c>
      <c r="O89" s="60"/>
      <c r="P89" s="68">
        <v>208.382515676872</v>
      </c>
      <c r="Q89" s="68">
        <v>197.53780892659535</v>
      </c>
      <c r="R89" s="68">
        <v>160.45739579490962</v>
      </c>
      <c r="S89" s="68">
        <v>249.21615639985245</v>
      </c>
      <c r="T89" s="68">
        <v>331.9808188860199</v>
      </c>
      <c r="U89" s="68" t="s">
        <v>23</v>
      </c>
      <c r="V89" s="66">
        <v>179.34341571375876</v>
      </c>
      <c r="W89" s="66">
        <v>161.37956473625968</v>
      </c>
      <c r="X89" s="66">
        <v>192.7896053116931</v>
      </c>
      <c r="Y89" s="57">
        <v>162.30173367760975</v>
      </c>
      <c r="Z89" s="57">
        <v>183.511619328661</v>
      </c>
    </row>
    <row r="90" ht="14.25" customHeight="1">
      <c r="A90" s="54">
        <v>45364.0</v>
      </c>
      <c r="B90" s="55">
        <v>229.37</v>
      </c>
      <c r="C90" s="55">
        <v>214.82</v>
      </c>
      <c r="D90" s="55">
        <v>174.0</v>
      </c>
      <c r="E90" s="55">
        <v>276.5</v>
      </c>
      <c r="F90" s="55">
        <v>360.0</v>
      </c>
      <c r="G90" s="55" t="s">
        <v>23</v>
      </c>
      <c r="H90" s="56">
        <v>195.36</v>
      </c>
      <c r="I90" s="56">
        <v>174.0</v>
      </c>
      <c r="J90" s="56">
        <v>200.665016</v>
      </c>
      <c r="K90" s="57">
        <v>176.0</v>
      </c>
      <c r="L90" s="57">
        <v>201.69</v>
      </c>
      <c r="M90" s="58"/>
      <c r="N90" s="59">
        <v>1.0939</v>
      </c>
      <c r="O90" s="60"/>
      <c r="P90" s="61">
        <v>209.6809580400402</v>
      </c>
      <c r="Q90" s="61">
        <v>196.37992503885178</v>
      </c>
      <c r="R90" s="61">
        <v>159.06389980802632</v>
      </c>
      <c r="S90" s="61">
        <v>252.76533503976594</v>
      </c>
      <c r="T90" s="61">
        <v>329.0977237407441</v>
      </c>
      <c r="U90" s="61" t="s">
        <v>23</v>
      </c>
      <c r="V90" s="62">
        <v>178.59036474997714</v>
      </c>
      <c r="W90" s="62">
        <v>159.06389980802632</v>
      </c>
      <c r="X90" s="62">
        <v>183.44</v>
      </c>
      <c r="Y90" s="63">
        <v>160.8922204954749</v>
      </c>
      <c r="Z90" s="63">
        <v>184.3769997257519</v>
      </c>
    </row>
    <row r="91" ht="14.25" customHeight="1">
      <c r="A91" s="64">
        <v>45357.0</v>
      </c>
      <c r="B91" s="65">
        <v>230.11</v>
      </c>
      <c r="C91" s="65">
        <v>208.64</v>
      </c>
      <c r="D91" s="65">
        <v>171.0</v>
      </c>
      <c r="E91" s="65">
        <v>272.36</v>
      </c>
      <c r="F91" s="65">
        <v>365.0</v>
      </c>
      <c r="G91" s="65" t="s">
        <v>23</v>
      </c>
      <c r="H91" s="66">
        <v>188.18</v>
      </c>
      <c r="I91" s="66">
        <v>169.0</v>
      </c>
      <c r="J91" s="66">
        <v>196.482306</v>
      </c>
      <c r="K91" s="67">
        <v>169.0</v>
      </c>
      <c r="L91" s="67">
        <v>194.46</v>
      </c>
      <c r="M91" s="58"/>
      <c r="N91" s="59">
        <v>1.0874</v>
      </c>
      <c r="O91" s="60"/>
      <c r="P91" s="68">
        <v>211.61486113665626</v>
      </c>
      <c r="Q91" s="68">
        <v>191.87051682913372</v>
      </c>
      <c r="R91" s="68">
        <v>157.2558396174361</v>
      </c>
      <c r="S91" s="68">
        <v>250.4690086444731</v>
      </c>
      <c r="T91" s="68">
        <v>335.66304947581386</v>
      </c>
      <c r="U91" s="68" t="s">
        <v>23</v>
      </c>
      <c r="V91" s="66">
        <v>173.05499356262646</v>
      </c>
      <c r="W91" s="66">
        <v>155.41659003126725</v>
      </c>
      <c r="X91" s="66">
        <v>180.69</v>
      </c>
      <c r="Y91" s="57">
        <v>155.41659003126725</v>
      </c>
      <c r="Z91" s="57">
        <v>178.83023726319664</v>
      </c>
    </row>
    <row r="92" ht="14.25" customHeight="1">
      <c r="A92" s="54">
        <v>45350.0</v>
      </c>
      <c r="B92" s="55">
        <v>248.39</v>
      </c>
      <c r="C92" s="55">
        <v>218.22</v>
      </c>
      <c r="D92" s="55">
        <v>172.0</v>
      </c>
      <c r="E92" s="55">
        <v>279.44</v>
      </c>
      <c r="F92" s="55">
        <v>375.0</v>
      </c>
      <c r="G92" s="55" t="s">
        <v>23</v>
      </c>
      <c r="H92" s="56">
        <v>187.49</v>
      </c>
      <c r="I92" s="56">
        <v>168.0</v>
      </c>
      <c r="J92" s="56">
        <v>198.80235199999998</v>
      </c>
      <c r="K92" s="57">
        <v>177.0</v>
      </c>
      <c r="L92" s="57">
        <v>199.79</v>
      </c>
      <c r="M92" s="58"/>
      <c r="N92" s="59">
        <v>1.0808</v>
      </c>
      <c r="O92" s="60"/>
      <c r="P92" s="61">
        <v>229.82050333086602</v>
      </c>
      <c r="Q92" s="61">
        <v>201.9059955588453</v>
      </c>
      <c r="R92" s="61">
        <v>159.14137675795706</v>
      </c>
      <c r="S92" s="61">
        <v>258.5492227979275</v>
      </c>
      <c r="T92" s="61">
        <v>346.96521095484826</v>
      </c>
      <c r="U92" s="61" t="s">
        <v>23</v>
      </c>
      <c r="V92" s="62">
        <v>173.47335307179867</v>
      </c>
      <c r="W92" s="62">
        <v>155.44041450777203</v>
      </c>
      <c r="X92" s="62">
        <v>183.94</v>
      </c>
      <c r="Y92" s="63">
        <v>163.76757957068838</v>
      </c>
      <c r="Z92" s="63">
        <v>184.85381199111768</v>
      </c>
    </row>
    <row r="93" ht="14.25" customHeight="1">
      <c r="A93" s="64">
        <v>45343.0</v>
      </c>
      <c r="B93" s="65">
        <v>252.89</v>
      </c>
      <c r="C93" s="65">
        <v>222.62</v>
      </c>
      <c r="D93" s="65">
        <v>174.0</v>
      </c>
      <c r="E93" s="65">
        <v>273.46</v>
      </c>
      <c r="F93" s="65">
        <v>390.0</v>
      </c>
      <c r="G93" s="65" t="s">
        <v>23</v>
      </c>
      <c r="H93" s="66">
        <v>186.61</v>
      </c>
      <c r="I93" s="66">
        <v>166.0</v>
      </c>
      <c r="J93" s="66">
        <v>196.658946</v>
      </c>
      <c r="K93" s="67">
        <v>180.0</v>
      </c>
      <c r="L93" s="67">
        <v>199.36</v>
      </c>
      <c r="M93" s="58"/>
      <c r="N93" s="59">
        <v>1.0809</v>
      </c>
      <c r="O93" s="60"/>
      <c r="P93" s="68">
        <v>233.96243870848366</v>
      </c>
      <c r="Q93" s="68">
        <v>205.95799796465909</v>
      </c>
      <c r="R93" s="68">
        <v>160.97696364140995</v>
      </c>
      <c r="S93" s="68">
        <v>252.99287630678137</v>
      </c>
      <c r="T93" s="68">
        <v>360.8104357479878</v>
      </c>
      <c r="U93" s="68" t="s">
        <v>23</v>
      </c>
      <c r="V93" s="66">
        <v>172.64316773059488</v>
      </c>
      <c r="W93" s="66">
        <v>153.57572393375892</v>
      </c>
      <c r="X93" s="66">
        <v>181.94</v>
      </c>
      <c r="Y93" s="57">
        <v>166.52789342214822</v>
      </c>
      <c r="Z93" s="57">
        <v>184.43889351466373</v>
      </c>
    </row>
    <row r="94" ht="14.25" customHeight="1">
      <c r="A94" s="54">
        <v>45336.0</v>
      </c>
      <c r="B94" s="55">
        <v>253.72</v>
      </c>
      <c r="C94" s="55">
        <v>224.63</v>
      </c>
      <c r="D94" s="55">
        <v>179.0</v>
      </c>
      <c r="E94" s="55">
        <v>276.59</v>
      </c>
      <c r="F94" s="55">
        <v>390.0</v>
      </c>
      <c r="G94" s="55" t="s">
        <v>23</v>
      </c>
      <c r="H94" s="56">
        <v>191.82</v>
      </c>
      <c r="I94" s="56">
        <v>169.0</v>
      </c>
      <c r="J94" s="56">
        <v>197.93338799999998</v>
      </c>
      <c r="K94" s="57">
        <v>186.0</v>
      </c>
      <c r="L94" s="57">
        <v>202.09</v>
      </c>
      <c r="M94" s="58"/>
      <c r="N94" s="59">
        <v>1.0713</v>
      </c>
      <c r="O94" s="60"/>
      <c r="P94" s="61">
        <v>236.8337533837394</v>
      </c>
      <c r="Q94" s="61">
        <v>209.67982824605622</v>
      </c>
      <c r="R94" s="61">
        <v>167.0867170727154</v>
      </c>
      <c r="S94" s="61">
        <v>258.1816484644824</v>
      </c>
      <c r="T94" s="61">
        <v>364.0436852422291</v>
      </c>
      <c r="U94" s="61" t="s">
        <v>23</v>
      </c>
      <c r="V94" s="62">
        <v>179.0534864183702</v>
      </c>
      <c r="W94" s="62">
        <v>157.75226360496595</v>
      </c>
      <c r="X94" s="62">
        <v>184.76</v>
      </c>
      <c r="Y94" s="63">
        <v>173.62083450014003</v>
      </c>
      <c r="Z94" s="63">
        <v>188.63997012974892</v>
      </c>
    </row>
    <row r="95" ht="14.25" customHeight="1">
      <c r="A95" s="64">
        <v>45329.0</v>
      </c>
      <c r="B95" s="65">
        <v>257.94</v>
      </c>
      <c r="C95" s="65">
        <v>230.71</v>
      </c>
      <c r="D95" s="65">
        <v>185.0</v>
      </c>
      <c r="E95" s="65">
        <v>285.96</v>
      </c>
      <c r="F95" s="65">
        <v>410.0</v>
      </c>
      <c r="G95" s="65" t="s">
        <v>23</v>
      </c>
      <c r="H95" s="66">
        <v>196.15</v>
      </c>
      <c r="I95" s="66">
        <v>170.0</v>
      </c>
      <c r="J95" s="66">
        <v>203.13837599999997</v>
      </c>
      <c r="K95" s="67">
        <v>190.0</v>
      </c>
      <c r="L95" s="67">
        <v>204.88</v>
      </c>
      <c r="M95" s="58"/>
      <c r="N95" s="59">
        <v>1.0776</v>
      </c>
      <c r="O95" s="60"/>
      <c r="P95" s="68">
        <v>239.36525612472164</v>
      </c>
      <c r="Q95" s="68">
        <v>214.09613956941354</v>
      </c>
      <c r="R95" s="68">
        <v>171.6778025241277</v>
      </c>
      <c r="S95" s="68">
        <v>265.36748329621383</v>
      </c>
      <c r="T95" s="68">
        <v>380.4751299183371</v>
      </c>
      <c r="U95" s="68" t="s">
        <v>23</v>
      </c>
      <c r="V95" s="66">
        <v>182.02487008166298</v>
      </c>
      <c r="W95" s="66">
        <v>157.75798069784707</v>
      </c>
      <c r="X95" s="66">
        <v>188.51</v>
      </c>
      <c r="Y95" s="57">
        <v>176.31774313288793</v>
      </c>
      <c r="Z95" s="57">
        <v>190.1262063845583</v>
      </c>
    </row>
    <row r="96" ht="14.25" customHeight="1">
      <c r="A96" s="54">
        <v>45322.0</v>
      </c>
      <c r="B96" s="55">
        <v>255.46</v>
      </c>
      <c r="C96" s="55">
        <v>234.71</v>
      </c>
      <c r="D96" s="55">
        <v>188.0</v>
      </c>
      <c r="E96" s="55">
        <v>287.34</v>
      </c>
      <c r="F96" s="55">
        <v>420.0</v>
      </c>
      <c r="G96" s="55" t="s">
        <v>23</v>
      </c>
      <c r="H96" s="56">
        <v>204.81</v>
      </c>
      <c r="I96" s="56">
        <v>173.0</v>
      </c>
      <c r="J96" s="56">
        <v>207.539387</v>
      </c>
      <c r="K96" s="57">
        <v>195.0</v>
      </c>
      <c r="L96" s="57">
        <v>209.75</v>
      </c>
      <c r="M96" s="58"/>
      <c r="N96" s="59">
        <v>1.0837</v>
      </c>
      <c r="O96" s="60"/>
      <c r="P96" s="61">
        <v>235.72944541847374</v>
      </c>
      <c r="Q96" s="61">
        <v>216.58207991141458</v>
      </c>
      <c r="R96" s="61">
        <v>173.47974531696963</v>
      </c>
      <c r="S96" s="61">
        <v>265.14718095413855</v>
      </c>
      <c r="T96" s="61">
        <v>387.5611331549321</v>
      </c>
      <c r="U96" s="61" t="s">
        <v>23</v>
      </c>
      <c r="V96" s="62">
        <v>188.9914182891944</v>
      </c>
      <c r="W96" s="62">
        <v>159.63827627572203</v>
      </c>
      <c r="X96" s="62">
        <v>191.51</v>
      </c>
      <c r="Y96" s="63">
        <v>179.9390975362185</v>
      </c>
      <c r="Z96" s="63">
        <v>193.5498754267786</v>
      </c>
    </row>
    <row r="97" ht="14.25" customHeight="1">
      <c r="A97" s="64">
        <v>45315.0</v>
      </c>
      <c r="B97" s="65">
        <v>261.16</v>
      </c>
      <c r="C97" s="65">
        <v>241.29</v>
      </c>
      <c r="D97" s="65">
        <v>192.0</v>
      </c>
      <c r="E97" s="65">
        <v>288.71</v>
      </c>
      <c r="F97" s="65">
        <v>430.0</v>
      </c>
      <c r="G97" s="65" t="s">
        <v>23</v>
      </c>
      <c r="H97" s="66">
        <v>206.39</v>
      </c>
      <c r="I97" s="66">
        <v>175.0</v>
      </c>
      <c r="J97" s="66">
        <v>214.294155</v>
      </c>
      <c r="K97" s="67">
        <v>195.0</v>
      </c>
      <c r="L97" s="67">
        <v>216.22</v>
      </c>
      <c r="M97" s="58"/>
      <c r="N97" s="59">
        <v>1.0905</v>
      </c>
      <c r="O97" s="60"/>
      <c r="P97" s="68">
        <v>239.4864740944521</v>
      </c>
      <c r="Q97" s="68">
        <v>221.26547455295736</v>
      </c>
      <c r="R97" s="68">
        <v>176.06602475928472</v>
      </c>
      <c r="S97" s="68">
        <v>264.7501146263182</v>
      </c>
      <c r="T97" s="68">
        <v>394.31453461714807</v>
      </c>
      <c r="U97" s="68" t="s">
        <v>23</v>
      </c>
      <c r="V97" s="66">
        <v>189.26180651077485</v>
      </c>
      <c r="W97" s="66">
        <v>160.47684548372305</v>
      </c>
      <c r="X97" s="66">
        <v>196.51</v>
      </c>
      <c r="Y97" s="57">
        <v>178.81705639614856</v>
      </c>
      <c r="Z97" s="57">
        <v>198.276020174232</v>
      </c>
    </row>
    <row r="98" ht="14.25" customHeight="1">
      <c r="A98" s="54">
        <v>45308.0</v>
      </c>
      <c r="B98" s="55">
        <v>248.94</v>
      </c>
      <c r="C98" s="55">
        <v>238.17</v>
      </c>
      <c r="D98" s="55">
        <v>192.0</v>
      </c>
      <c r="E98" s="55">
        <v>273.37</v>
      </c>
      <c r="F98" s="55">
        <v>430.0</v>
      </c>
      <c r="G98" s="55" t="s">
        <v>23</v>
      </c>
      <c r="H98" s="56">
        <v>201.66</v>
      </c>
      <c r="I98" s="56">
        <v>180.0</v>
      </c>
      <c r="J98" s="56">
        <v>210.556966</v>
      </c>
      <c r="K98" s="57">
        <v>195.0</v>
      </c>
      <c r="L98" s="57">
        <v>213.2</v>
      </c>
      <c r="M98" s="58"/>
      <c r="N98" s="59">
        <v>1.0877</v>
      </c>
      <c r="O98" s="60"/>
      <c r="P98" s="61">
        <v>228.86825411418593</v>
      </c>
      <c r="Q98" s="61">
        <v>218.96662682725017</v>
      </c>
      <c r="R98" s="61">
        <v>176.51926082559532</v>
      </c>
      <c r="S98" s="61">
        <v>251.32849131194266</v>
      </c>
      <c r="T98" s="61">
        <v>395.3295945573228</v>
      </c>
      <c r="U98" s="61" t="s">
        <v>23</v>
      </c>
      <c r="V98" s="62">
        <v>185.40038613588308</v>
      </c>
      <c r="W98" s="62">
        <v>165.4868070239956</v>
      </c>
      <c r="X98" s="62">
        <v>193.58</v>
      </c>
      <c r="Y98" s="63">
        <v>179.27737427599524</v>
      </c>
      <c r="Z98" s="63">
        <v>196.00992920842145</v>
      </c>
    </row>
    <row r="99" ht="14.25" customHeight="1">
      <c r="A99" s="64">
        <v>45301.0</v>
      </c>
      <c r="B99" s="65">
        <v>261.16</v>
      </c>
      <c r="C99" s="65">
        <v>244.77</v>
      </c>
      <c r="D99" s="65" t="s">
        <v>23</v>
      </c>
      <c r="E99" s="65">
        <v>284.58</v>
      </c>
      <c r="F99" s="65">
        <v>430.0</v>
      </c>
      <c r="G99" s="65">
        <v>394.69086799999997</v>
      </c>
      <c r="H99" s="66">
        <v>205.31</v>
      </c>
      <c r="I99" s="66" t="s">
        <v>23</v>
      </c>
      <c r="J99" s="66">
        <v>221.23761800000003</v>
      </c>
      <c r="K99" s="67">
        <v>195.0</v>
      </c>
      <c r="L99" s="67">
        <v>219.02</v>
      </c>
      <c r="M99" s="58"/>
      <c r="N99" s="59">
        <v>1.0946</v>
      </c>
      <c r="O99" s="60"/>
      <c r="P99" s="68">
        <v>238.58943906449846</v>
      </c>
      <c r="Q99" s="68">
        <v>223.61593276082587</v>
      </c>
      <c r="R99" s="68" t="s">
        <v>23</v>
      </c>
      <c r="S99" s="68">
        <v>259.98538278823315</v>
      </c>
      <c r="T99" s="68">
        <v>392.8375662342408</v>
      </c>
      <c r="U99" s="68">
        <v>360.58</v>
      </c>
      <c r="V99" s="66">
        <v>187.56623424081857</v>
      </c>
      <c r="W99" s="66" t="s">
        <v>23</v>
      </c>
      <c r="X99" s="66">
        <v>202.11731956879228</v>
      </c>
      <c r="Y99" s="57">
        <v>178.14726840855107</v>
      </c>
      <c r="Z99" s="57">
        <v>200.09135757354287</v>
      </c>
    </row>
    <row r="100" ht="14.25" customHeight="1">
      <c r="A100" s="54">
        <v>45294.0</v>
      </c>
      <c r="B100" s="55">
        <v>259.13</v>
      </c>
      <c r="C100" s="55">
        <v>241.44</v>
      </c>
      <c r="D100" s="55" t="s">
        <v>23</v>
      </c>
      <c r="E100" s="55">
        <v>283.48</v>
      </c>
      <c r="F100" s="55">
        <v>425.0</v>
      </c>
      <c r="G100" s="55" t="s">
        <v>23</v>
      </c>
      <c r="H100" s="56">
        <v>205.99</v>
      </c>
      <c r="I100" s="56" t="s">
        <v>23</v>
      </c>
      <c r="J100" s="56" t="s">
        <v>23</v>
      </c>
      <c r="K100" s="57">
        <v>195.0</v>
      </c>
      <c r="L100" s="57">
        <v>216.36</v>
      </c>
      <c r="M100" s="58"/>
      <c r="N100" s="59">
        <v>1.0919</v>
      </c>
      <c r="O100" s="60"/>
      <c r="P100" s="61">
        <v>237.32026742375672</v>
      </c>
      <c r="Q100" s="61">
        <v>221.11915010532098</v>
      </c>
      <c r="R100" s="61" t="s">
        <v>23</v>
      </c>
      <c r="S100" s="61">
        <v>259.6208443996703</v>
      </c>
      <c r="T100" s="61">
        <v>389.2297829471563</v>
      </c>
      <c r="U100" s="61" t="s">
        <v>23</v>
      </c>
      <c r="V100" s="62">
        <v>188.65280703361114</v>
      </c>
      <c r="W100" s="62" t="s">
        <v>23</v>
      </c>
      <c r="X100" s="62" t="s">
        <v>23</v>
      </c>
      <c r="Y100" s="63">
        <v>178.58778276398937</v>
      </c>
      <c r="Z100" s="63">
        <v>198.15001373752176</v>
      </c>
    </row>
    <row r="101" ht="14.25" customHeight="1">
      <c r="A101" s="64">
        <v>45287.0</v>
      </c>
      <c r="B101" s="65">
        <v>267.49</v>
      </c>
      <c r="C101" s="65">
        <v>246.03</v>
      </c>
      <c r="D101" s="65" t="s">
        <v>23</v>
      </c>
      <c r="E101" s="65">
        <v>288.44</v>
      </c>
      <c r="F101" s="65">
        <v>425.0</v>
      </c>
      <c r="G101" s="65" t="s">
        <v>23</v>
      </c>
      <c r="H101" s="66">
        <v>210.42</v>
      </c>
      <c r="I101" s="66" t="s">
        <v>23</v>
      </c>
      <c r="J101" s="66" t="s">
        <v>23</v>
      </c>
      <c r="K101" s="67">
        <v>195.0</v>
      </c>
      <c r="L101" s="67">
        <v>223.81</v>
      </c>
      <c r="M101" s="58"/>
      <c r="N101" s="59">
        <v>1.1065</v>
      </c>
      <c r="O101" s="60"/>
      <c r="P101" s="68">
        <v>241.7442385901491</v>
      </c>
      <c r="Q101" s="68">
        <v>222.34975146859466</v>
      </c>
      <c r="R101" s="68" t="s">
        <v>23</v>
      </c>
      <c r="S101" s="68">
        <v>260.67781292363304</v>
      </c>
      <c r="T101" s="68">
        <v>384.09399005874377</v>
      </c>
      <c r="U101" s="68" t="s">
        <v>23</v>
      </c>
      <c r="V101" s="66">
        <v>190.16719385449613</v>
      </c>
      <c r="W101" s="66" t="s">
        <v>23</v>
      </c>
      <c r="X101" s="66" t="s">
        <v>23</v>
      </c>
      <c r="Y101" s="57">
        <v>176.23136014460007</v>
      </c>
      <c r="Z101" s="57">
        <v>202.2684139177587</v>
      </c>
    </row>
    <row r="102" ht="14.25" customHeight="1">
      <c r="A102" s="54">
        <v>45280.0</v>
      </c>
      <c r="B102" s="55">
        <v>262.72</v>
      </c>
      <c r="C102" s="55">
        <v>244.25</v>
      </c>
      <c r="D102" s="55" t="s">
        <v>23</v>
      </c>
      <c r="E102" s="55">
        <v>282.93</v>
      </c>
      <c r="F102" s="55">
        <v>425.0</v>
      </c>
      <c r="G102" s="55" t="s">
        <v>23</v>
      </c>
      <c r="H102" s="56">
        <v>207.77</v>
      </c>
      <c r="I102" s="56" t="s">
        <v>23</v>
      </c>
      <c r="J102" s="56">
        <v>223.69536000000002</v>
      </c>
      <c r="K102" s="57">
        <v>195.0</v>
      </c>
      <c r="L102" s="57">
        <v>221.79</v>
      </c>
      <c r="M102" s="58"/>
      <c r="N102" s="59">
        <v>1.0944</v>
      </c>
      <c r="O102" s="60"/>
      <c r="P102" s="61">
        <v>240.05847953216377</v>
      </c>
      <c r="Q102" s="61">
        <v>223.18165204678363</v>
      </c>
      <c r="R102" s="61" t="s">
        <v>23</v>
      </c>
      <c r="S102" s="61">
        <v>258.5252192982456</v>
      </c>
      <c r="T102" s="61">
        <v>388.3406432748538</v>
      </c>
      <c r="U102" s="61" t="s">
        <v>23</v>
      </c>
      <c r="V102" s="62">
        <v>189.84831871345028</v>
      </c>
      <c r="W102" s="62" t="s">
        <v>23</v>
      </c>
      <c r="X102" s="62">
        <v>204.4</v>
      </c>
      <c r="Y102" s="63">
        <v>178.1798245614035</v>
      </c>
      <c r="Z102" s="63">
        <v>202.65899122807016</v>
      </c>
    </row>
    <row r="103" ht="14.25" customHeight="1">
      <c r="A103" s="64">
        <v>45273.0</v>
      </c>
      <c r="B103" s="65">
        <v>260.97</v>
      </c>
      <c r="C103" s="65">
        <v>246.49</v>
      </c>
      <c r="D103" s="65" t="s">
        <v>23</v>
      </c>
      <c r="E103" s="65">
        <v>287.34</v>
      </c>
      <c r="F103" s="65">
        <v>420.0</v>
      </c>
      <c r="G103" s="65" t="s">
        <v>23</v>
      </c>
      <c r="H103" s="66">
        <v>211.6</v>
      </c>
      <c r="I103" s="66" t="s">
        <v>23</v>
      </c>
      <c r="J103" s="66">
        <v>220.755955</v>
      </c>
      <c r="K103" s="67">
        <v>190.0</v>
      </c>
      <c r="L103" s="67">
        <v>227.07</v>
      </c>
      <c r="M103" s="58"/>
      <c r="N103" s="59">
        <v>1.0787</v>
      </c>
      <c r="O103" s="60"/>
      <c r="P103" s="68">
        <v>241.93010104755726</v>
      </c>
      <c r="Q103" s="68">
        <v>228.50653564475758</v>
      </c>
      <c r="R103" s="68" t="s">
        <v>23</v>
      </c>
      <c r="S103" s="68">
        <v>266.37619356632985</v>
      </c>
      <c r="T103" s="68">
        <v>389.3575600259572</v>
      </c>
      <c r="U103" s="68" t="s">
        <v>23</v>
      </c>
      <c r="V103" s="66">
        <v>196.16204690831557</v>
      </c>
      <c r="W103" s="66" t="s">
        <v>23</v>
      </c>
      <c r="X103" s="66">
        <v>204.65</v>
      </c>
      <c r="Y103" s="57">
        <v>176.13794382126633</v>
      </c>
      <c r="Z103" s="57">
        <v>210.503383702605</v>
      </c>
    </row>
    <row r="104" ht="14.25" customHeight="1">
      <c r="A104" s="54">
        <v>45266.0</v>
      </c>
      <c r="B104" s="55">
        <v>273.19</v>
      </c>
      <c r="C104" s="55">
        <v>249.68</v>
      </c>
      <c r="D104" s="55" t="s">
        <v>23</v>
      </c>
      <c r="E104" s="55">
        <v>294.32</v>
      </c>
      <c r="F104" s="55">
        <v>415.0</v>
      </c>
      <c r="G104" s="55" t="s">
        <v>23</v>
      </c>
      <c r="H104" s="56">
        <v>213.08</v>
      </c>
      <c r="I104" s="56" t="s">
        <v>23</v>
      </c>
      <c r="J104" s="56">
        <v>223.80517000000003</v>
      </c>
      <c r="K104" s="57">
        <v>185.0</v>
      </c>
      <c r="L104" s="57">
        <v>230.26</v>
      </c>
      <c r="M104" s="58"/>
      <c r="N104" s="59">
        <v>1.0778</v>
      </c>
      <c r="O104" s="60"/>
      <c r="P104" s="61">
        <v>253.4700315457413</v>
      </c>
      <c r="Q104" s="61">
        <v>231.65707923547967</v>
      </c>
      <c r="R104" s="61" t="s">
        <v>23</v>
      </c>
      <c r="S104" s="61">
        <v>273.0747819632585</v>
      </c>
      <c r="T104" s="61">
        <v>385.0436073483021</v>
      </c>
      <c r="U104" s="61" t="s">
        <v>23</v>
      </c>
      <c r="V104" s="62">
        <v>197.6990165151234</v>
      </c>
      <c r="W104" s="62" t="s">
        <v>23</v>
      </c>
      <c r="X104" s="62">
        <v>207.65</v>
      </c>
      <c r="Y104" s="63">
        <v>171.6459454444238</v>
      </c>
      <c r="Z104" s="63">
        <v>213.63889404342177</v>
      </c>
    </row>
    <row r="105" ht="14.25" customHeight="1">
      <c r="A105" s="64">
        <v>45259.0</v>
      </c>
      <c r="B105" s="65">
        <v>244.71</v>
      </c>
      <c r="C105" s="65">
        <v>245.17</v>
      </c>
      <c r="D105" s="65" t="s">
        <v>23</v>
      </c>
      <c r="E105" s="65">
        <v>288.44</v>
      </c>
      <c r="F105" s="65">
        <v>425.0</v>
      </c>
      <c r="G105" s="65" t="s">
        <v>23</v>
      </c>
      <c r="H105" s="66">
        <v>204.62</v>
      </c>
      <c r="I105" s="66" t="s">
        <v>23</v>
      </c>
      <c r="J105" s="66">
        <v>224.80802500000001</v>
      </c>
      <c r="K105" s="67">
        <v>175.0</v>
      </c>
      <c r="L105" s="67">
        <v>219.94</v>
      </c>
      <c r="M105" s="58"/>
      <c r="N105" s="59">
        <v>1.0985</v>
      </c>
      <c r="O105" s="60"/>
      <c r="P105" s="68">
        <v>222.76741010468822</v>
      </c>
      <c r="Q105" s="68">
        <v>223.18616294947654</v>
      </c>
      <c r="R105" s="68" t="s">
        <v>23</v>
      </c>
      <c r="S105" s="68">
        <v>262.57624032771963</v>
      </c>
      <c r="T105" s="68">
        <v>386.89121529358215</v>
      </c>
      <c r="U105" s="68" t="s">
        <v>23</v>
      </c>
      <c r="V105" s="66">
        <v>186.27218934911244</v>
      </c>
      <c r="W105" s="66" t="s">
        <v>23</v>
      </c>
      <c r="X105" s="66">
        <v>204.65</v>
      </c>
      <c r="Y105" s="57">
        <v>159.30814747382794</v>
      </c>
      <c r="Z105" s="57">
        <v>200.21847974510695</v>
      </c>
    </row>
    <row r="106" ht="14.25" customHeight="1">
      <c r="A106" s="54">
        <v>45252.0</v>
      </c>
      <c r="B106" s="55">
        <v>240.95</v>
      </c>
      <c r="C106" s="55">
        <v>247.28</v>
      </c>
      <c r="D106" s="55" t="s">
        <v>23</v>
      </c>
      <c r="E106" s="55">
        <v>277.23</v>
      </c>
      <c r="F106" s="55">
        <v>420.0</v>
      </c>
      <c r="G106" s="55" t="s">
        <v>23</v>
      </c>
      <c r="H106" s="56">
        <v>210.92</v>
      </c>
      <c r="I106" s="56" t="s">
        <v>23</v>
      </c>
      <c r="J106" s="56">
        <v>228.825492</v>
      </c>
      <c r="K106" s="57">
        <v>175.0</v>
      </c>
      <c r="L106" s="57">
        <v>221.19</v>
      </c>
      <c r="M106" s="58"/>
      <c r="N106" s="59">
        <v>1.0911</v>
      </c>
      <c r="O106" s="60"/>
      <c r="P106" s="61">
        <v>220.83218770048575</v>
      </c>
      <c r="Q106" s="61">
        <v>226.63367244065623</v>
      </c>
      <c r="R106" s="61" t="s">
        <v>23</v>
      </c>
      <c r="S106" s="61">
        <v>254.08303546879299</v>
      </c>
      <c r="T106" s="61">
        <v>384.93263678856204</v>
      </c>
      <c r="U106" s="61" t="s">
        <v>23</v>
      </c>
      <c r="V106" s="62">
        <v>193.30950417010357</v>
      </c>
      <c r="W106" s="62" t="s">
        <v>23</v>
      </c>
      <c r="X106" s="62">
        <v>209.72</v>
      </c>
      <c r="Y106" s="63">
        <v>160.38859866190083</v>
      </c>
      <c r="Z106" s="63">
        <v>202.72202364586198</v>
      </c>
    </row>
    <row r="107" ht="14.25" customHeight="1">
      <c r="A107" s="64">
        <v>45245.0</v>
      </c>
      <c r="B107" s="65">
        <v>250.04</v>
      </c>
      <c r="C107" s="65">
        <v>250.16</v>
      </c>
      <c r="D107" s="65" t="s">
        <v>23</v>
      </c>
      <c r="E107" s="65">
        <v>286.51</v>
      </c>
      <c r="F107" s="65">
        <v>420.0</v>
      </c>
      <c r="G107" s="65" t="s">
        <v>23</v>
      </c>
      <c r="H107" s="66">
        <v>214.85</v>
      </c>
      <c r="I107" s="66" t="s">
        <v>23</v>
      </c>
      <c r="J107" s="66">
        <v>231.18409599999998</v>
      </c>
      <c r="K107" s="67">
        <v>175.0</v>
      </c>
      <c r="L107" s="67">
        <v>225.2</v>
      </c>
      <c r="M107" s="58"/>
      <c r="N107" s="59">
        <v>1.0868</v>
      </c>
      <c r="O107" s="60"/>
      <c r="P107" s="68">
        <v>230.06993006993005</v>
      </c>
      <c r="Q107" s="68">
        <v>230.18034596981965</v>
      </c>
      <c r="R107" s="68" t="s">
        <v>23</v>
      </c>
      <c r="S107" s="68">
        <v>263.62716231137284</v>
      </c>
      <c r="T107" s="68">
        <v>386.4556496135444</v>
      </c>
      <c r="U107" s="68" t="s">
        <v>23</v>
      </c>
      <c r="V107" s="66">
        <v>197.69046742730953</v>
      </c>
      <c r="W107" s="66" t="s">
        <v>23</v>
      </c>
      <c r="X107" s="66">
        <v>212.72</v>
      </c>
      <c r="Y107" s="57">
        <v>161.0231873389768</v>
      </c>
      <c r="Z107" s="57">
        <v>207.21383879278616</v>
      </c>
    </row>
    <row r="108" ht="14.25" customHeight="1">
      <c r="A108" s="54">
        <v>45238.0</v>
      </c>
      <c r="B108" s="55">
        <v>261.71</v>
      </c>
      <c r="C108" s="55">
        <v>253.4</v>
      </c>
      <c r="D108" s="55" t="s">
        <v>23</v>
      </c>
      <c r="E108" s="55">
        <v>292.85</v>
      </c>
      <c r="F108" s="55">
        <v>425.0</v>
      </c>
      <c r="G108" s="55" t="s">
        <v>23</v>
      </c>
      <c r="H108" s="56">
        <v>216.13</v>
      </c>
      <c r="I108" s="56" t="s">
        <v>23</v>
      </c>
      <c r="J108" s="56">
        <v>225.39286199999998</v>
      </c>
      <c r="K108" s="57">
        <v>175.0</v>
      </c>
      <c r="L108" s="57">
        <v>228.76</v>
      </c>
      <c r="M108" s="58"/>
      <c r="N108" s="59">
        <v>1.0671</v>
      </c>
      <c r="O108" s="60"/>
      <c r="P108" s="61">
        <v>245.25349076937493</v>
      </c>
      <c r="Q108" s="61">
        <v>237.46602942554588</v>
      </c>
      <c r="R108" s="61" t="s">
        <v>23</v>
      </c>
      <c r="S108" s="61">
        <v>274.43538562459</v>
      </c>
      <c r="T108" s="61">
        <v>398.27570049667327</v>
      </c>
      <c r="U108" s="61" t="s">
        <v>23</v>
      </c>
      <c r="V108" s="62">
        <v>202.53959329022587</v>
      </c>
      <c r="W108" s="62" t="s">
        <v>23</v>
      </c>
      <c r="X108" s="62">
        <v>211.22</v>
      </c>
      <c r="Y108" s="63">
        <v>163.99587667510076</v>
      </c>
      <c r="Z108" s="63">
        <v>214.3754099896917</v>
      </c>
    </row>
    <row r="109" ht="14.25" customHeight="1">
      <c r="A109" s="64">
        <v>45231.0</v>
      </c>
      <c r="B109" s="65">
        <v>250.5</v>
      </c>
      <c r="C109" s="65">
        <v>243.83</v>
      </c>
      <c r="D109" s="65" t="s">
        <v>23</v>
      </c>
      <c r="E109" s="65">
        <v>287.34</v>
      </c>
      <c r="F109" s="65">
        <v>430.0</v>
      </c>
      <c r="G109" s="65" t="s">
        <v>23</v>
      </c>
      <c r="H109" s="66">
        <v>219.28</v>
      </c>
      <c r="I109" s="66" t="s">
        <v>23</v>
      </c>
      <c r="J109" s="66" t="s">
        <v>23</v>
      </c>
      <c r="K109" s="67">
        <v>174.0</v>
      </c>
      <c r="L109" s="67">
        <v>221.72</v>
      </c>
      <c r="M109" s="58"/>
      <c r="N109" s="59">
        <v>1.0537</v>
      </c>
      <c r="O109" s="60"/>
      <c r="P109" s="68">
        <v>237.73370029420136</v>
      </c>
      <c r="Q109" s="68">
        <v>231.40362532029988</v>
      </c>
      <c r="R109" s="68" t="s">
        <v>23</v>
      </c>
      <c r="S109" s="68">
        <v>272.69621334345635</v>
      </c>
      <c r="T109" s="68">
        <v>408.08579292018595</v>
      </c>
      <c r="U109" s="68" t="s">
        <v>23</v>
      </c>
      <c r="V109" s="66">
        <v>208.10477365474043</v>
      </c>
      <c r="W109" s="66" t="s">
        <v>23</v>
      </c>
      <c r="X109" s="66" t="s">
        <v>23</v>
      </c>
      <c r="Y109" s="57">
        <v>165.13239062351713</v>
      </c>
      <c r="Z109" s="57">
        <v>210.42042327038055</v>
      </c>
    </row>
    <row r="110" ht="14.25" customHeight="1">
      <c r="A110" s="54">
        <v>45224.0</v>
      </c>
      <c r="B110" s="55">
        <v>251.14</v>
      </c>
      <c r="C110" s="55">
        <v>248.22</v>
      </c>
      <c r="D110" s="55" t="s">
        <v>23</v>
      </c>
      <c r="E110" s="55">
        <v>290.64</v>
      </c>
      <c r="F110" s="55">
        <v>440.0</v>
      </c>
      <c r="G110" s="55" t="s">
        <v>23</v>
      </c>
      <c r="H110" s="56">
        <v>222.82</v>
      </c>
      <c r="I110" s="56" t="s">
        <v>23</v>
      </c>
      <c r="J110" s="56">
        <v>221.79987200000002</v>
      </c>
      <c r="K110" s="57">
        <v>170.0</v>
      </c>
      <c r="L110" s="57">
        <v>224.94</v>
      </c>
      <c r="M110" s="58"/>
      <c r="N110" s="59">
        <v>1.0576</v>
      </c>
      <c r="O110" s="60"/>
      <c r="P110" s="61">
        <v>237.46217851739786</v>
      </c>
      <c r="Q110" s="61">
        <v>234.70121028744325</v>
      </c>
      <c r="R110" s="61" t="s">
        <v>23</v>
      </c>
      <c r="S110" s="61">
        <v>274.8108925869894</v>
      </c>
      <c r="T110" s="61">
        <v>416.036308623298</v>
      </c>
      <c r="U110" s="61" t="s">
        <v>23</v>
      </c>
      <c r="V110" s="62">
        <v>210.6845688350983</v>
      </c>
      <c r="W110" s="62" t="s">
        <v>23</v>
      </c>
      <c r="X110" s="62">
        <v>209.72</v>
      </c>
      <c r="Y110" s="63">
        <v>160.7413010590015</v>
      </c>
      <c r="Z110" s="63">
        <v>212.68910741301056</v>
      </c>
    </row>
    <row r="111" ht="14.25" customHeight="1">
      <c r="A111" s="64">
        <v>45217.0</v>
      </c>
      <c r="B111" s="65">
        <v>255.46</v>
      </c>
      <c r="C111" s="65">
        <v>250.15</v>
      </c>
      <c r="D111" s="65" t="s">
        <v>23</v>
      </c>
      <c r="E111" s="65">
        <v>298.54</v>
      </c>
      <c r="F111" s="65">
        <v>450.0</v>
      </c>
      <c r="G111" s="65" t="s">
        <v>23</v>
      </c>
      <c r="H111" s="66">
        <v>227.94</v>
      </c>
      <c r="I111" s="66" t="s">
        <v>23</v>
      </c>
      <c r="J111" s="66">
        <v>218.92793</v>
      </c>
      <c r="K111" s="67">
        <v>172.0</v>
      </c>
      <c r="L111" s="67">
        <v>233.3</v>
      </c>
      <c r="M111" s="58"/>
      <c r="N111" s="59">
        <v>1.0565</v>
      </c>
      <c r="O111" s="60"/>
      <c r="P111" s="68">
        <v>241.7983909133933</v>
      </c>
      <c r="Q111" s="68">
        <v>236.77236157122576</v>
      </c>
      <c r="R111" s="68" t="s">
        <v>23</v>
      </c>
      <c r="S111" s="68">
        <v>282.5745385707525</v>
      </c>
      <c r="T111" s="68">
        <v>425.9346900141978</v>
      </c>
      <c r="U111" s="68" t="s">
        <v>23</v>
      </c>
      <c r="V111" s="66">
        <v>215.75011831519166</v>
      </c>
      <c r="W111" s="66" t="s">
        <v>23</v>
      </c>
      <c r="X111" s="66">
        <v>207.22</v>
      </c>
      <c r="Y111" s="57">
        <v>162.80170373876007</v>
      </c>
      <c r="Z111" s="57">
        <v>220.82347373402746</v>
      </c>
    </row>
    <row r="112" ht="14.25" customHeight="1">
      <c r="A112" s="54">
        <v>45210.0</v>
      </c>
      <c r="B112" s="55">
        <v>244.71</v>
      </c>
      <c r="C112" s="55">
        <v>244.68</v>
      </c>
      <c r="D112" s="55" t="s">
        <v>23</v>
      </c>
      <c r="E112" s="55">
        <v>297.35</v>
      </c>
      <c r="F112" s="55">
        <v>470.0</v>
      </c>
      <c r="G112" s="55">
        <v>424.46751600000005</v>
      </c>
      <c r="H112" s="56">
        <v>226.37</v>
      </c>
      <c r="I112" s="56" t="s">
        <v>23</v>
      </c>
      <c r="J112" s="56">
        <v>217.085088</v>
      </c>
      <c r="K112" s="57">
        <v>172.0</v>
      </c>
      <c r="L112" s="57">
        <v>230.89</v>
      </c>
      <c r="M112" s="58"/>
      <c r="N112" s="59">
        <v>1.0604</v>
      </c>
      <c r="O112" s="60"/>
      <c r="P112" s="61">
        <v>230.7714070162203</v>
      </c>
      <c r="Q112" s="61">
        <v>230.74311580535647</v>
      </c>
      <c r="R112" s="61" t="s">
        <v>23</v>
      </c>
      <c r="S112" s="61">
        <v>280.41305167861185</v>
      </c>
      <c r="T112" s="61">
        <v>443.22897019992456</v>
      </c>
      <c r="U112" s="61">
        <v>400.29</v>
      </c>
      <c r="V112" s="62">
        <v>213.47604677480197</v>
      </c>
      <c r="W112" s="62" t="s">
        <v>23</v>
      </c>
      <c r="X112" s="62">
        <v>204.72</v>
      </c>
      <c r="Y112" s="63">
        <v>162.20294228592982</v>
      </c>
      <c r="Z112" s="63">
        <v>217.73858921161823</v>
      </c>
    </row>
    <row r="113" ht="14.25" customHeight="1">
      <c r="A113" s="64">
        <v>45203.0</v>
      </c>
      <c r="B113" s="65">
        <v>242.51</v>
      </c>
      <c r="C113" s="65">
        <v>243.52</v>
      </c>
      <c r="D113" s="65" t="s">
        <v>23</v>
      </c>
      <c r="E113" s="65">
        <v>298.18</v>
      </c>
      <c r="F113" s="65">
        <v>470.0</v>
      </c>
      <c r="G113" s="65" t="s">
        <v>23</v>
      </c>
      <c r="H113" s="66">
        <v>228.73</v>
      </c>
      <c r="I113" s="66" t="s">
        <v>23</v>
      </c>
      <c r="J113" s="66">
        <v>221.19278400000002</v>
      </c>
      <c r="K113" s="67">
        <v>175.0</v>
      </c>
      <c r="L113" s="67">
        <v>228.8</v>
      </c>
      <c r="M113" s="58"/>
      <c r="N113" s="59">
        <v>1.0497</v>
      </c>
      <c r="O113" s="60"/>
      <c r="P113" s="68">
        <v>231.02791273697244</v>
      </c>
      <c r="Q113" s="68">
        <v>231.99009240735447</v>
      </c>
      <c r="R113" s="68" t="s">
        <v>23</v>
      </c>
      <c r="S113" s="68">
        <v>284.0621129846623</v>
      </c>
      <c r="T113" s="68">
        <v>447.7469753262837</v>
      </c>
      <c r="U113" s="68" t="s">
        <v>23</v>
      </c>
      <c r="V113" s="66">
        <v>217.9003524816614</v>
      </c>
      <c r="W113" s="66" t="s">
        <v>23</v>
      </c>
      <c r="X113" s="66">
        <v>210.72</v>
      </c>
      <c r="Y113" s="57">
        <v>166.71429932361625</v>
      </c>
      <c r="Z113" s="57">
        <v>217.96703820139086</v>
      </c>
    </row>
    <row r="114" ht="14.25" customHeight="1">
      <c r="A114" s="54">
        <v>45196.0</v>
      </c>
      <c r="B114" s="55">
        <v>249.67</v>
      </c>
      <c r="C114" s="55">
        <v>248.67</v>
      </c>
      <c r="D114" s="55" t="s">
        <v>23</v>
      </c>
      <c r="E114" s="55">
        <v>308.46</v>
      </c>
      <c r="F114" s="55">
        <v>470.0</v>
      </c>
      <c r="G114" s="55" t="s">
        <v>23</v>
      </c>
      <c r="H114" s="56">
        <v>237.49</v>
      </c>
      <c r="I114" s="56" t="s">
        <v>23</v>
      </c>
      <c r="J114" s="56">
        <v>227.28259200000002</v>
      </c>
      <c r="K114" s="57">
        <v>180.0</v>
      </c>
      <c r="L114" s="57">
        <v>235.01</v>
      </c>
      <c r="M114" s="58"/>
      <c r="N114" s="59">
        <v>1.0536</v>
      </c>
      <c r="O114" s="60"/>
      <c r="P114" s="61">
        <v>236.96848899012906</v>
      </c>
      <c r="Q114" s="61">
        <v>236.01936218678813</v>
      </c>
      <c r="R114" s="61" t="s">
        <v>23</v>
      </c>
      <c r="S114" s="61">
        <v>292.7676537585421</v>
      </c>
      <c r="T114" s="61">
        <v>446.08959757023536</v>
      </c>
      <c r="U114" s="61" t="s">
        <v>23</v>
      </c>
      <c r="V114" s="62">
        <v>225.4081245254366</v>
      </c>
      <c r="W114" s="62" t="s">
        <v>23</v>
      </c>
      <c r="X114" s="62">
        <v>215.72</v>
      </c>
      <c r="Y114" s="63">
        <v>170.84282460136671</v>
      </c>
      <c r="Z114" s="63">
        <v>223.05429005315108</v>
      </c>
    </row>
    <row r="115" ht="14.25" customHeight="1">
      <c r="A115" s="64">
        <v>45189.0</v>
      </c>
      <c r="B115" s="65">
        <v>253.07</v>
      </c>
      <c r="C115" s="65">
        <v>252.47</v>
      </c>
      <c r="D115" s="65" t="s">
        <v>23</v>
      </c>
      <c r="E115" s="65">
        <v>321.14</v>
      </c>
      <c r="F115" s="65">
        <v>465.0</v>
      </c>
      <c r="G115" s="65">
        <v>427.930172</v>
      </c>
      <c r="H115" s="66">
        <v>232.37</v>
      </c>
      <c r="I115" s="66" t="s">
        <v>23</v>
      </c>
      <c r="J115" s="66" t="s">
        <v>23</v>
      </c>
      <c r="K115" s="67">
        <v>188.0</v>
      </c>
      <c r="L115" s="67">
        <v>239.62</v>
      </c>
      <c r="M115" s="58"/>
      <c r="N115" s="59">
        <v>1.0702</v>
      </c>
      <c r="O115" s="60"/>
      <c r="P115" s="68">
        <v>236.46981872547187</v>
      </c>
      <c r="Q115" s="68">
        <v>235.90917585498036</v>
      </c>
      <c r="R115" s="68" t="s">
        <v>23</v>
      </c>
      <c r="S115" s="68">
        <v>300.0747523827322</v>
      </c>
      <c r="T115" s="68">
        <v>434.4982246309101</v>
      </c>
      <c r="U115" s="68">
        <v>399.86</v>
      </c>
      <c r="V115" s="66">
        <v>217.12763969351522</v>
      </c>
      <c r="W115" s="66" t="s">
        <v>23</v>
      </c>
      <c r="X115" s="66" t="s">
        <v>23</v>
      </c>
      <c r="Y115" s="57">
        <v>175.66809942066902</v>
      </c>
      <c r="Z115" s="57">
        <v>223.90207437862082</v>
      </c>
    </row>
    <row r="116" ht="14.25" customHeight="1">
      <c r="A116" s="54">
        <v>45182.0</v>
      </c>
      <c r="B116" s="55">
        <v>252.52</v>
      </c>
      <c r="C116" s="55">
        <v>245.45</v>
      </c>
      <c r="D116" s="55" t="s">
        <v>23</v>
      </c>
      <c r="E116" s="55">
        <v>323.25</v>
      </c>
      <c r="F116" s="55">
        <v>465.0</v>
      </c>
      <c r="G116" s="55" t="s">
        <v>23</v>
      </c>
      <c r="H116" s="56">
        <v>236.31</v>
      </c>
      <c r="I116" s="56" t="s">
        <v>23</v>
      </c>
      <c r="J116" s="56">
        <v>239.12050699999998</v>
      </c>
      <c r="K116" s="57">
        <v>190.0</v>
      </c>
      <c r="L116" s="57">
        <v>237.93</v>
      </c>
      <c r="M116" s="58"/>
      <c r="N116" s="59">
        <v>1.0733</v>
      </c>
      <c r="O116" s="60"/>
      <c r="P116" s="61">
        <v>235.27438740333554</v>
      </c>
      <c r="Q116" s="61">
        <v>228.68722631137612</v>
      </c>
      <c r="R116" s="61" t="s">
        <v>23</v>
      </c>
      <c r="S116" s="61">
        <v>301.1739495015373</v>
      </c>
      <c r="T116" s="61">
        <v>433.2432684244853</v>
      </c>
      <c r="U116" s="61" t="s">
        <v>23</v>
      </c>
      <c r="V116" s="62">
        <v>220.1714338954626</v>
      </c>
      <c r="W116" s="62" t="s">
        <v>23</v>
      </c>
      <c r="X116" s="62">
        <v>222.79</v>
      </c>
      <c r="Y116" s="63">
        <v>177.02413118419827</v>
      </c>
      <c r="Z116" s="63">
        <v>221.6807975402963</v>
      </c>
    </row>
    <row r="117" ht="14.25" customHeight="1">
      <c r="A117" s="64">
        <v>45175.0</v>
      </c>
      <c r="B117" s="65">
        <v>239.2</v>
      </c>
      <c r="C117" s="65">
        <v>244.95</v>
      </c>
      <c r="D117" s="65" t="s">
        <v>23</v>
      </c>
      <c r="E117" s="65">
        <v>318.38</v>
      </c>
      <c r="F117" s="65">
        <v>490.0</v>
      </c>
      <c r="G117" s="65" t="s">
        <v>23</v>
      </c>
      <c r="H117" s="66">
        <v>232.86</v>
      </c>
      <c r="I117" s="66" t="s">
        <v>23</v>
      </c>
      <c r="J117" s="66">
        <v>239.387855</v>
      </c>
      <c r="K117" s="67">
        <v>190.0</v>
      </c>
      <c r="L117" s="67">
        <v>235.31</v>
      </c>
      <c r="M117" s="58"/>
      <c r="N117" s="59">
        <v>1.0745</v>
      </c>
      <c r="O117" s="60"/>
      <c r="P117" s="68">
        <v>222.61516984644018</v>
      </c>
      <c r="Q117" s="68">
        <v>227.9664960446719</v>
      </c>
      <c r="R117" s="68" t="s">
        <v>23</v>
      </c>
      <c r="S117" s="68">
        <v>296.30525825965566</v>
      </c>
      <c r="T117" s="68">
        <v>456.02605863192184</v>
      </c>
      <c r="U117" s="68" t="s">
        <v>23</v>
      </c>
      <c r="V117" s="66">
        <v>216.71475104699863</v>
      </c>
      <c r="W117" s="66" t="s">
        <v>23</v>
      </c>
      <c r="X117" s="66">
        <v>222.79</v>
      </c>
      <c r="Y117" s="57">
        <v>176.82643089809213</v>
      </c>
      <c r="Z117" s="57">
        <v>218.9948813401582</v>
      </c>
    </row>
    <row r="118" ht="14.25" customHeight="1">
      <c r="A118" s="54">
        <v>45168.0</v>
      </c>
      <c r="B118" s="55">
        <v>235.8</v>
      </c>
      <c r="C118" s="55">
        <v>254.24</v>
      </c>
      <c r="D118" s="55" t="s">
        <v>23</v>
      </c>
      <c r="E118" s="55">
        <v>306.53</v>
      </c>
      <c r="F118" s="55">
        <v>510.0</v>
      </c>
      <c r="G118" s="55" t="s">
        <v>23</v>
      </c>
      <c r="H118" s="56">
        <v>225.09</v>
      </c>
      <c r="I118" s="56" t="s">
        <v>23</v>
      </c>
      <c r="J118" s="56">
        <v>238.174794</v>
      </c>
      <c r="K118" s="57">
        <v>195.0</v>
      </c>
      <c r="L118" s="57">
        <v>232.39</v>
      </c>
      <c r="M118" s="58"/>
      <c r="N118" s="59">
        <v>1.0886</v>
      </c>
      <c r="O118" s="60"/>
      <c r="P118" s="61">
        <v>216.60848796619513</v>
      </c>
      <c r="Q118" s="61">
        <v>233.54767591401801</v>
      </c>
      <c r="R118" s="61" t="s">
        <v>23</v>
      </c>
      <c r="S118" s="61">
        <v>281.5818482454529</v>
      </c>
      <c r="T118" s="61">
        <v>468.4916406393533</v>
      </c>
      <c r="U118" s="61" t="s">
        <v>23</v>
      </c>
      <c r="V118" s="62">
        <v>206.7701635127687</v>
      </c>
      <c r="W118" s="62" t="s">
        <v>23</v>
      </c>
      <c r="X118" s="62">
        <v>218.79</v>
      </c>
      <c r="Y118" s="63">
        <v>179.12915671504686</v>
      </c>
      <c r="Z118" s="63">
        <v>213.47602425133198</v>
      </c>
    </row>
    <row r="119" ht="14.25" customHeight="1">
      <c r="A119" s="64">
        <v>45161.0</v>
      </c>
      <c r="B119" s="65">
        <v>248.94</v>
      </c>
      <c r="C119" s="65">
        <v>249.49</v>
      </c>
      <c r="D119" s="65" t="s">
        <v>23</v>
      </c>
      <c r="E119" s="65">
        <v>319.67</v>
      </c>
      <c r="F119" s="65">
        <v>510.0</v>
      </c>
      <c r="G119" s="65">
        <v>465.619865</v>
      </c>
      <c r="H119" s="66">
        <v>216.62</v>
      </c>
      <c r="I119" s="66" t="s">
        <v>23</v>
      </c>
      <c r="J119" s="66" t="s">
        <v>23</v>
      </c>
      <c r="K119" s="67">
        <v>190.0</v>
      </c>
      <c r="L119" s="67">
        <v>231.03</v>
      </c>
      <c r="M119" s="58"/>
      <c r="N119" s="59">
        <v>1.0805</v>
      </c>
      <c r="O119" s="60"/>
      <c r="P119" s="68">
        <v>230.39333641832485</v>
      </c>
      <c r="Q119" s="68">
        <v>230.90236001850997</v>
      </c>
      <c r="R119" s="68" t="s">
        <v>23</v>
      </c>
      <c r="S119" s="68">
        <v>295.85377140212864</v>
      </c>
      <c r="T119" s="68">
        <v>472.00370198981955</v>
      </c>
      <c r="U119" s="68">
        <v>430.93</v>
      </c>
      <c r="V119" s="66">
        <v>200.48125867653863</v>
      </c>
      <c r="W119" s="66" t="s">
        <v>23</v>
      </c>
      <c r="X119" s="66" t="s">
        <v>23</v>
      </c>
      <c r="Y119" s="57">
        <v>175.84451642757983</v>
      </c>
      <c r="Z119" s="57">
        <v>213.81767700138823</v>
      </c>
    </row>
    <row r="120" ht="14.25" customHeight="1">
      <c r="A120" s="54">
        <v>45154.0</v>
      </c>
      <c r="B120" s="55">
        <v>238.01</v>
      </c>
      <c r="C120" s="55">
        <v>247.17</v>
      </c>
      <c r="D120" s="55" t="s">
        <v>23</v>
      </c>
      <c r="E120" s="55">
        <v>311.59</v>
      </c>
      <c r="F120" s="55">
        <v>510.0</v>
      </c>
      <c r="G120" s="55" t="s">
        <v>23</v>
      </c>
      <c r="H120" s="56">
        <v>212.39</v>
      </c>
      <c r="I120" s="56" t="s">
        <v>23</v>
      </c>
      <c r="J120" s="56" t="s">
        <v>23</v>
      </c>
      <c r="K120" s="57">
        <v>189.0</v>
      </c>
      <c r="L120" s="57">
        <v>227.55</v>
      </c>
      <c r="M120" s="58"/>
      <c r="N120" s="59">
        <v>1.0916</v>
      </c>
      <c r="O120" s="60"/>
      <c r="P120" s="61">
        <v>218.03774276291682</v>
      </c>
      <c r="Q120" s="61">
        <v>226.4290949065592</v>
      </c>
      <c r="R120" s="61" t="s">
        <v>23</v>
      </c>
      <c r="S120" s="61">
        <v>285.4433858556248</v>
      </c>
      <c r="T120" s="61">
        <v>467.204104067424</v>
      </c>
      <c r="U120" s="61" t="s">
        <v>23</v>
      </c>
      <c r="V120" s="62">
        <v>194.567607182118</v>
      </c>
      <c r="W120" s="62" t="s">
        <v>23</v>
      </c>
      <c r="X120" s="62" t="s">
        <v>23</v>
      </c>
      <c r="Y120" s="63">
        <v>173.14034444851595</v>
      </c>
      <c r="Z120" s="63">
        <v>208.45547819714184</v>
      </c>
    </row>
    <row r="121" ht="14.25" customHeight="1">
      <c r="A121" s="64">
        <v>45147.0</v>
      </c>
      <c r="B121" s="65">
        <v>248.02</v>
      </c>
      <c r="C121" s="65">
        <v>263.09</v>
      </c>
      <c r="D121" s="65" t="s">
        <v>23</v>
      </c>
      <c r="E121" s="65">
        <v>318.38</v>
      </c>
      <c r="F121" s="65">
        <v>510.0</v>
      </c>
      <c r="G121" s="65" t="s">
        <v>23</v>
      </c>
      <c r="H121" s="66">
        <v>214.95</v>
      </c>
      <c r="I121" s="66" t="s">
        <v>23</v>
      </c>
      <c r="J121" s="66">
        <v>257.517672</v>
      </c>
      <c r="K121" s="67">
        <v>189.0</v>
      </c>
      <c r="L121" s="67">
        <v>242.24</v>
      </c>
      <c r="M121" s="58"/>
      <c r="N121" s="59">
        <v>1.0968</v>
      </c>
      <c r="O121" s="60"/>
      <c r="P121" s="68">
        <v>226.1305616338439</v>
      </c>
      <c r="Q121" s="68">
        <v>239.87053245805978</v>
      </c>
      <c r="R121" s="68" t="s">
        <v>23</v>
      </c>
      <c r="S121" s="68">
        <v>290.2808169219548</v>
      </c>
      <c r="T121" s="68">
        <v>464.9890590809628</v>
      </c>
      <c r="U121" s="68" t="s">
        <v>23</v>
      </c>
      <c r="V121" s="66">
        <v>195.9792122538293</v>
      </c>
      <c r="W121" s="66" t="s">
        <v>23</v>
      </c>
      <c r="X121" s="66">
        <v>234.79</v>
      </c>
      <c r="Y121" s="57">
        <v>172.3194748358862</v>
      </c>
      <c r="Z121" s="57">
        <v>220.86068563092633</v>
      </c>
    </row>
    <row r="122" ht="14.25" customHeight="1">
      <c r="A122" s="54">
        <v>45140.0</v>
      </c>
      <c r="B122" s="55">
        <v>244.35</v>
      </c>
      <c r="C122" s="55">
        <v>253.42</v>
      </c>
      <c r="D122" s="55" t="s">
        <v>23</v>
      </c>
      <c r="E122" s="55">
        <v>325.92</v>
      </c>
      <c r="F122" s="55">
        <v>460.0</v>
      </c>
      <c r="G122" s="55" t="s">
        <v>23</v>
      </c>
      <c r="H122" s="56">
        <v>222.92</v>
      </c>
      <c r="I122" s="56" t="s">
        <v>23</v>
      </c>
      <c r="J122" s="56" t="s">
        <v>23</v>
      </c>
      <c r="K122" s="57">
        <v>182.0</v>
      </c>
      <c r="L122" s="57">
        <v>233.74</v>
      </c>
      <c r="M122" s="58"/>
      <c r="N122" s="59">
        <v>1.0985</v>
      </c>
      <c r="O122" s="60"/>
      <c r="P122" s="61">
        <v>222.43969048702775</v>
      </c>
      <c r="Q122" s="61">
        <v>230.69640418752843</v>
      </c>
      <c r="R122" s="61" t="s">
        <v>23</v>
      </c>
      <c r="S122" s="61">
        <v>296.69549385525715</v>
      </c>
      <c r="T122" s="61">
        <v>418.7528447883477</v>
      </c>
      <c r="U122" s="61" t="s">
        <v>23</v>
      </c>
      <c r="V122" s="62">
        <v>202.9312699135184</v>
      </c>
      <c r="W122" s="62" t="s">
        <v>23</v>
      </c>
      <c r="X122" s="62" t="s">
        <v>23</v>
      </c>
      <c r="Y122" s="63">
        <v>165.68047337278105</v>
      </c>
      <c r="Z122" s="63">
        <v>212.7810650887574</v>
      </c>
    </row>
    <row r="123" ht="14.25" customHeight="1">
      <c r="A123" s="64">
        <v>45133.0</v>
      </c>
      <c r="B123" s="65">
        <v>277.41</v>
      </c>
      <c r="C123" s="65">
        <v>278.88</v>
      </c>
      <c r="D123" s="65" t="s">
        <v>23</v>
      </c>
      <c r="E123" s="65">
        <v>354.67</v>
      </c>
      <c r="F123" s="65">
        <v>460.0</v>
      </c>
      <c r="G123" s="65" t="s">
        <v>23</v>
      </c>
      <c r="H123" s="66">
        <v>243.39</v>
      </c>
      <c r="I123" s="66" t="s">
        <v>23</v>
      </c>
      <c r="J123" s="66">
        <v>287.633531</v>
      </c>
      <c r="K123" s="67">
        <v>180.0</v>
      </c>
      <c r="L123" s="67">
        <v>262.27</v>
      </c>
      <c r="M123" s="58"/>
      <c r="N123" s="59">
        <v>1.1059</v>
      </c>
      <c r="O123" s="60"/>
      <c r="P123" s="68">
        <v>250.8454652319378</v>
      </c>
      <c r="Q123" s="68">
        <v>252.17469933990412</v>
      </c>
      <c r="R123" s="68" t="s">
        <v>23</v>
      </c>
      <c r="S123" s="68">
        <v>320.7071163758025</v>
      </c>
      <c r="T123" s="68">
        <v>415.9508092955963</v>
      </c>
      <c r="U123" s="68" t="s">
        <v>23</v>
      </c>
      <c r="V123" s="66">
        <v>220.08319016185908</v>
      </c>
      <c r="W123" s="66" t="s">
        <v>23</v>
      </c>
      <c r="X123" s="66">
        <v>260.09</v>
      </c>
      <c r="Y123" s="57">
        <v>162.76336015914637</v>
      </c>
      <c r="Z123" s="57">
        <v>237.155258160774</v>
      </c>
    </row>
    <row r="124" ht="14.25" customHeight="1">
      <c r="A124" s="54">
        <v>45126.0</v>
      </c>
      <c r="B124" s="55">
        <v>278.43</v>
      </c>
      <c r="C124" s="55">
        <v>277.34</v>
      </c>
      <c r="D124" s="55">
        <v>211.0</v>
      </c>
      <c r="E124" s="55">
        <v>355.22</v>
      </c>
      <c r="F124" s="55">
        <v>380.0</v>
      </c>
      <c r="G124" s="55" t="s">
        <v>23</v>
      </c>
      <c r="H124" s="56">
        <v>245.46</v>
      </c>
      <c r="I124" s="56">
        <v>197.0</v>
      </c>
      <c r="J124" s="56">
        <v>286.340552</v>
      </c>
      <c r="K124" s="57">
        <v>174.0</v>
      </c>
      <c r="L124" s="57">
        <v>268.38</v>
      </c>
      <c r="M124" s="58"/>
      <c r="N124" s="59">
        <v>1.1222</v>
      </c>
      <c r="O124" s="60"/>
      <c r="P124" s="61">
        <v>248.11085368027088</v>
      </c>
      <c r="Q124" s="61">
        <v>247.13954731776863</v>
      </c>
      <c r="R124" s="61">
        <v>188.02352521832114</v>
      </c>
      <c r="S124" s="61">
        <v>316.53894136517556</v>
      </c>
      <c r="T124" s="61">
        <v>338.6205667438959</v>
      </c>
      <c r="U124" s="61" t="s">
        <v>23</v>
      </c>
      <c r="V124" s="62">
        <v>218.73106398146496</v>
      </c>
      <c r="W124" s="62">
        <v>175.54803065407233</v>
      </c>
      <c r="X124" s="62">
        <v>255.16</v>
      </c>
      <c r="Y124" s="63">
        <v>155.05257529852076</v>
      </c>
      <c r="Z124" s="63">
        <v>239.15523079664942</v>
      </c>
    </row>
    <row r="125" ht="14.25" customHeight="1">
      <c r="A125" s="64">
        <v>45119.0</v>
      </c>
      <c r="B125" s="65">
        <v>244.8</v>
      </c>
      <c r="C125" s="65">
        <v>249.97</v>
      </c>
      <c r="D125" s="65">
        <v>209.0</v>
      </c>
      <c r="E125" s="65">
        <v>330.42</v>
      </c>
      <c r="F125" s="65">
        <v>380.0</v>
      </c>
      <c r="G125" s="65" t="s">
        <v>23</v>
      </c>
      <c r="H125" s="66">
        <v>238.08</v>
      </c>
      <c r="I125" s="66">
        <v>197.0</v>
      </c>
      <c r="J125" s="66">
        <v>268.01095200000003</v>
      </c>
      <c r="K125" s="67">
        <v>174.0</v>
      </c>
      <c r="L125" s="67">
        <v>238.85</v>
      </c>
      <c r="M125" s="58"/>
      <c r="N125" s="59">
        <v>1.1022</v>
      </c>
      <c r="O125" s="60"/>
      <c r="P125" s="68">
        <v>222.1012520413718</v>
      </c>
      <c r="Q125" s="68">
        <v>226.79187080384685</v>
      </c>
      <c r="R125" s="68">
        <v>189.6207584830339</v>
      </c>
      <c r="S125" s="68">
        <v>299.78225367446925</v>
      </c>
      <c r="T125" s="68">
        <v>344.76501542369806</v>
      </c>
      <c r="U125" s="68" t="s">
        <v>23</v>
      </c>
      <c r="V125" s="66">
        <v>216.00435492651062</v>
      </c>
      <c r="W125" s="66">
        <v>178.73344220649608</v>
      </c>
      <c r="X125" s="66">
        <v>243.16000000000003</v>
      </c>
      <c r="Y125" s="57">
        <v>157.86608600979858</v>
      </c>
      <c r="Z125" s="57">
        <v>216.70295772092177</v>
      </c>
    </row>
    <row r="126" ht="14.25" customHeight="1">
      <c r="A126" s="54">
        <v>45112.0</v>
      </c>
      <c r="B126" s="55">
        <v>261.62</v>
      </c>
      <c r="C126" s="55">
        <v>247.5</v>
      </c>
      <c r="D126" s="55">
        <v>215.0</v>
      </c>
      <c r="E126" s="55">
        <v>346.95</v>
      </c>
      <c r="F126" s="55">
        <v>370.0</v>
      </c>
      <c r="G126" s="55">
        <v>387.29240000000004</v>
      </c>
      <c r="H126" s="56">
        <v>236.31</v>
      </c>
      <c r="I126" s="56">
        <v>205.0</v>
      </c>
      <c r="J126" s="56">
        <v>260.726114</v>
      </c>
      <c r="K126" s="57">
        <v>180.0</v>
      </c>
      <c r="L126" s="57">
        <v>230.12</v>
      </c>
      <c r="M126" s="58"/>
      <c r="N126" s="59">
        <v>1.0879</v>
      </c>
      <c r="O126" s="60"/>
      <c r="P126" s="61">
        <v>240.48166191745563</v>
      </c>
      <c r="Q126" s="61">
        <v>227.5025278058645</v>
      </c>
      <c r="R126" s="61">
        <v>197.6284584980237</v>
      </c>
      <c r="S126" s="61">
        <v>318.9171798878573</v>
      </c>
      <c r="T126" s="61">
        <v>340.10478904311054</v>
      </c>
      <c r="U126" s="61">
        <v>356.0</v>
      </c>
      <c r="V126" s="62">
        <v>217.21665594264178</v>
      </c>
      <c r="W126" s="62">
        <v>188.43643717253423</v>
      </c>
      <c r="X126" s="62">
        <v>239.65999999999997</v>
      </c>
      <c r="Y126" s="63">
        <v>165.45638385881054</v>
      </c>
      <c r="Z126" s="63">
        <v>211.5267947421638</v>
      </c>
    </row>
    <row r="127" ht="14.25" customHeight="1">
      <c r="A127" s="64">
        <v>45105.0</v>
      </c>
      <c r="B127" s="65">
        <v>261.16</v>
      </c>
      <c r="C127" s="65">
        <v>248.34</v>
      </c>
      <c r="D127" s="65">
        <v>215.0</v>
      </c>
      <c r="E127" s="65">
        <v>330.97</v>
      </c>
      <c r="F127" s="65">
        <v>360.0</v>
      </c>
      <c r="G127" s="65" t="s">
        <v>23</v>
      </c>
      <c r="H127" s="66">
        <v>253.92</v>
      </c>
      <c r="I127" s="66">
        <v>217.0</v>
      </c>
      <c r="J127" s="66" t="s">
        <v>23</v>
      </c>
      <c r="K127" s="67">
        <v>180.0</v>
      </c>
      <c r="L127" s="67">
        <v>224.35</v>
      </c>
      <c r="M127" s="58"/>
      <c r="N127" s="59">
        <v>1.0938</v>
      </c>
      <c r="O127" s="60"/>
      <c r="P127" s="68">
        <v>238.76394221978424</v>
      </c>
      <c r="Q127" s="68">
        <v>227.04333516182115</v>
      </c>
      <c r="R127" s="68">
        <v>196.56244285975495</v>
      </c>
      <c r="S127" s="68">
        <v>302.58731029438655</v>
      </c>
      <c r="T127" s="68">
        <v>329.1278113000548</v>
      </c>
      <c r="U127" s="68" t="s">
        <v>23</v>
      </c>
      <c r="V127" s="66">
        <v>232.144816236972</v>
      </c>
      <c r="W127" s="66">
        <v>198.39093070031083</v>
      </c>
      <c r="X127" s="66" t="s">
        <v>23</v>
      </c>
      <c r="Y127" s="57">
        <v>164.5639056500274</v>
      </c>
      <c r="Z127" s="57">
        <v>205.1106235143536</v>
      </c>
    </row>
    <row r="128" ht="14.25" customHeight="1">
      <c r="A128" s="54">
        <v>45098.0</v>
      </c>
      <c r="B128" s="55">
        <v>290.09</v>
      </c>
      <c r="C128" s="55">
        <v>266.94</v>
      </c>
      <c r="D128" s="55">
        <v>211.0</v>
      </c>
      <c r="E128" s="55">
        <v>363.3</v>
      </c>
      <c r="F128" s="55">
        <v>370.0</v>
      </c>
      <c r="G128" s="55" t="s">
        <v>23</v>
      </c>
      <c r="H128" s="56">
        <v>286.6</v>
      </c>
      <c r="I128" s="56">
        <v>225.0</v>
      </c>
      <c r="J128" s="56">
        <v>285.34152900000004</v>
      </c>
      <c r="K128" s="57">
        <v>185.0</v>
      </c>
      <c r="L128" s="57">
        <v>246.14</v>
      </c>
      <c r="M128" s="58"/>
      <c r="N128" s="59">
        <v>1.0923</v>
      </c>
      <c r="O128" s="60"/>
      <c r="P128" s="61">
        <v>265.57722237480544</v>
      </c>
      <c r="Q128" s="61">
        <v>244.38341115078273</v>
      </c>
      <c r="R128" s="61">
        <v>193.17037443925662</v>
      </c>
      <c r="S128" s="61">
        <v>332.60093380939304</v>
      </c>
      <c r="T128" s="61">
        <v>338.7347798223931</v>
      </c>
      <c r="U128" s="61" t="s">
        <v>23</v>
      </c>
      <c r="V128" s="62">
        <v>262.38212945161587</v>
      </c>
      <c r="W128" s="62">
        <v>205.98736610821203</v>
      </c>
      <c r="X128" s="62">
        <v>261.23</v>
      </c>
      <c r="Y128" s="63">
        <v>169.36738991119654</v>
      </c>
      <c r="Z128" s="63">
        <v>225.3410235283347</v>
      </c>
    </row>
    <row r="129" ht="14.25" customHeight="1">
      <c r="A129" s="64">
        <v>45091.0</v>
      </c>
      <c r="B129" s="65">
        <v>251.79</v>
      </c>
      <c r="C129" s="65">
        <v>251.91</v>
      </c>
      <c r="D129" s="65">
        <v>211.0</v>
      </c>
      <c r="E129" s="65">
        <v>330.97</v>
      </c>
      <c r="F129" s="65">
        <v>365.0</v>
      </c>
      <c r="G129" s="65">
        <v>394.5285</v>
      </c>
      <c r="H129" s="66">
        <v>264.85</v>
      </c>
      <c r="I129" s="66">
        <v>215.0</v>
      </c>
      <c r="J129" s="66" t="s">
        <v>23</v>
      </c>
      <c r="K129" s="67">
        <v>185.0</v>
      </c>
      <c r="L129" s="67">
        <v>241.05</v>
      </c>
      <c r="M129" s="58"/>
      <c r="N129" s="59">
        <v>1.0809</v>
      </c>
      <c r="O129" s="60"/>
      <c r="P129" s="68">
        <v>232.94476824868164</v>
      </c>
      <c r="Q129" s="68">
        <v>233.05578684429642</v>
      </c>
      <c r="R129" s="68">
        <v>195.20769728929596</v>
      </c>
      <c r="S129" s="68">
        <v>306.19853825515776</v>
      </c>
      <c r="T129" s="68">
        <v>337.6815616615783</v>
      </c>
      <c r="U129" s="68">
        <v>365.0</v>
      </c>
      <c r="V129" s="66">
        <v>245.02729207142198</v>
      </c>
      <c r="W129" s="66">
        <v>198.90831714312148</v>
      </c>
      <c r="X129" s="66" t="s">
        <v>23</v>
      </c>
      <c r="Y129" s="57">
        <v>171.15366823943012</v>
      </c>
      <c r="Z129" s="57">
        <v>223.00860394116017</v>
      </c>
    </row>
    <row r="130" ht="14.25" customHeight="1">
      <c r="A130" s="54">
        <v>45084.0</v>
      </c>
      <c r="B130" s="55">
        <v>246.83</v>
      </c>
      <c r="C130" s="55">
        <v>246.1</v>
      </c>
      <c r="D130" s="55">
        <v>211.0</v>
      </c>
      <c r="E130" s="55">
        <v>340.98</v>
      </c>
      <c r="F130" s="55">
        <v>365.0</v>
      </c>
      <c r="G130" s="55" t="s">
        <v>23</v>
      </c>
      <c r="H130" s="56">
        <v>271.35</v>
      </c>
      <c r="I130" s="56">
        <v>215.0</v>
      </c>
      <c r="J130" s="56">
        <v>260.669591</v>
      </c>
      <c r="K130" s="57">
        <v>209.0</v>
      </c>
      <c r="L130" s="57">
        <v>237.54</v>
      </c>
      <c r="M130" s="58"/>
      <c r="N130" s="59">
        <v>1.0717</v>
      </c>
      <c r="O130" s="60"/>
      <c r="P130" s="61">
        <v>230.31631986563403</v>
      </c>
      <c r="Q130" s="61">
        <v>229.63515909302973</v>
      </c>
      <c r="R130" s="61">
        <v>196.88345619109825</v>
      </c>
      <c r="S130" s="61">
        <v>318.16739759260986</v>
      </c>
      <c r="T130" s="61">
        <v>340.5803863021368</v>
      </c>
      <c r="U130" s="61" t="s">
        <v>23</v>
      </c>
      <c r="V130" s="62">
        <v>253.19585704954744</v>
      </c>
      <c r="W130" s="62">
        <v>200.61584398619016</v>
      </c>
      <c r="X130" s="62">
        <v>243.23</v>
      </c>
      <c r="Y130" s="63">
        <v>195.01726229355228</v>
      </c>
      <c r="Z130" s="63">
        <v>221.64784921153304</v>
      </c>
    </row>
    <row r="131" ht="14.25" customHeight="1">
      <c r="A131" s="64">
        <v>45077.0</v>
      </c>
      <c r="B131" s="65">
        <v>245.91</v>
      </c>
      <c r="C131" s="65">
        <v>242.87</v>
      </c>
      <c r="D131" s="65">
        <v>211.0</v>
      </c>
      <c r="E131" s="65">
        <v>349.25</v>
      </c>
      <c r="F131" s="65">
        <v>365.0</v>
      </c>
      <c r="G131" s="65" t="s">
        <v>23</v>
      </c>
      <c r="H131" s="66">
        <v>265.34</v>
      </c>
      <c r="I131" s="66">
        <v>220.0</v>
      </c>
      <c r="J131" s="66">
        <v>250.22790899999998</v>
      </c>
      <c r="K131" s="67">
        <v>204.0</v>
      </c>
      <c r="L131" s="67">
        <v>225.83</v>
      </c>
      <c r="M131" s="58"/>
      <c r="N131" s="59">
        <v>1.0683</v>
      </c>
      <c r="O131" s="60"/>
      <c r="P131" s="68">
        <v>230.188149396237</v>
      </c>
      <c r="Q131" s="68">
        <v>227.3425067864832</v>
      </c>
      <c r="R131" s="68">
        <v>197.5100627164654</v>
      </c>
      <c r="S131" s="68">
        <v>326.9212767949078</v>
      </c>
      <c r="T131" s="68">
        <v>341.6643265000468</v>
      </c>
      <c r="U131" s="68" t="s">
        <v>23</v>
      </c>
      <c r="V131" s="66">
        <v>248.37592436581483</v>
      </c>
      <c r="W131" s="66">
        <v>205.9346625479734</v>
      </c>
      <c r="X131" s="66">
        <v>234.23</v>
      </c>
      <c r="Y131" s="57">
        <v>190.95759618084807</v>
      </c>
      <c r="Z131" s="57">
        <v>211.3919311054947</v>
      </c>
    </row>
    <row r="132" ht="14.25" customHeight="1">
      <c r="A132" s="54">
        <v>45070.0</v>
      </c>
      <c r="B132" s="55">
        <v>250.32</v>
      </c>
      <c r="C132" s="55">
        <v>246.42</v>
      </c>
      <c r="D132" s="55">
        <v>220.0</v>
      </c>
      <c r="E132" s="55">
        <v>359.08</v>
      </c>
      <c r="F132" s="55">
        <v>380.0</v>
      </c>
      <c r="G132" s="55" t="s">
        <v>23</v>
      </c>
      <c r="H132" s="56">
        <v>262.68</v>
      </c>
      <c r="I132" s="56">
        <v>225.0</v>
      </c>
      <c r="J132" s="56" t="s">
        <v>23</v>
      </c>
      <c r="K132" s="57">
        <v>215.0</v>
      </c>
      <c r="L132" s="57">
        <v>230.29</v>
      </c>
      <c r="M132" s="58"/>
      <c r="N132" s="59">
        <v>1.0785</v>
      </c>
      <c r="O132" s="60"/>
      <c r="P132" s="61">
        <v>232.1001390820584</v>
      </c>
      <c r="Q132" s="61">
        <v>228.48400556328232</v>
      </c>
      <c r="R132" s="61">
        <v>203.98701900788132</v>
      </c>
      <c r="S132" s="61">
        <v>332.94390356977283</v>
      </c>
      <c r="T132" s="61">
        <v>352.3412146499768</v>
      </c>
      <c r="U132" s="61" t="s">
        <v>23</v>
      </c>
      <c r="V132" s="62">
        <v>243.5605006954103</v>
      </c>
      <c r="W132" s="62">
        <v>208.6230876216968</v>
      </c>
      <c r="X132" s="62" t="s">
        <v>23</v>
      </c>
      <c r="Y132" s="63">
        <v>199.35095039406582</v>
      </c>
      <c r="Z132" s="63">
        <v>213.52804821511359</v>
      </c>
    </row>
    <row r="133" ht="14.25" customHeight="1">
      <c r="A133" s="64">
        <v>45063.0</v>
      </c>
      <c r="B133" s="65">
        <v>257.39</v>
      </c>
      <c r="C133" s="65">
        <v>253.52</v>
      </c>
      <c r="D133" s="65">
        <v>225.0</v>
      </c>
      <c r="E133" s="65">
        <v>385.99</v>
      </c>
      <c r="F133" s="65">
        <v>390.0</v>
      </c>
      <c r="G133" s="65" t="s">
        <v>23</v>
      </c>
      <c r="H133" s="66">
        <v>254.52</v>
      </c>
      <c r="I133" s="66">
        <v>220.0</v>
      </c>
      <c r="J133" s="66">
        <v>262.38667</v>
      </c>
      <c r="K133" s="67">
        <v>210.0</v>
      </c>
      <c r="L133" s="67">
        <v>230.78</v>
      </c>
      <c r="M133" s="58"/>
      <c r="N133" s="59">
        <v>1.0829</v>
      </c>
      <c r="O133" s="60"/>
      <c r="P133" s="68">
        <v>237.6858435681965</v>
      </c>
      <c r="Q133" s="68">
        <v>234.11210638101397</v>
      </c>
      <c r="R133" s="68">
        <v>207.77541785945147</v>
      </c>
      <c r="S133" s="68">
        <v>356.441037953643</v>
      </c>
      <c r="T133" s="68">
        <v>360.1440576230492</v>
      </c>
      <c r="U133" s="68" t="s">
        <v>23</v>
      </c>
      <c r="V133" s="66">
        <v>235.03555268261152</v>
      </c>
      <c r="W133" s="66">
        <v>203.15818635146366</v>
      </c>
      <c r="X133" s="66">
        <v>242.29999999999998</v>
      </c>
      <c r="Y133" s="57">
        <v>193.92372333548803</v>
      </c>
      <c r="Z133" s="57">
        <v>213.1129374826854</v>
      </c>
    </row>
    <row r="134" ht="14.25" customHeight="1">
      <c r="A134" s="54">
        <v>45056.0</v>
      </c>
      <c r="B134" s="55">
        <v>263.18</v>
      </c>
      <c r="C134" s="55">
        <v>262.11</v>
      </c>
      <c r="D134" s="55">
        <v>240.0</v>
      </c>
      <c r="E134" s="55">
        <v>374.88</v>
      </c>
      <c r="F134" s="55">
        <v>390.0</v>
      </c>
      <c r="G134" s="55" t="s">
        <v>23</v>
      </c>
      <c r="H134" s="56">
        <v>273.22</v>
      </c>
      <c r="I134" s="56">
        <v>228.0</v>
      </c>
      <c r="J134" s="56">
        <v>274.62600000000003</v>
      </c>
      <c r="K134" s="57">
        <v>225.0</v>
      </c>
      <c r="L134" s="57">
        <v>245.67</v>
      </c>
      <c r="M134" s="58"/>
      <c r="N134" s="59">
        <v>1.095</v>
      </c>
      <c r="O134" s="60"/>
      <c r="P134" s="61">
        <v>240.34703196347033</v>
      </c>
      <c r="Q134" s="61">
        <v>239.36986301369865</v>
      </c>
      <c r="R134" s="61">
        <v>219.17808219178082</v>
      </c>
      <c r="S134" s="61">
        <v>342.35616438356163</v>
      </c>
      <c r="T134" s="61">
        <v>356.16438356164383</v>
      </c>
      <c r="U134" s="61" t="s">
        <v>23</v>
      </c>
      <c r="V134" s="62">
        <v>249.51598173515984</v>
      </c>
      <c r="W134" s="62">
        <v>208.21917808219177</v>
      </c>
      <c r="X134" s="62">
        <v>250.80000000000004</v>
      </c>
      <c r="Y134" s="63">
        <v>205.47945205479454</v>
      </c>
      <c r="Z134" s="63">
        <v>224.35616438356163</v>
      </c>
    </row>
    <row r="135" ht="14.25" customHeight="1">
      <c r="A135" s="64">
        <v>45049.0</v>
      </c>
      <c r="B135" s="65">
        <v>260.79</v>
      </c>
      <c r="C135" s="65">
        <v>266.32</v>
      </c>
      <c r="D135" s="65">
        <v>240.0</v>
      </c>
      <c r="E135" s="65">
        <v>350.9</v>
      </c>
      <c r="F135" s="65">
        <v>390.0</v>
      </c>
      <c r="G135" s="65" t="s">
        <v>23</v>
      </c>
      <c r="H135" s="66">
        <v>277.64</v>
      </c>
      <c r="I135" s="66">
        <v>225.0</v>
      </c>
      <c r="J135" s="66">
        <v>271.98909000000003</v>
      </c>
      <c r="K135" s="67">
        <v>225.0</v>
      </c>
      <c r="L135" s="67">
        <v>245.33</v>
      </c>
      <c r="M135" s="58"/>
      <c r="N135" s="59">
        <v>1.1043</v>
      </c>
      <c r="O135" s="60"/>
      <c r="P135" s="68">
        <v>236.15865254007065</v>
      </c>
      <c r="Q135" s="68">
        <v>241.16634972380692</v>
      </c>
      <c r="R135" s="68">
        <v>217.33224667209996</v>
      </c>
      <c r="S135" s="68">
        <v>317.7578556551661</v>
      </c>
      <c r="T135" s="68">
        <v>353.1649008421624</v>
      </c>
      <c r="U135" s="68" t="s">
        <v>23</v>
      </c>
      <c r="V135" s="66">
        <v>251.41718735850762</v>
      </c>
      <c r="W135" s="66">
        <v>203.74898125509372</v>
      </c>
      <c r="X135" s="66">
        <v>246.3</v>
      </c>
      <c r="Y135" s="57">
        <v>203.74898125509372</v>
      </c>
      <c r="Z135" s="57">
        <v>222.1588336502762</v>
      </c>
    </row>
    <row r="136" ht="14.25" customHeight="1">
      <c r="A136" s="54">
        <v>45042.0</v>
      </c>
      <c r="B136" s="55">
        <v>267.22</v>
      </c>
      <c r="C136" s="55">
        <v>274.19</v>
      </c>
      <c r="D136" s="55">
        <v>250.0</v>
      </c>
      <c r="E136" s="55">
        <v>354.03</v>
      </c>
      <c r="F136" s="55">
        <v>395.0</v>
      </c>
      <c r="G136" s="55" t="s">
        <v>23</v>
      </c>
      <c r="H136" s="56">
        <v>280.1</v>
      </c>
      <c r="I136" s="56">
        <v>228.0</v>
      </c>
      <c r="J136" s="56">
        <v>290.65687</v>
      </c>
      <c r="K136" s="57">
        <v>235.0</v>
      </c>
      <c r="L136" s="57">
        <v>254.3</v>
      </c>
      <c r="M136" s="58"/>
      <c r="N136" s="59">
        <v>1.1039</v>
      </c>
      <c r="O136" s="60"/>
      <c r="P136" s="61">
        <v>242.0690279916659</v>
      </c>
      <c r="Q136" s="61">
        <v>248.38300570703865</v>
      </c>
      <c r="R136" s="61">
        <v>226.46978893015668</v>
      </c>
      <c r="S136" s="61">
        <v>320.70839749977347</v>
      </c>
      <c r="T136" s="61">
        <v>357.8222665096476</v>
      </c>
      <c r="U136" s="61" t="s">
        <v>23</v>
      </c>
      <c r="V136" s="62">
        <v>253.73675151734759</v>
      </c>
      <c r="W136" s="62">
        <v>206.5404475043029</v>
      </c>
      <c r="X136" s="62">
        <v>263.3</v>
      </c>
      <c r="Y136" s="63">
        <v>212.8816015943473</v>
      </c>
      <c r="Z136" s="63">
        <v>230.3650692997554</v>
      </c>
    </row>
    <row r="137" ht="14.25" customHeight="1">
      <c r="A137" s="64">
        <v>45035.0</v>
      </c>
      <c r="B137" s="65">
        <v>287.24</v>
      </c>
      <c r="C137" s="65">
        <v>282.71</v>
      </c>
      <c r="D137" s="65">
        <v>250.0</v>
      </c>
      <c r="E137" s="65">
        <v>382.78</v>
      </c>
      <c r="F137" s="65">
        <v>395.0</v>
      </c>
      <c r="G137" s="65" t="s">
        <v>23</v>
      </c>
      <c r="H137" s="66">
        <v>298.12</v>
      </c>
      <c r="I137" s="66">
        <v>242.0</v>
      </c>
      <c r="J137" s="66">
        <v>290.225386</v>
      </c>
      <c r="K137" s="67">
        <v>245.0</v>
      </c>
      <c r="L137" s="67">
        <v>267.38</v>
      </c>
      <c r="M137" s="58"/>
      <c r="N137" s="59">
        <v>1.0933</v>
      </c>
      <c r="O137" s="60"/>
      <c r="P137" s="68">
        <v>262.72752218055433</v>
      </c>
      <c r="Q137" s="68">
        <v>258.5841031738772</v>
      </c>
      <c r="R137" s="68">
        <v>228.665508094759</v>
      </c>
      <c r="S137" s="68">
        <v>350.1143327540474</v>
      </c>
      <c r="T137" s="68">
        <v>361.29150278971923</v>
      </c>
      <c r="U137" s="68" t="s">
        <v>23</v>
      </c>
      <c r="V137" s="66">
        <v>272.67904509283824</v>
      </c>
      <c r="W137" s="66">
        <v>221.34821183572672</v>
      </c>
      <c r="X137" s="66">
        <v>265.45814140675026</v>
      </c>
      <c r="Y137" s="57">
        <v>224.09219793286383</v>
      </c>
      <c r="Z137" s="57">
        <v>244.56233421750665</v>
      </c>
    </row>
    <row r="138" ht="14.25" customHeight="1">
      <c r="A138" s="54">
        <v>45028.0</v>
      </c>
      <c r="B138" s="55">
        <v>286.42</v>
      </c>
      <c r="C138" s="55">
        <v>281.44</v>
      </c>
      <c r="D138" s="55">
        <v>245.0</v>
      </c>
      <c r="E138" s="55">
        <v>381.58</v>
      </c>
      <c r="F138" s="55">
        <v>410.0</v>
      </c>
      <c r="G138" s="55" t="s">
        <v>23</v>
      </c>
      <c r="H138" s="56">
        <v>296.05</v>
      </c>
      <c r="I138" s="56">
        <v>242.0</v>
      </c>
      <c r="J138" s="56">
        <v>295.298114</v>
      </c>
      <c r="K138" s="57">
        <v>247.0</v>
      </c>
      <c r="L138" s="57">
        <v>269.91</v>
      </c>
      <c r="M138" s="58"/>
      <c r="N138" s="59">
        <v>1.0922</v>
      </c>
      <c r="O138" s="60"/>
      <c r="P138" s="61">
        <v>262.24134773850943</v>
      </c>
      <c r="Q138" s="61">
        <v>257.68174327046324</v>
      </c>
      <c r="R138" s="61">
        <v>224.3178904962461</v>
      </c>
      <c r="S138" s="61">
        <v>349.3682475737044</v>
      </c>
      <c r="T138" s="61">
        <v>375.38912287126897</v>
      </c>
      <c r="U138" s="61" t="s">
        <v>23</v>
      </c>
      <c r="V138" s="62">
        <v>271.05841420985166</v>
      </c>
      <c r="W138" s="62">
        <v>221.57114081670022</v>
      </c>
      <c r="X138" s="62">
        <v>270.37</v>
      </c>
      <c r="Y138" s="63">
        <v>226.14905694927668</v>
      </c>
      <c r="Z138" s="63">
        <v>247.125068668742</v>
      </c>
    </row>
    <row r="139" ht="14.25" customHeight="1">
      <c r="A139" s="64">
        <v>45021.0</v>
      </c>
      <c r="B139" s="65">
        <v>285.5</v>
      </c>
      <c r="C139" s="65">
        <v>285.06</v>
      </c>
      <c r="D139" s="65">
        <v>250.0</v>
      </c>
      <c r="E139" s="65">
        <v>386.36</v>
      </c>
      <c r="F139" s="65">
        <v>410.0</v>
      </c>
      <c r="G139" s="65" t="s">
        <v>23</v>
      </c>
      <c r="H139" s="66">
        <v>297.53</v>
      </c>
      <c r="I139" s="66">
        <v>243.0</v>
      </c>
      <c r="J139" s="66" t="s">
        <v>23</v>
      </c>
      <c r="K139" s="67">
        <v>245.0</v>
      </c>
      <c r="L139" s="67">
        <v>278.51</v>
      </c>
      <c r="M139" s="58"/>
      <c r="N139" s="59">
        <v>1.094</v>
      </c>
      <c r="O139" s="60"/>
      <c r="P139" s="68">
        <v>260.9689213893967</v>
      </c>
      <c r="Q139" s="68">
        <v>260.5667276051188</v>
      </c>
      <c r="R139" s="68">
        <v>228.51919561243142</v>
      </c>
      <c r="S139" s="68">
        <v>353.16270566727604</v>
      </c>
      <c r="T139" s="68">
        <v>374.7714808043875</v>
      </c>
      <c r="U139" s="68" t="s">
        <v>23</v>
      </c>
      <c r="V139" s="66">
        <v>271.96526508226685</v>
      </c>
      <c r="W139" s="66">
        <v>222.12065813528335</v>
      </c>
      <c r="X139" s="66" t="s">
        <v>23</v>
      </c>
      <c r="Y139" s="57">
        <v>223.9488117001828</v>
      </c>
      <c r="Z139" s="57">
        <v>254.5795246800731</v>
      </c>
    </row>
    <row r="140" ht="14.25" customHeight="1">
      <c r="A140" s="54">
        <v>45014.0</v>
      </c>
      <c r="B140" s="55">
        <v>297.53</v>
      </c>
      <c r="C140" s="55">
        <v>295.71</v>
      </c>
      <c r="D140" s="55">
        <v>255.0</v>
      </c>
      <c r="E140" s="55">
        <v>387.83</v>
      </c>
      <c r="F140" s="55">
        <v>415.0</v>
      </c>
      <c r="G140" s="55" t="s">
        <v>23</v>
      </c>
      <c r="H140" s="56">
        <v>297.43</v>
      </c>
      <c r="I140" s="56">
        <v>251.0</v>
      </c>
      <c r="J140" s="56">
        <v>313.879639</v>
      </c>
      <c r="K140" s="57">
        <v>251.0</v>
      </c>
      <c r="L140" s="57">
        <v>294.63</v>
      </c>
      <c r="M140" s="58"/>
      <c r="N140" s="59">
        <v>1.0847</v>
      </c>
      <c r="O140" s="60"/>
      <c r="P140" s="61">
        <v>274.29704065640266</v>
      </c>
      <c r="Q140" s="61">
        <v>272.61915737070154</v>
      </c>
      <c r="R140" s="61">
        <v>235.08804277680466</v>
      </c>
      <c r="S140" s="61">
        <v>357.5458652161888</v>
      </c>
      <c r="T140" s="61">
        <v>382.59426569558406</v>
      </c>
      <c r="U140" s="61" t="s">
        <v>23</v>
      </c>
      <c r="V140" s="62">
        <v>274.2048492670785</v>
      </c>
      <c r="W140" s="62">
        <v>231.40038720383515</v>
      </c>
      <c r="X140" s="62">
        <v>289.37</v>
      </c>
      <c r="Y140" s="63">
        <v>231.40038720383515</v>
      </c>
      <c r="Z140" s="63">
        <v>271.6234903659998</v>
      </c>
    </row>
    <row r="141" ht="14.25" customHeight="1">
      <c r="A141" s="64">
        <v>45007.0</v>
      </c>
      <c r="B141" s="65">
        <v>286.05</v>
      </c>
      <c r="C141" s="65">
        <v>279.9</v>
      </c>
      <c r="D141" s="65">
        <v>250.0</v>
      </c>
      <c r="E141" s="65">
        <v>362.38</v>
      </c>
      <c r="F141" s="65">
        <v>410.0</v>
      </c>
      <c r="G141" s="65">
        <v>455.957445</v>
      </c>
      <c r="H141" s="66">
        <v>290.73</v>
      </c>
      <c r="I141" s="66">
        <v>250.0</v>
      </c>
      <c r="J141" s="66">
        <v>291.939165</v>
      </c>
      <c r="K141" s="67">
        <v>233.0</v>
      </c>
      <c r="L141" s="67">
        <v>278.82</v>
      </c>
      <c r="M141" s="58"/>
      <c r="N141" s="59">
        <v>1.0785</v>
      </c>
      <c r="O141" s="60"/>
      <c r="P141" s="68">
        <v>265.2294853963839</v>
      </c>
      <c r="Q141" s="68">
        <v>259.5271210013908</v>
      </c>
      <c r="R141" s="68">
        <v>231.8034306907742</v>
      </c>
      <c r="S141" s="68">
        <v>336.00370885489104</v>
      </c>
      <c r="T141" s="68">
        <v>380.1576263328697</v>
      </c>
      <c r="U141" s="68">
        <v>422.77</v>
      </c>
      <c r="V141" s="66">
        <v>269.5688456189152</v>
      </c>
      <c r="W141" s="66">
        <v>231.8034306907742</v>
      </c>
      <c r="X141" s="66">
        <v>270.69</v>
      </c>
      <c r="Y141" s="57">
        <v>216.04079740380158</v>
      </c>
      <c r="Z141" s="57">
        <v>258.52573018080665</v>
      </c>
    </row>
    <row r="142" ht="14.25" customHeight="1">
      <c r="A142" s="54">
        <v>45000.0</v>
      </c>
      <c r="B142" s="55">
        <v>300.47</v>
      </c>
      <c r="C142" s="55">
        <v>294.37</v>
      </c>
      <c r="D142" s="55">
        <v>265.0</v>
      </c>
      <c r="E142" s="55">
        <v>365.51</v>
      </c>
      <c r="F142" s="55">
        <v>410.0</v>
      </c>
      <c r="G142" s="55" t="s">
        <v>23</v>
      </c>
      <c r="H142" s="56">
        <v>284.04</v>
      </c>
      <c r="I142" s="56">
        <v>252.0</v>
      </c>
      <c r="J142" s="56">
        <v>307.44005599999997</v>
      </c>
      <c r="K142" s="57">
        <v>250.0</v>
      </c>
      <c r="L142" s="57">
        <v>286.99</v>
      </c>
      <c r="M142" s="58"/>
      <c r="N142" s="59">
        <v>1.0549</v>
      </c>
      <c r="O142" s="60"/>
      <c r="P142" s="61">
        <v>284.8326855626126</v>
      </c>
      <c r="Q142" s="61">
        <v>279.05014693335863</v>
      </c>
      <c r="R142" s="61">
        <v>251.20864536922932</v>
      </c>
      <c r="S142" s="61">
        <v>346.4878187505925</v>
      </c>
      <c r="T142" s="61">
        <v>388.66243245805293</v>
      </c>
      <c r="U142" s="61" t="s">
        <v>23</v>
      </c>
      <c r="V142" s="62">
        <v>269.25774954972036</v>
      </c>
      <c r="W142" s="62">
        <v>238.88520238885204</v>
      </c>
      <c r="X142" s="62">
        <v>291.44</v>
      </c>
      <c r="Y142" s="63">
        <v>236.9892880841786</v>
      </c>
      <c r="Z142" s="63">
        <v>272.0542231491137</v>
      </c>
    </row>
    <row r="143" ht="14.25" customHeight="1">
      <c r="A143" s="64">
        <v>44993.0</v>
      </c>
      <c r="B143" s="65">
        <v>298.54</v>
      </c>
      <c r="C143" s="65">
        <v>289.22</v>
      </c>
      <c r="D143" s="65">
        <v>271.0</v>
      </c>
      <c r="E143" s="65">
        <v>358.34</v>
      </c>
      <c r="F143" s="65">
        <v>425.0</v>
      </c>
      <c r="G143" s="65" t="s">
        <v>23</v>
      </c>
      <c r="H143" s="66">
        <v>282.47</v>
      </c>
      <c r="I143" s="66">
        <v>256.0</v>
      </c>
      <c r="J143" s="66">
        <v>304.15998</v>
      </c>
      <c r="K143" s="67">
        <v>252.0</v>
      </c>
      <c r="L143" s="67">
        <v>280.78</v>
      </c>
      <c r="M143" s="58"/>
      <c r="N143" s="59">
        <v>1.0545</v>
      </c>
      <c r="O143" s="60"/>
      <c r="P143" s="68">
        <v>283.1104788999526</v>
      </c>
      <c r="Q143" s="68">
        <v>274.27216690374587</v>
      </c>
      <c r="R143" s="68">
        <v>256.99383594120434</v>
      </c>
      <c r="S143" s="68">
        <v>339.81981981981977</v>
      </c>
      <c r="T143" s="68">
        <v>403.03461356092936</v>
      </c>
      <c r="U143" s="68" t="s">
        <v>23</v>
      </c>
      <c r="V143" s="66">
        <v>267.8710289236605</v>
      </c>
      <c r="W143" s="66">
        <v>242.76908487434804</v>
      </c>
      <c r="X143" s="66">
        <v>288.44</v>
      </c>
      <c r="Y143" s="57">
        <v>238.97581792318636</v>
      </c>
      <c r="Z143" s="57">
        <v>266.26837363679465</v>
      </c>
    </row>
    <row r="144" ht="14.25" customHeight="1">
      <c r="A144" s="54">
        <v>44986.0</v>
      </c>
      <c r="B144" s="55">
        <v>305.71</v>
      </c>
      <c r="C144" s="55">
        <v>300.18</v>
      </c>
      <c r="D144" s="55">
        <v>270.0</v>
      </c>
      <c r="E144" s="55">
        <v>371.57</v>
      </c>
      <c r="F144" s="55">
        <v>425.0</v>
      </c>
      <c r="G144" s="55" t="s">
        <v>23</v>
      </c>
      <c r="H144" s="56">
        <v>285.62</v>
      </c>
      <c r="I144" s="56">
        <v>256.0</v>
      </c>
      <c r="J144" s="56">
        <v>314.579696</v>
      </c>
      <c r="K144" s="57">
        <v>258.0</v>
      </c>
      <c r="L144" s="57">
        <v>288.44</v>
      </c>
      <c r="M144" s="58"/>
      <c r="N144" s="59">
        <v>1.0684</v>
      </c>
      <c r="O144" s="60"/>
      <c r="P144" s="61">
        <v>286.13815050542865</v>
      </c>
      <c r="Q144" s="61">
        <v>280.9621864470236</v>
      </c>
      <c r="R144" s="61">
        <v>252.71433919880195</v>
      </c>
      <c r="S144" s="61">
        <v>347.781729689255</v>
      </c>
      <c r="T144" s="61">
        <v>397.79108947959566</v>
      </c>
      <c r="U144" s="61" t="s">
        <v>23</v>
      </c>
      <c r="V144" s="62">
        <v>267.33433171096965</v>
      </c>
      <c r="W144" s="62">
        <v>239.61063272182702</v>
      </c>
      <c r="X144" s="62">
        <v>294.44</v>
      </c>
      <c r="Y144" s="63">
        <v>241.4825907899663</v>
      </c>
      <c r="Z144" s="63">
        <v>269.97379258704603</v>
      </c>
    </row>
    <row r="145" ht="14.25" customHeight="1">
      <c r="A145" s="64">
        <v>44979.0</v>
      </c>
      <c r="B145" s="65">
        <v>320.22</v>
      </c>
      <c r="C145" s="65">
        <v>309.41</v>
      </c>
      <c r="D145" s="65">
        <v>270.0</v>
      </c>
      <c r="E145" s="65">
        <v>393.53</v>
      </c>
      <c r="F145" s="65">
        <v>425.0</v>
      </c>
      <c r="G145" s="65">
        <v>459.033144</v>
      </c>
      <c r="H145" s="66">
        <v>298.8</v>
      </c>
      <c r="I145" s="66">
        <v>261.0</v>
      </c>
      <c r="J145" s="66">
        <v>332.10344399999997</v>
      </c>
      <c r="K145" s="67">
        <v>261.0</v>
      </c>
      <c r="L145" s="67">
        <v>292.42</v>
      </c>
      <c r="M145" s="58"/>
      <c r="N145" s="59">
        <v>1.0644</v>
      </c>
      <c r="O145" s="60"/>
      <c r="P145" s="68">
        <v>300.8455467869222</v>
      </c>
      <c r="Q145" s="68">
        <v>290.6895903795566</v>
      </c>
      <c r="R145" s="68">
        <v>253.6640360766629</v>
      </c>
      <c r="S145" s="68">
        <v>369.7200300638857</v>
      </c>
      <c r="T145" s="68">
        <v>399.2859827132657</v>
      </c>
      <c r="U145" s="68">
        <v>431.26</v>
      </c>
      <c r="V145" s="66">
        <v>280.7215332581736</v>
      </c>
      <c r="W145" s="66">
        <v>245.2085682074408</v>
      </c>
      <c r="X145" s="66">
        <v>312.01</v>
      </c>
      <c r="Y145" s="57">
        <v>245.2085682074408</v>
      </c>
      <c r="Z145" s="57">
        <v>274.7275460353251</v>
      </c>
    </row>
    <row r="146" ht="14.25" customHeight="1">
      <c r="A146" s="54">
        <v>44972.0</v>
      </c>
      <c r="B146" s="55">
        <v>332.25</v>
      </c>
      <c r="C146" s="55">
        <v>328.22</v>
      </c>
      <c r="D146" s="55">
        <v>270.0</v>
      </c>
      <c r="E146" s="55">
        <v>400.32</v>
      </c>
      <c r="F146" s="55">
        <v>425.0</v>
      </c>
      <c r="G146" s="55">
        <v>469.20570000000004</v>
      </c>
      <c r="H146" s="56">
        <v>303.63</v>
      </c>
      <c r="I146" s="56">
        <v>265.0</v>
      </c>
      <c r="J146" s="56">
        <v>338.6657</v>
      </c>
      <c r="K146" s="57">
        <v>290.0</v>
      </c>
      <c r="L146" s="57">
        <v>308.99</v>
      </c>
      <c r="M146" s="58"/>
      <c r="N146" s="59">
        <v>1.07</v>
      </c>
      <c r="O146" s="60"/>
      <c r="P146" s="61">
        <v>310.5140186915888</v>
      </c>
      <c r="Q146" s="61">
        <v>306.7476635514019</v>
      </c>
      <c r="R146" s="61">
        <v>252.33644859813083</v>
      </c>
      <c r="S146" s="61">
        <v>374.1308411214953</v>
      </c>
      <c r="T146" s="61">
        <v>397.19626168224295</v>
      </c>
      <c r="U146" s="61">
        <v>438.51</v>
      </c>
      <c r="V146" s="62">
        <v>283.7663551401869</v>
      </c>
      <c r="W146" s="62">
        <v>247.66355140186914</v>
      </c>
      <c r="X146" s="62">
        <v>316.51</v>
      </c>
      <c r="Y146" s="63">
        <v>271.02803738317755</v>
      </c>
      <c r="Z146" s="63">
        <v>288.77570093457945</v>
      </c>
    </row>
    <row r="147" ht="14.25" customHeight="1">
      <c r="A147" s="64">
        <v>44965.0</v>
      </c>
      <c r="B147" s="65">
        <v>330.6</v>
      </c>
      <c r="C147" s="65">
        <v>328.73</v>
      </c>
      <c r="D147" s="65">
        <v>270.0</v>
      </c>
      <c r="E147" s="65">
        <v>399.04</v>
      </c>
      <c r="F147" s="65">
        <v>425.0</v>
      </c>
      <c r="G147" s="65" t="s">
        <v>23</v>
      </c>
      <c r="H147" s="66">
        <v>305.69</v>
      </c>
      <c r="I147" s="66">
        <v>268.0</v>
      </c>
      <c r="J147" s="66">
        <v>332.25898499999994</v>
      </c>
      <c r="K147" s="67">
        <v>290.0</v>
      </c>
      <c r="L147" s="67">
        <v>306.19</v>
      </c>
      <c r="M147" s="58"/>
      <c r="N147" s="59">
        <v>1.0735</v>
      </c>
      <c r="O147" s="60"/>
      <c r="P147" s="68">
        <v>307.96460176991155</v>
      </c>
      <c r="Q147" s="68">
        <v>306.2226362366093</v>
      </c>
      <c r="R147" s="68">
        <v>251.51374010246857</v>
      </c>
      <c r="S147" s="68">
        <v>371.71867722403357</v>
      </c>
      <c r="T147" s="68">
        <v>395.90125756870054</v>
      </c>
      <c r="U147" s="68" t="s">
        <v>23</v>
      </c>
      <c r="V147" s="66">
        <v>284.76013041453194</v>
      </c>
      <c r="W147" s="66">
        <v>249.65067536096882</v>
      </c>
      <c r="X147" s="66">
        <v>309.51</v>
      </c>
      <c r="Y147" s="57">
        <v>270.14438751746627</v>
      </c>
      <c r="Z147" s="57">
        <v>285.2258965999069</v>
      </c>
    </row>
    <row r="148" ht="14.25" customHeight="1">
      <c r="A148" s="54">
        <v>44958.0</v>
      </c>
      <c r="B148" s="55">
        <v>330.6</v>
      </c>
      <c r="C148" s="55">
        <v>325.59</v>
      </c>
      <c r="D148" s="55">
        <v>270.0</v>
      </c>
      <c r="E148" s="55">
        <v>394.72</v>
      </c>
      <c r="F148" s="55">
        <v>435.0</v>
      </c>
      <c r="G148" s="55" t="s">
        <v>23</v>
      </c>
      <c r="H148" s="56">
        <v>305.5</v>
      </c>
      <c r="I148" s="56">
        <v>268.0</v>
      </c>
      <c r="J148" s="56">
        <v>325.469144</v>
      </c>
      <c r="K148" s="57">
        <v>285.0</v>
      </c>
      <c r="L148" s="57">
        <v>304.86</v>
      </c>
      <c r="M148" s="58"/>
      <c r="N148" s="59">
        <v>1.0894</v>
      </c>
      <c r="O148" s="60"/>
      <c r="P148" s="61">
        <v>303.46979988984765</v>
      </c>
      <c r="Q148" s="61">
        <v>298.87093813108135</v>
      </c>
      <c r="R148" s="61">
        <v>247.8428492748302</v>
      </c>
      <c r="S148" s="61">
        <v>362.32788691022586</v>
      </c>
      <c r="T148" s="61">
        <v>399.3023682761153</v>
      </c>
      <c r="U148" s="61" t="s">
        <v>23</v>
      </c>
      <c r="V148" s="62">
        <v>280.4295942720764</v>
      </c>
      <c r="W148" s="62">
        <v>246.00697631723887</v>
      </c>
      <c r="X148" s="62">
        <v>298.76</v>
      </c>
      <c r="Y148" s="63">
        <v>261.61189645676524</v>
      </c>
      <c r="Z148" s="63">
        <v>279.8421149256472</v>
      </c>
    </row>
    <row r="149" ht="14.25" customHeight="1">
      <c r="A149" s="64">
        <v>44951.0</v>
      </c>
      <c r="B149" s="65">
        <v>321.97</v>
      </c>
      <c r="C149" s="65">
        <v>320.78</v>
      </c>
      <c r="D149" s="65">
        <v>270.0</v>
      </c>
      <c r="E149" s="65">
        <v>377.82</v>
      </c>
      <c r="F149" s="65">
        <v>445.0</v>
      </c>
      <c r="G149" s="65" t="s">
        <v>23</v>
      </c>
      <c r="H149" s="66">
        <v>303.04</v>
      </c>
      <c r="I149" s="66">
        <v>266.0</v>
      </c>
      <c r="J149" s="66">
        <v>321.455778</v>
      </c>
      <c r="K149" s="67">
        <v>280.0</v>
      </c>
      <c r="L149" s="67">
        <v>298.44</v>
      </c>
      <c r="M149" s="58"/>
      <c r="N149" s="59">
        <v>1.0878</v>
      </c>
      <c r="O149" s="60"/>
      <c r="P149" s="68">
        <v>295.98271741128883</v>
      </c>
      <c r="Q149" s="68">
        <v>294.8887663173377</v>
      </c>
      <c r="R149" s="68">
        <v>248.2073910645339</v>
      </c>
      <c r="S149" s="68">
        <v>347.32487589630443</v>
      </c>
      <c r="T149" s="68">
        <v>409.0825519396948</v>
      </c>
      <c r="U149" s="68" t="s">
        <v>23</v>
      </c>
      <c r="V149" s="66">
        <v>278.5806214377643</v>
      </c>
      <c r="W149" s="66">
        <v>244.53024453024452</v>
      </c>
      <c r="X149" s="66">
        <v>295.51</v>
      </c>
      <c r="Y149" s="57">
        <v>257.4002574002574</v>
      </c>
      <c r="Z149" s="57">
        <v>274.35190292333147</v>
      </c>
    </row>
    <row r="150" ht="14.25" customHeight="1">
      <c r="A150" s="54">
        <v>44944.0</v>
      </c>
      <c r="B150" s="55">
        <v>326.1</v>
      </c>
      <c r="C150" s="55">
        <v>325.16</v>
      </c>
      <c r="D150" s="55">
        <v>269.0</v>
      </c>
      <c r="E150" s="55">
        <v>379.01</v>
      </c>
      <c r="F150" s="55">
        <v>455.0</v>
      </c>
      <c r="G150" s="55" t="s">
        <v>23</v>
      </c>
      <c r="H150" s="56">
        <v>307.56</v>
      </c>
      <c r="I150" s="56">
        <v>266.0</v>
      </c>
      <c r="J150" s="56" t="s">
        <v>23</v>
      </c>
      <c r="K150" s="57">
        <v>275.0</v>
      </c>
      <c r="L150" s="57">
        <v>297.01</v>
      </c>
      <c r="M150" s="58"/>
      <c r="N150" s="59">
        <v>1.0839</v>
      </c>
      <c r="O150" s="60"/>
      <c r="P150" s="61">
        <v>300.8580127318018</v>
      </c>
      <c r="Q150" s="61">
        <v>299.9907740566473</v>
      </c>
      <c r="R150" s="61">
        <v>248.17787618784018</v>
      </c>
      <c r="S150" s="61">
        <v>349.67247901097886</v>
      </c>
      <c r="T150" s="61">
        <v>419.78042254820554</v>
      </c>
      <c r="U150" s="61" t="s">
        <v>23</v>
      </c>
      <c r="V150" s="62">
        <v>283.75311375588154</v>
      </c>
      <c r="W150" s="62">
        <v>245.41009318202785</v>
      </c>
      <c r="X150" s="62" t="s">
        <v>23</v>
      </c>
      <c r="Y150" s="63">
        <v>253.71344219946488</v>
      </c>
      <c r="Z150" s="63">
        <v>274.01974351877476</v>
      </c>
    </row>
    <row r="151" ht="14.25" customHeight="1">
      <c r="A151" s="64">
        <v>44937.0</v>
      </c>
      <c r="B151" s="65">
        <v>327.02</v>
      </c>
      <c r="C151" s="65">
        <v>327.94</v>
      </c>
      <c r="D151" s="65">
        <v>266.0</v>
      </c>
      <c r="E151" s="65">
        <v>371.94</v>
      </c>
      <c r="F151" s="65">
        <v>455.0</v>
      </c>
      <c r="G151" s="65" t="s">
        <v>23</v>
      </c>
      <c r="H151" s="66">
        <v>305.5</v>
      </c>
      <c r="I151" s="66">
        <v>264.0</v>
      </c>
      <c r="J151" s="66">
        <v>319.540551</v>
      </c>
      <c r="K151" s="67">
        <v>273.0</v>
      </c>
      <c r="L151" s="67">
        <v>300.02</v>
      </c>
      <c r="M151" s="58"/>
      <c r="N151" s="59">
        <v>1.0747</v>
      </c>
      <c r="O151" s="60"/>
      <c r="P151" s="68">
        <v>304.2895691820973</v>
      </c>
      <c r="Q151" s="68">
        <v>305.14562203405603</v>
      </c>
      <c r="R151" s="68">
        <v>247.5109332837071</v>
      </c>
      <c r="S151" s="68">
        <v>346.0872801712106</v>
      </c>
      <c r="T151" s="68">
        <v>423.3739648273937</v>
      </c>
      <c r="U151" s="68" t="s">
        <v>23</v>
      </c>
      <c r="V151" s="66">
        <v>284.2653763841072</v>
      </c>
      <c r="W151" s="66">
        <v>245.64994882292734</v>
      </c>
      <c r="X151" s="66">
        <v>297.33</v>
      </c>
      <c r="Y151" s="57">
        <v>254.02437889643622</v>
      </c>
      <c r="Z151" s="57">
        <v>279.16627896157064</v>
      </c>
    </row>
    <row r="152" ht="14.25" customHeight="1">
      <c r="A152" s="54">
        <v>44930.0</v>
      </c>
      <c r="B152" s="55">
        <v>329.04</v>
      </c>
      <c r="C152" s="55">
        <v>328.46</v>
      </c>
      <c r="D152" s="55">
        <v>266.0</v>
      </c>
      <c r="E152" s="55">
        <v>378.74</v>
      </c>
      <c r="F152" s="55">
        <v>455.0</v>
      </c>
      <c r="G152" s="55" t="s">
        <v>23</v>
      </c>
      <c r="H152" s="56">
        <v>306.58</v>
      </c>
      <c r="I152" s="56">
        <v>264.0</v>
      </c>
      <c r="J152" s="56">
        <v>322.294392</v>
      </c>
      <c r="K152" s="57">
        <v>273.0</v>
      </c>
      <c r="L152" s="57">
        <v>300.33</v>
      </c>
      <c r="M152" s="58"/>
      <c r="N152" s="59">
        <v>1.0599</v>
      </c>
      <c r="O152" s="60"/>
      <c r="P152" s="61">
        <v>310.4443815454288</v>
      </c>
      <c r="Q152" s="61">
        <v>309.89716010944426</v>
      </c>
      <c r="R152" s="61">
        <v>250.96707236531748</v>
      </c>
      <c r="S152" s="61">
        <v>357.335597697896</v>
      </c>
      <c r="T152" s="61">
        <v>429.2857816775167</v>
      </c>
      <c r="U152" s="61" t="s">
        <v>23</v>
      </c>
      <c r="V152" s="62">
        <v>289.2537031795452</v>
      </c>
      <c r="W152" s="62">
        <v>249.0801018964053</v>
      </c>
      <c r="X152" s="62">
        <v>304.08</v>
      </c>
      <c r="Y152" s="63">
        <v>257.57146900651003</v>
      </c>
      <c r="Z152" s="63">
        <v>283.35692046419473</v>
      </c>
    </row>
    <row r="153" ht="14.25" customHeight="1">
      <c r="A153" s="64">
        <v>44923.0</v>
      </c>
      <c r="B153" s="65">
        <v>345.57</v>
      </c>
      <c r="C153" s="65">
        <v>342.41</v>
      </c>
      <c r="D153" s="65">
        <v>265.0</v>
      </c>
      <c r="E153" s="65">
        <v>393.98</v>
      </c>
      <c r="F153" s="65">
        <v>455.0</v>
      </c>
      <c r="G153" s="65" t="s">
        <v>23</v>
      </c>
      <c r="H153" s="66">
        <v>321.93</v>
      </c>
      <c r="I153" s="66">
        <v>262.0</v>
      </c>
      <c r="J153" s="66" t="s">
        <v>23</v>
      </c>
      <c r="K153" s="67">
        <v>273.0</v>
      </c>
      <c r="L153" s="67">
        <v>310.56</v>
      </c>
      <c r="M153" s="58"/>
      <c r="N153" s="59">
        <v>1.064</v>
      </c>
      <c r="O153" s="60"/>
      <c r="P153" s="68">
        <v>324.7838345864661</v>
      </c>
      <c r="Q153" s="68">
        <v>321.81390977443607</v>
      </c>
      <c r="R153" s="68">
        <v>249.06015037593983</v>
      </c>
      <c r="S153" s="68">
        <v>370.28195488721803</v>
      </c>
      <c r="T153" s="68">
        <v>427.6315789473684</v>
      </c>
      <c r="U153" s="68" t="s">
        <v>23</v>
      </c>
      <c r="V153" s="66">
        <v>302.5657894736842</v>
      </c>
      <c r="W153" s="66">
        <v>246.2406015037594</v>
      </c>
      <c r="X153" s="66" t="s">
        <v>23</v>
      </c>
      <c r="Y153" s="57">
        <v>256.57894736842104</v>
      </c>
      <c r="Z153" s="57">
        <v>291.8796992481203</v>
      </c>
    </row>
    <row r="154" ht="14.25" customHeight="1">
      <c r="A154" s="54">
        <v>44916.0</v>
      </c>
      <c r="B154" s="55">
        <v>339.05</v>
      </c>
      <c r="C154" s="55">
        <v>331.06</v>
      </c>
      <c r="D154" s="55">
        <v>265.0</v>
      </c>
      <c r="E154" s="55">
        <v>387.28</v>
      </c>
      <c r="F154" s="55">
        <v>455.0</v>
      </c>
      <c r="G154" s="55" t="s">
        <v>23</v>
      </c>
      <c r="H154" s="56">
        <v>313.86</v>
      </c>
      <c r="I154" s="56">
        <v>262.0</v>
      </c>
      <c r="J154" s="56">
        <v>318.633288</v>
      </c>
      <c r="K154" s="57">
        <v>273.0</v>
      </c>
      <c r="L154" s="57">
        <v>302.45</v>
      </c>
      <c r="M154" s="58"/>
      <c r="N154" s="59">
        <v>1.0636</v>
      </c>
      <c r="O154" s="60"/>
      <c r="P154" s="61">
        <v>318.7758555848063</v>
      </c>
      <c r="Q154" s="61">
        <v>311.26363294471605</v>
      </c>
      <c r="R154" s="61">
        <v>249.15381722452048</v>
      </c>
      <c r="S154" s="61">
        <v>364.12185031966897</v>
      </c>
      <c r="T154" s="61">
        <v>427.7924031590823</v>
      </c>
      <c r="U154" s="61" t="s">
        <v>23</v>
      </c>
      <c r="V154" s="62">
        <v>295.0921399022189</v>
      </c>
      <c r="W154" s="62">
        <v>246.33320797292214</v>
      </c>
      <c r="X154" s="62">
        <v>299.58</v>
      </c>
      <c r="Y154" s="63">
        <v>256.6754418954494</v>
      </c>
      <c r="Z154" s="63">
        <v>284.3644227153065</v>
      </c>
    </row>
    <row r="155" ht="14.25" customHeight="1">
      <c r="A155" s="64">
        <v>44909.0</v>
      </c>
      <c r="B155" s="65">
        <v>334.09</v>
      </c>
      <c r="C155" s="65">
        <v>332.82</v>
      </c>
      <c r="D155" s="65">
        <v>267.0</v>
      </c>
      <c r="E155" s="65">
        <v>382.23</v>
      </c>
      <c r="F155" s="65">
        <v>450.0</v>
      </c>
      <c r="G155" s="65" t="s">
        <v>23</v>
      </c>
      <c r="H155" s="66">
        <v>309.24</v>
      </c>
      <c r="I155" s="66">
        <v>262.0</v>
      </c>
      <c r="J155" s="66">
        <v>316.16880999999995</v>
      </c>
      <c r="K155" s="67">
        <v>273.0</v>
      </c>
      <c r="L155" s="67">
        <v>304.59</v>
      </c>
      <c r="M155" s="58"/>
      <c r="N155" s="59">
        <v>1.0649</v>
      </c>
      <c r="O155" s="60"/>
      <c r="P155" s="68">
        <v>313.72898863743075</v>
      </c>
      <c r="Q155" s="68">
        <v>312.53638839327635</v>
      </c>
      <c r="R155" s="68">
        <v>250.72776786552728</v>
      </c>
      <c r="S155" s="68">
        <v>358.9351112780543</v>
      </c>
      <c r="T155" s="68">
        <v>422.57488966100107</v>
      </c>
      <c r="U155" s="68" t="s">
        <v>23</v>
      </c>
      <c r="V155" s="66">
        <v>290.3934641750399</v>
      </c>
      <c r="W155" s="66">
        <v>246.03249131373838</v>
      </c>
      <c r="X155" s="66">
        <v>296.9</v>
      </c>
      <c r="Y155" s="57">
        <v>256.362099727674</v>
      </c>
      <c r="Z155" s="57">
        <v>286.0268569818762</v>
      </c>
    </row>
    <row r="156" ht="14.25" customHeight="1">
      <c r="A156" s="54">
        <v>44902.0</v>
      </c>
      <c r="B156" s="55">
        <v>332.35</v>
      </c>
      <c r="C156" s="55">
        <v>332.34</v>
      </c>
      <c r="D156" s="55">
        <v>272.0</v>
      </c>
      <c r="E156" s="55">
        <v>385.35</v>
      </c>
      <c r="F156" s="55">
        <v>460.0</v>
      </c>
      <c r="G156" s="55">
        <v>513.446685</v>
      </c>
      <c r="H156" s="56">
        <v>305.6</v>
      </c>
      <c r="I156" s="56">
        <v>256.0</v>
      </c>
      <c r="J156" s="56">
        <v>319.18663499999997</v>
      </c>
      <c r="K156" s="57">
        <v>275.0</v>
      </c>
      <c r="L156" s="57">
        <v>300.83</v>
      </c>
      <c r="M156" s="58"/>
      <c r="N156" s="59">
        <v>1.0529</v>
      </c>
      <c r="O156" s="60"/>
      <c r="P156" s="61">
        <v>315.6520087377719</v>
      </c>
      <c r="Q156" s="61">
        <v>315.6425111596543</v>
      </c>
      <c r="R156" s="61">
        <v>258.3341247981765</v>
      </c>
      <c r="S156" s="61">
        <v>365.989172760946</v>
      </c>
      <c r="T156" s="61">
        <v>436.88859340868083</v>
      </c>
      <c r="U156" s="61">
        <v>487.65000000000003</v>
      </c>
      <c r="V156" s="62">
        <v>290.24598727324536</v>
      </c>
      <c r="W156" s="62">
        <v>243.13799981004846</v>
      </c>
      <c r="X156" s="62">
        <v>303.15</v>
      </c>
      <c r="Y156" s="63">
        <v>261.1833982334505</v>
      </c>
      <c r="Z156" s="63">
        <v>285.7156425111597</v>
      </c>
    </row>
    <row r="157" ht="14.25" customHeight="1">
      <c r="A157" s="64">
        <v>44895.0</v>
      </c>
      <c r="B157" s="65">
        <v>345.94</v>
      </c>
      <c r="C157" s="65">
        <v>335.86</v>
      </c>
      <c r="D157" s="65">
        <v>268.0</v>
      </c>
      <c r="E157" s="65">
        <v>409.05</v>
      </c>
      <c r="F157" s="65">
        <v>460.0</v>
      </c>
      <c r="G157" s="65" t="s">
        <v>23</v>
      </c>
      <c r="H157" s="66">
        <v>323.61</v>
      </c>
      <c r="I157" s="66">
        <v>262.0</v>
      </c>
      <c r="J157" s="66" t="s">
        <v>23</v>
      </c>
      <c r="K157" s="67">
        <v>275.0</v>
      </c>
      <c r="L157" s="67">
        <v>296.65</v>
      </c>
      <c r="M157" s="58"/>
      <c r="N157" s="59">
        <v>1.0376</v>
      </c>
      <c r="O157" s="60"/>
      <c r="P157" s="68">
        <v>333.40400925212026</v>
      </c>
      <c r="Q157" s="68">
        <v>323.6892829606785</v>
      </c>
      <c r="R157" s="68">
        <v>258.2883577486507</v>
      </c>
      <c r="S157" s="68">
        <v>394.22706245181183</v>
      </c>
      <c r="T157" s="68">
        <v>443.33076329992286</v>
      </c>
      <c r="U157" s="68" t="s">
        <v>23</v>
      </c>
      <c r="V157" s="66">
        <v>311.88319198149577</v>
      </c>
      <c r="W157" s="66">
        <v>252.50578257517347</v>
      </c>
      <c r="X157" s="66" t="s">
        <v>23</v>
      </c>
      <c r="Y157" s="57">
        <v>265.0346954510408</v>
      </c>
      <c r="Z157" s="57">
        <v>285.90015420200456</v>
      </c>
    </row>
    <row r="158" ht="14.25" customHeight="1">
      <c r="A158" s="54">
        <v>44888.0</v>
      </c>
      <c r="B158" s="55">
        <v>350.35</v>
      </c>
      <c r="C158" s="55">
        <v>345.58</v>
      </c>
      <c r="D158" s="55">
        <v>270.0</v>
      </c>
      <c r="E158" s="55">
        <v>415.3</v>
      </c>
      <c r="F158" s="55">
        <v>468.0</v>
      </c>
      <c r="G158" s="55" t="s">
        <v>23</v>
      </c>
      <c r="H158" s="56">
        <v>326.07</v>
      </c>
      <c r="I158" s="56">
        <v>267.0</v>
      </c>
      <c r="J158" s="56" t="s">
        <v>23</v>
      </c>
      <c r="K158" s="57">
        <v>275.0</v>
      </c>
      <c r="L158" s="57">
        <v>308.28</v>
      </c>
      <c r="M158" s="58"/>
      <c r="N158" s="59">
        <v>1.0325</v>
      </c>
      <c r="O158" s="60"/>
      <c r="P158" s="61">
        <v>339.3220338983051</v>
      </c>
      <c r="Q158" s="61">
        <v>334.70217917675546</v>
      </c>
      <c r="R158" s="61">
        <v>261.50121065375305</v>
      </c>
      <c r="S158" s="61">
        <v>402.22760290556903</v>
      </c>
      <c r="T158" s="61">
        <v>453.26876513317194</v>
      </c>
      <c r="U158" s="61" t="s">
        <v>23</v>
      </c>
      <c r="V158" s="62">
        <v>315.80629539951576</v>
      </c>
      <c r="W158" s="62">
        <v>258.5956416464891</v>
      </c>
      <c r="X158" s="62" t="s">
        <v>23</v>
      </c>
      <c r="Y158" s="63">
        <v>266.3438256658596</v>
      </c>
      <c r="Z158" s="63">
        <v>298.57627118644064</v>
      </c>
    </row>
    <row r="159" ht="14.25" customHeight="1">
      <c r="A159" s="64">
        <v>44881.0</v>
      </c>
      <c r="B159" s="65">
        <v>366.52</v>
      </c>
      <c r="C159" s="65">
        <v>339.35</v>
      </c>
      <c r="D159" s="65">
        <v>272.0</v>
      </c>
      <c r="E159" s="65">
        <v>431.92</v>
      </c>
      <c r="F159" s="65">
        <v>475.0</v>
      </c>
      <c r="G159" s="65">
        <v>503.64926399999996</v>
      </c>
      <c r="H159" s="66">
        <v>330.79</v>
      </c>
      <c r="I159" s="66">
        <v>260.0</v>
      </c>
      <c r="J159" s="66" t="s">
        <v>23</v>
      </c>
      <c r="K159" s="67">
        <v>285.0</v>
      </c>
      <c r="L159" s="67">
        <v>307.13</v>
      </c>
      <c r="M159" s="58"/>
      <c r="N159" s="59">
        <v>1.0412</v>
      </c>
      <c r="O159" s="60"/>
      <c r="P159" s="68">
        <v>352.01690357280063</v>
      </c>
      <c r="Q159" s="68">
        <v>325.92201306185177</v>
      </c>
      <c r="R159" s="68">
        <v>261.2370341913177</v>
      </c>
      <c r="S159" s="68">
        <v>414.82904341144837</v>
      </c>
      <c r="T159" s="68">
        <v>456.2043795620438</v>
      </c>
      <c r="U159" s="68">
        <v>483.72</v>
      </c>
      <c r="V159" s="66">
        <v>317.70072992700733</v>
      </c>
      <c r="W159" s="66">
        <v>249.71187091817137</v>
      </c>
      <c r="X159" s="66" t="s">
        <v>23</v>
      </c>
      <c r="Y159" s="57">
        <v>273.7226277372263</v>
      </c>
      <c r="Z159" s="57">
        <v>294.9769496734537</v>
      </c>
    </row>
    <row r="160" ht="14.25" customHeight="1">
      <c r="A160" s="54">
        <v>44874.0</v>
      </c>
      <c r="B160" s="55">
        <v>362.48</v>
      </c>
      <c r="C160" s="55">
        <v>335.69</v>
      </c>
      <c r="D160" s="55">
        <v>272.0</v>
      </c>
      <c r="E160" s="55">
        <v>422.55</v>
      </c>
      <c r="F160" s="55">
        <v>460.0</v>
      </c>
      <c r="G160" s="55" t="s">
        <v>23</v>
      </c>
      <c r="H160" s="56">
        <v>342.31</v>
      </c>
      <c r="I160" s="56">
        <v>260.0</v>
      </c>
      <c r="J160" s="56" t="s">
        <v>23</v>
      </c>
      <c r="K160" s="57">
        <v>285.0</v>
      </c>
      <c r="L160" s="57">
        <v>305.59</v>
      </c>
      <c r="M160" s="58"/>
      <c r="N160" s="59">
        <v>1.0039</v>
      </c>
      <c r="O160" s="60"/>
      <c r="P160" s="61">
        <v>361.07181990238075</v>
      </c>
      <c r="Q160" s="61">
        <v>334.38589500946307</v>
      </c>
      <c r="R160" s="61">
        <v>270.9433210479131</v>
      </c>
      <c r="S160" s="61">
        <v>420.90845701763124</v>
      </c>
      <c r="T160" s="61">
        <v>458.2129694192649</v>
      </c>
      <c r="U160" s="61" t="s">
        <v>23</v>
      </c>
      <c r="V160" s="62">
        <v>340.9801773084969</v>
      </c>
      <c r="W160" s="62">
        <v>258.9899392369758</v>
      </c>
      <c r="X160" s="62" t="s">
        <v>23</v>
      </c>
      <c r="Y160" s="63">
        <v>283.8928180097619</v>
      </c>
      <c r="Z160" s="63">
        <v>304.40282896702854</v>
      </c>
    </row>
    <row r="161" ht="14.25" customHeight="1">
      <c r="A161" s="64">
        <v>44867.0</v>
      </c>
      <c r="B161" s="65">
        <v>376.99</v>
      </c>
      <c r="C161" s="65">
        <v>342.86</v>
      </c>
      <c r="D161" s="65">
        <v>270.0</v>
      </c>
      <c r="E161" s="65">
        <v>426.32</v>
      </c>
      <c r="F161" s="65">
        <v>460.0</v>
      </c>
      <c r="G161" s="65" t="s">
        <v>23</v>
      </c>
      <c r="H161" s="66">
        <v>361.2</v>
      </c>
      <c r="I161" s="66" t="s">
        <v>23</v>
      </c>
      <c r="J161" s="66" t="s">
        <v>23</v>
      </c>
      <c r="K161" s="67" t="s">
        <v>23</v>
      </c>
      <c r="L161" s="67">
        <v>315.23</v>
      </c>
      <c r="M161" s="58"/>
      <c r="N161" s="59">
        <v>0.9908</v>
      </c>
      <c r="O161" s="60"/>
      <c r="P161" s="68">
        <v>380.49051271699636</v>
      </c>
      <c r="Q161" s="68">
        <v>346.0436011303997</v>
      </c>
      <c r="R161" s="68">
        <v>272.50706499798144</v>
      </c>
      <c r="S161" s="68">
        <v>430.2785627775535</v>
      </c>
      <c r="T161" s="68">
        <v>464.2712959224869</v>
      </c>
      <c r="U161" s="68" t="s">
        <v>23</v>
      </c>
      <c r="V161" s="66">
        <v>364.553895841744</v>
      </c>
      <c r="W161" s="66" t="s">
        <v>23</v>
      </c>
      <c r="X161" s="66" t="s">
        <v>23</v>
      </c>
      <c r="Y161" s="57" t="s">
        <v>23</v>
      </c>
      <c r="Z161" s="57">
        <v>318.15704481227294</v>
      </c>
    </row>
    <row r="162" ht="14.25" customHeight="1">
      <c r="A162" s="54">
        <v>44860.0</v>
      </c>
      <c r="B162" s="55">
        <v>384.16</v>
      </c>
      <c r="C162" s="55">
        <v>341.85</v>
      </c>
      <c r="D162" s="55">
        <v>270.0</v>
      </c>
      <c r="E162" s="55">
        <v>433.85</v>
      </c>
      <c r="F162" s="55">
        <v>460.0</v>
      </c>
      <c r="G162" s="55" t="s">
        <v>23</v>
      </c>
      <c r="H162" s="56">
        <v>368.09</v>
      </c>
      <c r="I162" s="56">
        <v>264.0</v>
      </c>
      <c r="J162" s="56">
        <v>353.030106</v>
      </c>
      <c r="K162" s="57">
        <v>284.0</v>
      </c>
      <c r="L162" s="57">
        <v>309.63</v>
      </c>
      <c r="M162" s="58"/>
      <c r="N162" s="59">
        <v>1.0023</v>
      </c>
      <c r="O162" s="60"/>
      <c r="P162" s="61">
        <v>383.27845954305104</v>
      </c>
      <c r="Q162" s="61">
        <v>341.0655492367555</v>
      </c>
      <c r="R162" s="61">
        <v>269.3804250224484</v>
      </c>
      <c r="S162" s="61">
        <v>432.85443479996013</v>
      </c>
      <c r="T162" s="61">
        <v>458.94442781602316</v>
      </c>
      <c r="U162" s="61" t="s">
        <v>23</v>
      </c>
      <c r="V162" s="62">
        <v>367.245335727826</v>
      </c>
      <c r="W162" s="62">
        <v>263.3941933552829</v>
      </c>
      <c r="X162" s="62">
        <v>352.22</v>
      </c>
      <c r="Y162" s="63">
        <v>283.34829891250126</v>
      </c>
      <c r="Z162" s="63">
        <v>308.9194851840766</v>
      </c>
    </row>
    <row r="163" ht="14.25" customHeight="1">
      <c r="A163" s="64">
        <v>44853.0</v>
      </c>
      <c r="B163" s="65">
        <v>384.43</v>
      </c>
      <c r="C163" s="65">
        <v>333.0</v>
      </c>
      <c r="D163" s="65">
        <v>280.0</v>
      </c>
      <c r="E163" s="65">
        <v>434.22</v>
      </c>
      <c r="F163" s="65">
        <v>452.0</v>
      </c>
      <c r="G163" s="65" t="s">
        <v>23</v>
      </c>
      <c r="H163" s="66">
        <v>357.56</v>
      </c>
      <c r="I163" s="66">
        <v>267.0</v>
      </c>
      <c r="J163" s="66">
        <v>336.157862</v>
      </c>
      <c r="K163" s="67">
        <v>285.0</v>
      </c>
      <c r="L163" s="67">
        <v>298.78</v>
      </c>
      <c r="M163" s="58"/>
      <c r="N163" s="59">
        <v>0.9778</v>
      </c>
      <c r="O163" s="60"/>
      <c r="P163" s="68">
        <v>393.1581100429536</v>
      </c>
      <c r="Q163" s="68">
        <v>340.5604418081407</v>
      </c>
      <c r="R163" s="68">
        <v>286.3571282470853</v>
      </c>
      <c r="S163" s="68">
        <v>444.0785436694621</v>
      </c>
      <c r="T163" s="68">
        <v>462.262221313152</v>
      </c>
      <c r="U163" s="68" t="s">
        <v>23</v>
      </c>
      <c r="V163" s="66">
        <v>365.6780527715279</v>
      </c>
      <c r="W163" s="66">
        <v>273.0619758641849</v>
      </c>
      <c r="X163" s="66">
        <v>343.79</v>
      </c>
      <c r="Y163" s="57">
        <v>291.47064839435467</v>
      </c>
      <c r="Z163" s="57">
        <v>305.5635099202291</v>
      </c>
    </row>
    <row r="164" ht="14.25" customHeight="1">
      <c r="A164" s="54">
        <v>44846.0</v>
      </c>
      <c r="B164" s="55">
        <v>397.66</v>
      </c>
      <c r="C164" s="55">
        <v>347.47</v>
      </c>
      <c r="D164" s="55">
        <v>285.0</v>
      </c>
      <c r="E164" s="55">
        <v>439.09</v>
      </c>
      <c r="F164" s="55">
        <v>452.0</v>
      </c>
      <c r="G164" s="55" t="s">
        <v>23</v>
      </c>
      <c r="H164" s="56">
        <v>353.53</v>
      </c>
      <c r="I164" s="56">
        <v>267.0</v>
      </c>
      <c r="J164" s="56">
        <v>344.35917400000005</v>
      </c>
      <c r="K164" s="57">
        <v>285.0</v>
      </c>
      <c r="L164" s="57">
        <v>308.71</v>
      </c>
      <c r="M164" s="58"/>
      <c r="N164" s="59">
        <v>0.9706</v>
      </c>
      <c r="O164" s="60"/>
      <c r="P164" s="61">
        <v>409.70533690500724</v>
      </c>
      <c r="Q164" s="61">
        <v>357.99505460539876</v>
      </c>
      <c r="R164" s="61">
        <v>293.63280445085513</v>
      </c>
      <c r="S164" s="61">
        <v>452.3902740572841</v>
      </c>
      <c r="T164" s="61">
        <v>465.6913249536369</v>
      </c>
      <c r="U164" s="61" t="s">
        <v>23</v>
      </c>
      <c r="V164" s="62">
        <v>364.2386152895116</v>
      </c>
      <c r="W164" s="62">
        <v>275.0875746960643</v>
      </c>
      <c r="X164" s="62">
        <v>354.79</v>
      </c>
      <c r="Y164" s="63">
        <v>293.63280445085513</v>
      </c>
      <c r="Z164" s="63">
        <v>318.0609932000824</v>
      </c>
    </row>
    <row r="165" ht="14.25" customHeight="1">
      <c r="A165" s="64">
        <v>44839.0</v>
      </c>
      <c r="B165" s="65">
        <v>404.92</v>
      </c>
      <c r="C165" s="65">
        <v>351.74</v>
      </c>
      <c r="D165" s="65">
        <v>280.0</v>
      </c>
      <c r="E165" s="65">
        <v>446.53</v>
      </c>
      <c r="F165" s="65">
        <v>435.0</v>
      </c>
      <c r="G165" s="65" t="s">
        <v>23</v>
      </c>
      <c r="H165" s="66">
        <v>334.24</v>
      </c>
      <c r="I165" s="66">
        <v>267.0</v>
      </c>
      <c r="J165" s="66" t="s">
        <v>23</v>
      </c>
      <c r="K165" s="67">
        <v>285.0</v>
      </c>
      <c r="L165" s="67">
        <v>317.21</v>
      </c>
      <c r="M165" s="58"/>
      <c r="N165" s="59">
        <v>0.9915</v>
      </c>
      <c r="O165" s="60"/>
      <c r="P165" s="68">
        <v>408.3913262733232</v>
      </c>
      <c r="Q165" s="68">
        <v>354.75542107917295</v>
      </c>
      <c r="R165" s="68">
        <v>282.40040342914773</v>
      </c>
      <c r="S165" s="68">
        <v>450.35804336863333</v>
      </c>
      <c r="T165" s="68">
        <v>438.7291981845688</v>
      </c>
      <c r="U165" s="68" t="s">
        <v>23</v>
      </c>
      <c r="V165" s="66">
        <v>337.10539586485123</v>
      </c>
      <c r="W165" s="66">
        <v>269.28895612708016</v>
      </c>
      <c r="X165" s="66" t="s">
        <v>23</v>
      </c>
      <c r="Y165" s="57">
        <v>287.44326777609683</v>
      </c>
      <c r="Z165" s="57">
        <v>319.92939989914265</v>
      </c>
    </row>
    <row r="166" ht="14.25" customHeight="1">
      <c r="A166" s="54">
        <v>44832.0</v>
      </c>
      <c r="B166" s="55">
        <v>399.86</v>
      </c>
      <c r="C166" s="55">
        <v>345.17</v>
      </c>
      <c r="D166" s="55">
        <v>280.0</v>
      </c>
      <c r="E166" s="55">
        <v>439.45</v>
      </c>
      <c r="F166" s="55">
        <v>420.0</v>
      </c>
      <c r="G166" s="55">
        <v>441.70213500000006</v>
      </c>
      <c r="H166" s="56">
        <v>322.23</v>
      </c>
      <c r="I166" s="56">
        <v>261.0</v>
      </c>
      <c r="J166" s="56" t="s">
        <v>23</v>
      </c>
      <c r="K166" s="57">
        <v>275.0</v>
      </c>
      <c r="L166" s="57">
        <v>310.33</v>
      </c>
      <c r="M166" s="58"/>
      <c r="N166" s="59">
        <v>0.9565</v>
      </c>
      <c r="O166" s="60"/>
      <c r="P166" s="61">
        <v>418.044955567172</v>
      </c>
      <c r="Q166" s="61">
        <v>360.8677469942499</v>
      </c>
      <c r="R166" s="61">
        <v>292.7339257710402</v>
      </c>
      <c r="S166" s="61">
        <v>459.4354417145844</v>
      </c>
      <c r="T166" s="61">
        <v>439.10088865656036</v>
      </c>
      <c r="U166" s="61">
        <v>461.7900000000001</v>
      </c>
      <c r="V166" s="62">
        <v>336.8844746471511</v>
      </c>
      <c r="W166" s="62">
        <v>272.8698379508625</v>
      </c>
      <c r="X166" s="62" t="s">
        <v>23</v>
      </c>
      <c r="Y166" s="63">
        <v>287.5065342394145</v>
      </c>
      <c r="Z166" s="63">
        <v>324.4432828018818</v>
      </c>
    </row>
    <row r="167" ht="14.25" customHeight="1">
      <c r="A167" s="64">
        <v>44825.0</v>
      </c>
      <c r="B167" s="65">
        <v>396.37</v>
      </c>
      <c r="C167" s="65">
        <v>348.34</v>
      </c>
      <c r="D167" s="65">
        <v>271.0</v>
      </c>
      <c r="E167" s="65">
        <v>437.98</v>
      </c>
      <c r="F167" s="65">
        <v>410.0</v>
      </c>
      <c r="G167" s="65" t="s">
        <v>23</v>
      </c>
      <c r="H167" s="66">
        <v>328.13</v>
      </c>
      <c r="I167" s="66">
        <v>262.0</v>
      </c>
      <c r="J167" s="66">
        <v>355.91267400000004</v>
      </c>
      <c r="K167" s="67">
        <v>275.0</v>
      </c>
      <c r="L167" s="67">
        <v>315.74</v>
      </c>
      <c r="M167" s="58"/>
      <c r="N167" s="59">
        <v>0.9906</v>
      </c>
      <c r="O167" s="60"/>
      <c r="P167" s="68">
        <v>400.1312335958005</v>
      </c>
      <c r="Q167" s="68">
        <v>351.64546739349885</v>
      </c>
      <c r="R167" s="68">
        <v>273.5715727841712</v>
      </c>
      <c r="S167" s="68">
        <v>442.13607914395317</v>
      </c>
      <c r="T167" s="68">
        <v>413.89057137088633</v>
      </c>
      <c r="U167" s="68" t="s">
        <v>23</v>
      </c>
      <c r="V167" s="66">
        <v>331.2436906925096</v>
      </c>
      <c r="W167" s="66">
        <v>264.486169997981</v>
      </c>
      <c r="X167" s="66">
        <v>359.29</v>
      </c>
      <c r="Y167" s="57">
        <v>277.6095295780335</v>
      </c>
      <c r="Z167" s="57">
        <v>318.7361195235211</v>
      </c>
    </row>
    <row r="168" ht="14.25" customHeight="1">
      <c r="A168" s="54">
        <v>44818.0</v>
      </c>
      <c r="B168" s="55">
        <v>386.64</v>
      </c>
      <c r="C168" s="55">
        <v>345.38</v>
      </c>
      <c r="D168" s="55">
        <v>271.0</v>
      </c>
      <c r="E168" s="55">
        <v>432.47</v>
      </c>
      <c r="F168" s="55">
        <v>410.0</v>
      </c>
      <c r="G168" s="55" t="s">
        <v>23</v>
      </c>
      <c r="H168" s="56">
        <v>325.67</v>
      </c>
      <c r="I168" s="56">
        <v>264.0</v>
      </c>
      <c r="J168" s="56">
        <v>347.44221000000005</v>
      </c>
      <c r="K168" s="57">
        <v>275.0</v>
      </c>
      <c r="L168" s="57">
        <v>313.41</v>
      </c>
      <c r="M168" s="58"/>
      <c r="N168" s="59">
        <v>0.999</v>
      </c>
      <c r="O168" s="60"/>
      <c r="P168" s="61">
        <v>387.02702702702703</v>
      </c>
      <c r="Q168" s="61">
        <v>345.72572572572574</v>
      </c>
      <c r="R168" s="61">
        <v>271.27127127127125</v>
      </c>
      <c r="S168" s="61">
        <v>432.90290290290295</v>
      </c>
      <c r="T168" s="61">
        <v>410.4104104104104</v>
      </c>
      <c r="U168" s="61" t="s">
        <v>23</v>
      </c>
      <c r="V168" s="62">
        <v>325.995995995996</v>
      </c>
      <c r="W168" s="62">
        <v>264.2642642642643</v>
      </c>
      <c r="X168" s="62">
        <v>347.79</v>
      </c>
      <c r="Y168" s="63">
        <v>275.27527527527525</v>
      </c>
      <c r="Z168" s="63">
        <v>313.72372372372377</v>
      </c>
    </row>
    <row r="169" ht="14.25" customHeight="1">
      <c r="A169" s="64">
        <v>44811.0</v>
      </c>
      <c r="B169" s="65">
        <v>356.97</v>
      </c>
      <c r="C169" s="65">
        <v>335.55</v>
      </c>
      <c r="D169" s="65">
        <v>266.0</v>
      </c>
      <c r="E169" s="65">
        <v>395.55</v>
      </c>
      <c r="F169" s="65">
        <v>425.0</v>
      </c>
      <c r="G169" s="65" t="s">
        <v>23</v>
      </c>
      <c r="H169" s="66">
        <v>324.69</v>
      </c>
      <c r="I169" s="66">
        <v>261.0</v>
      </c>
      <c r="J169" s="66">
        <v>344.77891500000004</v>
      </c>
      <c r="K169" s="67">
        <v>275.0</v>
      </c>
      <c r="L169" s="67">
        <v>300.77</v>
      </c>
      <c r="M169" s="58"/>
      <c r="N169" s="59">
        <v>0.9885</v>
      </c>
      <c r="O169" s="60"/>
      <c r="P169" s="68">
        <v>361.1229135053111</v>
      </c>
      <c r="Q169" s="68">
        <v>339.453717754173</v>
      </c>
      <c r="R169" s="68">
        <v>269.09458775923116</v>
      </c>
      <c r="S169" s="68">
        <v>400.15174506828527</v>
      </c>
      <c r="T169" s="68">
        <v>429.9443601416287</v>
      </c>
      <c r="U169" s="68" t="s">
        <v>23</v>
      </c>
      <c r="V169" s="66">
        <v>328.46737481031863</v>
      </c>
      <c r="W169" s="66">
        <v>264.03641881638845</v>
      </c>
      <c r="X169" s="66">
        <v>348.79</v>
      </c>
      <c r="Y169" s="57">
        <v>278.199291856348</v>
      </c>
      <c r="Z169" s="57">
        <v>304.2690945877592</v>
      </c>
    </row>
    <row r="170" ht="14.25" customHeight="1">
      <c r="A170" s="54">
        <v>44804.0</v>
      </c>
      <c r="B170" s="55">
        <v>348.7</v>
      </c>
      <c r="C170" s="55">
        <v>340.81</v>
      </c>
      <c r="D170" s="55" t="s">
        <v>23</v>
      </c>
      <c r="E170" s="55">
        <v>403.91</v>
      </c>
      <c r="F170" s="55">
        <v>450.0</v>
      </c>
      <c r="G170" s="55" t="s">
        <v>23</v>
      </c>
      <c r="H170" s="56">
        <v>322.33</v>
      </c>
      <c r="I170" s="56" t="s">
        <v>23</v>
      </c>
      <c r="J170" s="56">
        <v>339.79</v>
      </c>
      <c r="K170" s="57">
        <v>277.0</v>
      </c>
      <c r="L170" s="57">
        <v>302.58</v>
      </c>
      <c r="M170" s="58"/>
      <c r="N170" s="59">
        <v>1.0</v>
      </c>
      <c r="O170" s="60"/>
      <c r="P170" s="61">
        <v>348.7</v>
      </c>
      <c r="Q170" s="61">
        <v>340.81</v>
      </c>
      <c r="R170" s="61" t="s">
        <v>23</v>
      </c>
      <c r="S170" s="61">
        <v>403.91</v>
      </c>
      <c r="T170" s="61">
        <v>450.0</v>
      </c>
      <c r="U170" s="61" t="s">
        <v>23</v>
      </c>
      <c r="V170" s="62">
        <v>322.33</v>
      </c>
      <c r="W170" s="62" t="s">
        <v>23</v>
      </c>
      <c r="X170" s="62">
        <v>339.79</v>
      </c>
      <c r="Y170" s="63">
        <v>277.0</v>
      </c>
      <c r="Z170" s="63">
        <v>302.58</v>
      </c>
    </row>
    <row r="171" ht="14.25" customHeight="1">
      <c r="A171" s="64">
        <v>44797.0</v>
      </c>
      <c r="B171" s="65">
        <v>347.23</v>
      </c>
      <c r="C171" s="65">
        <v>333.6</v>
      </c>
      <c r="D171" s="65" t="s">
        <v>23</v>
      </c>
      <c r="E171" s="65">
        <v>396.56</v>
      </c>
      <c r="F171" s="65">
        <v>460.0</v>
      </c>
      <c r="G171" s="65" t="s">
        <v>23</v>
      </c>
      <c r="H171" s="66">
        <v>316.42</v>
      </c>
      <c r="I171" s="66" t="s">
        <v>23</v>
      </c>
      <c r="J171" s="66" t="s">
        <v>23</v>
      </c>
      <c r="K171" s="67">
        <v>278.0</v>
      </c>
      <c r="L171" s="67">
        <v>295.72</v>
      </c>
      <c r="M171" s="58"/>
      <c r="N171" s="59">
        <v>0.9934</v>
      </c>
      <c r="O171" s="60"/>
      <c r="P171" s="68">
        <v>349.53694382927324</v>
      </c>
      <c r="Q171" s="68">
        <v>335.81638816186836</v>
      </c>
      <c r="R171" s="68" t="s">
        <v>23</v>
      </c>
      <c r="S171" s="68">
        <v>399.19468492047514</v>
      </c>
      <c r="T171" s="68">
        <v>463.0561707267969</v>
      </c>
      <c r="U171" s="68" t="s">
        <v>23</v>
      </c>
      <c r="V171" s="66">
        <v>318.5222468290719</v>
      </c>
      <c r="W171" s="66" t="s">
        <v>23</v>
      </c>
      <c r="X171" s="66" t="s">
        <v>23</v>
      </c>
      <c r="Y171" s="57">
        <v>279.8469901348903</v>
      </c>
      <c r="Z171" s="57">
        <v>297.68471914636604</v>
      </c>
    </row>
    <row r="172" ht="14.25" customHeight="1">
      <c r="A172" s="54">
        <v>44790.0</v>
      </c>
      <c r="B172" s="55">
        <v>328.21</v>
      </c>
      <c r="C172" s="55">
        <v>336.01</v>
      </c>
      <c r="D172" s="55" t="s">
        <v>23</v>
      </c>
      <c r="E172" s="55">
        <v>376.99</v>
      </c>
      <c r="F172" s="55">
        <v>460.0</v>
      </c>
      <c r="G172" s="55" t="s">
        <v>23</v>
      </c>
      <c r="H172" s="56">
        <v>297.23</v>
      </c>
      <c r="I172" s="56" t="s">
        <v>23</v>
      </c>
      <c r="J172" s="56" t="s">
        <v>23</v>
      </c>
      <c r="K172" s="57">
        <v>290.0</v>
      </c>
      <c r="L172" s="57">
        <v>295.37</v>
      </c>
      <c r="M172" s="58"/>
      <c r="N172" s="59">
        <v>1.0164</v>
      </c>
      <c r="O172" s="60"/>
      <c r="P172" s="61">
        <v>322.9142070051161</v>
      </c>
      <c r="Q172" s="61">
        <v>330.5883510428965</v>
      </c>
      <c r="R172" s="61" t="s">
        <v>23</v>
      </c>
      <c r="S172" s="61">
        <v>370.9071231798505</v>
      </c>
      <c r="T172" s="61">
        <v>452.57772530499807</v>
      </c>
      <c r="U172" s="61" t="s">
        <v>23</v>
      </c>
      <c r="V172" s="62">
        <v>292.43408107044473</v>
      </c>
      <c r="W172" s="62" t="s">
        <v>23</v>
      </c>
      <c r="X172" s="62" t="s">
        <v>23</v>
      </c>
      <c r="Y172" s="63">
        <v>285.3207398661944</v>
      </c>
      <c r="Z172" s="63">
        <v>290.6040928768202</v>
      </c>
    </row>
    <row r="173" ht="14.25" customHeight="1">
      <c r="A173" s="64">
        <v>44783.0</v>
      </c>
      <c r="B173" s="65">
        <v>339.79</v>
      </c>
      <c r="C173" s="65">
        <v>356.16</v>
      </c>
      <c r="D173" s="65" t="s">
        <v>23</v>
      </c>
      <c r="E173" s="65">
        <v>381.31</v>
      </c>
      <c r="F173" s="65">
        <v>500.0</v>
      </c>
      <c r="G173" s="65" t="s">
        <v>23</v>
      </c>
      <c r="H173" s="66">
        <v>301.66</v>
      </c>
      <c r="I173" s="66" t="s">
        <v>23</v>
      </c>
      <c r="J173" s="66">
        <v>363.730708</v>
      </c>
      <c r="K173" s="67">
        <v>300.0</v>
      </c>
      <c r="L173" s="67">
        <v>312.77</v>
      </c>
      <c r="M173" s="58"/>
      <c r="N173" s="59">
        <v>1.0252</v>
      </c>
      <c r="O173" s="60"/>
      <c r="P173" s="68">
        <v>331.4377682403434</v>
      </c>
      <c r="Q173" s="68">
        <v>347.4053843152556</v>
      </c>
      <c r="R173" s="68" t="s">
        <v>23</v>
      </c>
      <c r="S173" s="68">
        <v>371.93718298868515</v>
      </c>
      <c r="T173" s="68">
        <v>487.7097151775264</v>
      </c>
      <c r="U173" s="68" t="s">
        <v>23</v>
      </c>
      <c r="V173" s="66">
        <v>294.24502536090523</v>
      </c>
      <c r="W173" s="66" t="s">
        <v>23</v>
      </c>
      <c r="X173" s="66">
        <v>354.79</v>
      </c>
      <c r="Y173" s="57">
        <v>292.6258291065158</v>
      </c>
      <c r="Z173" s="57">
        <v>305.0819352321498</v>
      </c>
    </row>
    <row r="174" ht="14.25" customHeight="1">
      <c r="A174" s="54">
        <v>44776.0</v>
      </c>
      <c r="B174" s="55">
        <v>322.89</v>
      </c>
      <c r="C174" s="55">
        <v>349.66</v>
      </c>
      <c r="D174" s="55" t="s">
        <v>23</v>
      </c>
      <c r="E174" s="55">
        <v>367.62</v>
      </c>
      <c r="F174" s="55">
        <v>520.0</v>
      </c>
      <c r="G174" s="55" t="s">
        <v>23</v>
      </c>
      <c r="H174" s="56">
        <v>293.88</v>
      </c>
      <c r="I174" s="56" t="s">
        <v>23</v>
      </c>
      <c r="J174" s="56" t="s">
        <v>23</v>
      </c>
      <c r="K174" s="57">
        <v>308.0</v>
      </c>
      <c r="L174" s="57">
        <v>304.02</v>
      </c>
      <c r="M174" s="58"/>
      <c r="N174" s="59">
        <v>1.0194</v>
      </c>
      <c r="O174" s="60"/>
      <c r="P174" s="61">
        <v>316.745144202472</v>
      </c>
      <c r="Q174" s="61">
        <v>343.0056896213459</v>
      </c>
      <c r="R174" s="61" t="s">
        <v>23</v>
      </c>
      <c r="S174" s="61">
        <v>360.62389640965273</v>
      </c>
      <c r="T174" s="61">
        <v>510.10398273494206</v>
      </c>
      <c r="U174" s="61" t="s">
        <v>23</v>
      </c>
      <c r="V174" s="62">
        <v>288.28722778104765</v>
      </c>
      <c r="W174" s="62" t="s">
        <v>23</v>
      </c>
      <c r="X174" s="62" t="s">
        <v>23</v>
      </c>
      <c r="Y174" s="63">
        <v>302.1385128506965</v>
      </c>
      <c r="Z174" s="63">
        <v>298.234255444379</v>
      </c>
    </row>
    <row r="175" ht="14.25" customHeight="1">
      <c r="A175" s="64">
        <v>44769.0</v>
      </c>
      <c r="B175" s="65">
        <v>330.79</v>
      </c>
      <c r="C175" s="65">
        <v>353.4</v>
      </c>
      <c r="D175" s="65" t="s">
        <v>23</v>
      </c>
      <c r="E175" s="65">
        <v>379.1</v>
      </c>
      <c r="F175" s="65">
        <v>575.0</v>
      </c>
      <c r="G175" s="65" t="s">
        <v>23</v>
      </c>
      <c r="H175" s="66">
        <v>303.23</v>
      </c>
      <c r="I175" s="66" t="s">
        <v>23</v>
      </c>
      <c r="J175" s="66">
        <v>369.18763200000006</v>
      </c>
      <c r="K175" s="67">
        <v>310.0</v>
      </c>
      <c r="L175" s="67">
        <v>304.91</v>
      </c>
      <c r="M175" s="58"/>
      <c r="N175" s="59">
        <v>1.0152</v>
      </c>
      <c r="O175" s="60"/>
      <c r="P175" s="68">
        <v>325.8372734436564</v>
      </c>
      <c r="Q175" s="68">
        <v>348.1087470449172</v>
      </c>
      <c r="R175" s="68" t="s">
        <v>23</v>
      </c>
      <c r="S175" s="68">
        <v>373.42395587076436</v>
      </c>
      <c r="T175" s="68">
        <v>566.3908589440504</v>
      </c>
      <c r="U175" s="68" t="s">
        <v>23</v>
      </c>
      <c r="V175" s="66">
        <v>298.68991331757286</v>
      </c>
      <c r="W175" s="66" t="s">
        <v>23</v>
      </c>
      <c r="X175" s="66">
        <v>363.66</v>
      </c>
      <c r="Y175" s="57">
        <v>305.35855003940105</v>
      </c>
      <c r="Z175" s="57">
        <v>300.3447596532703</v>
      </c>
    </row>
    <row r="176" ht="14.25" customHeight="1">
      <c r="A176" s="54">
        <v>44762.0</v>
      </c>
      <c r="B176" s="55">
        <v>341.53</v>
      </c>
      <c r="C176" s="55">
        <v>360.33</v>
      </c>
      <c r="D176" s="55" t="s">
        <v>23</v>
      </c>
      <c r="E176" s="55">
        <v>384.16</v>
      </c>
      <c r="F176" s="55">
        <v>575.0</v>
      </c>
      <c r="G176" s="55" t="s">
        <v>23</v>
      </c>
      <c r="H176" s="56">
        <v>302.05</v>
      </c>
      <c r="I176" s="56" t="s">
        <v>23</v>
      </c>
      <c r="J176" s="56" t="s">
        <v>23</v>
      </c>
      <c r="K176" s="57">
        <v>315.0</v>
      </c>
      <c r="L176" s="57">
        <v>309.26</v>
      </c>
      <c r="M176" s="58"/>
      <c r="N176" s="59">
        <v>1.0199</v>
      </c>
      <c r="O176" s="60"/>
      <c r="P176" s="61">
        <v>334.8661633493479</v>
      </c>
      <c r="Q176" s="61">
        <v>353.29934307285026</v>
      </c>
      <c r="R176" s="61" t="s">
        <v>23</v>
      </c>
      <c r="S176" s="61">
        <v>376.6643788606726</v>
      </c>
      <c r="T176" s="61">
        <v>563.7807628198843</v>
      </c>
      <c r="U176" s="61" t="s">
        <v>23</v>
      </c>
      <c r="V176" s="62">
        <v>296.15648592999315</v>
      </c>
      <c r="W176" s="62" t="s">
        <v>23</v>
      </c>
      <c r="X176" s="62" t="s">
        <v>23</v>
      </c>
      <c r="Y176" s="63">
        <v>308.8538091969801</v>
      </c>
      <c r="Z176" s="63">
        <v>303.22580645161287</v>
      </c>
    </row>
    <row r="177" ht="14.25" customHeight="1">
      <c r="A177" s="64">
        <v>44755.0</v>
      </c>
      <c r="B177" s="65">
        <v>329.13</v>
      </c>
      <c r="C177" s="65">
        <v>356.51</v>
      </c>
      <c r="D177" s="65" t="s">
        <v>23</v>
      </c>
      <c r="E177" s="65">
        <v>375.61</v>
      </c>
      <c r="F177" s="65">
        <v>575.0</v>
      </c>
      <c r="G177" s="65" t="s">
        <v>23</v>
      </c>
      <c r="H177" s="66">
        <v>311.01</v>
      </c>
      <c r="I177" s="66" t="s">
        <v>23</v>
      </c>
      <c r="J177" s="66" t="s">
        <v>23</v>
      </c>
      <c r="K177" s="67">
        <v>315.0</v>
      </c>
      <c r="L177" s="67">
        <v>308.65</v>
      </c>
      <c r="M177" s="58"/>
      <c r="N177" s="59">
        <v>1.0067</v>
      </c>
      <c r="O177" s="60"/>
      <c r="P177" s="68">
        <v>326.93950531439356</v>
      </c>
      <c r="Q177" s="68">
        <v>354.1372802225092</v>
      </c>
      <c r="R177" s="68" t="s">
        <v>23</v>
      </c>
      <c r="S177" s="68">
        <v>373.1101619151684</v>
      </c>
      <c r="T177" s="68">
        <v>571.1731399622529</v>
      </c>
      <c r="U177" s="68" t="s">
        <v>23</v>
      </c>
      <c r="V177" s="66">
        <v>308.94010132114835</v>
      </c>
      <c r="W177" s="66" t="s">
        <v>23</v>
      </c>
      <c r="X177" s="66" t="s">
        <v>23</v>
      </c>
      <c r="Y177" s="57">
        <v>312.90354624019074</v>
      </c>
      <c r="Z177" s="57">
        <v>306.59580808582496</v>
      </c>
    </row>
    <row r="178" ht="14.25" customHeight="1">
      <c r="A178" s="54">
        <v>44748.0</v>
      </c>
      <c r="B178" s="55">
        <v>314.99</v>
      </c>
      <c r="C178" s="55">
        <v>344.48</v>
      </c>
      <c r="D178" s="55" t="s">
        <v>23</v>
      </c>
      <c r="E178" s="55">
        <v>372.67</v>
      </c>
      <c r="F178" s="55">
        <v>575.0</v>
      </c>
      <c r="G178" s="55" t="s">
        <v>23</v>
      </c>
      <c r="H178" s="56">
        <v>316.82</v>
      </c>
      <c r="I178" s="56" t="s">
        <v>23</v>
      </c>
      <c r="J178" s="56" t="s">
        <v>23</v>
      </c>
      <c r="K178" s="57">
        <v>330.0</v>
      </c>
      <c r="L178" s="57">
        <v>297.71</v>
      </c>
      <c r="M178" s="58"/>
      <c r="N178" s="59">
        <v>1.0177</v>
      </c>
      <c r="O178" s="60"/>
      <c r="P178" s="61">
        <v>309.51164390291837</v>
      </c>
      <c r="Q178" s="61">
        <v>338.48874914021815</v>
      </c>
      <c r="R178" s="61" t="s">
        <v>23</v>
      </c>
      <c r="S178" s="61">
        <v>366.1884641839442</v>
      </c>
      <c r="T178" s="61">
        <v>564.9995086960794</v>
      </c>
      <c r="U178" s="61" t="s">
        <v>23</v>
      </c>
      <c r="V178" s="62">
        <v>311.3098162523337</v>
      </c>
      <c r="W178" s="62" t="s">
        <v>23</v>
      </c>
      <c r="X178" s="62" t="s">
        <v>23</v>
      </c>
      <c r="Y178" s="63">
        <v>324.26058759948904</v>
      </c>
      <c r="Z178" s="63">
        <v>292.5321804067996</v>
      </c>
    </row>
    <row r="179" ht="14.25" customHeight="1">
      <c r="A179" s="64">
        <v>44741.0</v>
      </c>
      <c r="B179" s="65">
        <v>356.6</v>
      </c>
      <c r="C179" s="65">
        <v>387.35</v>
      </c>
      <c r="D179" s="65" t="s">
        <v>23</v>
      </c>
      <c r="E179" s="65">
        <v>422.64</v>
      </c>
      <c r="F179" s="65">
        <v>575.0</v>
      </c>
      <c r="G179" s="65">
        <v>553.1942</v>
      </c>
      <c r="H179" s="66">
        <v>344.57</v>
      </c>
      <c r="I179" s="66" t="s">
        <v>23</v>
      </c>
      <c r="J179" s="66" t="s">
        <v>23</v>
      </c>
      <c r="K179" s="67">
        <v>350.0</v>
      </c>
      <c r="L179" s="67">
        <v>340.21</v>
      </c>
      <c r="M179" s="58"/>
      <c r="N179" s="59">
        <v>1.0517</v>
      </c>
      <c r="O179" s="60"/>
      <c r="P179" s="68">
        <v>339.07007701816104</v>
      </c>
      <c r="Q179" s="68">
        <v>368.3084529808881</v>
      </c>
      <c r="R179" s="68" t="s">
        <v>23</v>
      </c>
      <c r="S179" s="68">
        <v>401.8636493296567</v>
      </c>
      <c r="T179" s="68">
        <v>546.733859465627</v>
      </c>
      <c r="U179" s="68">
        <v>526.0</v>
      </c>
      <c r="V179" s="66">
        <v>327.6314538366454</v>
      </c>
      <c r="W179" s="66" t="s">
        <v>23</v>
      </c>
      <c r="X179" s="66" t="s">
        <v>23</v>
      </c>
      <c r="Y179" s="57">
        <v>332.7945231529904</v>
      </c>
      <c r="Z179" s="57">
        <v>323.48578491965384</v>
      </c>
    </row>
    <row r="180" ht="14.25" customHeight="1">
      <c r="A180" s="54">
        <v>44734.0</v>
      </c>
      <c r="B180" s="55">
        <v>379.01</v>
      </c>
      <c r="C180" s="55">
        <v>403.89</v>
      </c>
      <c r="D180" s="55" t="s">
        <v>23</v>
      </c>
      <c r="E180" s="55">
        <v>442.49</v>
      </c>
      <c r="F180" s="55">
        <v>575.0</v>
      </c>
      <c r="G180" s="55">
        <v>568.134</v>
      </c>
      <c r="H180" s="56">
        <v>346.83</v>
      </c>
      <c r="I180" s="56" t="s">
        <v>23</v>
      </c>
      <c r="J180" s="56" t="s">
        <v>23</v>
      </c>
      <c r="K180" s="57">
        <v>375.0</v>
      </c>
      <c r="L180" s="57">
        <v>354.17</v>
      </c>
      <c r="M180" s="58"/>
      <c r="N180" s="59">
        <v>1.0521</v>
      </c>
      <c r="O180" s="60"/>
      <c r="P180" s="61">
        <v>360.2414219180686</v>
      </c>
      <c r="Q180" s="61">
        <v>383.88936412888506</v>
      </c>
      <c r="R180" s="61" t="s">
        <v>23</v>
      </c>
      <c r="S180" s="61">
        <v>420.5778918353769</v>
      </c>
      <c r="T180" s="61">
        <v>546.525995627792</v>
      </c>
      <c r="U180" s="61">
        <v>540.0</v>
      </c>
      <c r="V180" s="62">
        <v>329.65497576276016</v>
      </c>
      <c r="W180" s="62" t="s">
        <v>23</v>
      </c>
      <c r="X180" s="62" t="s">
        <v>23</v>
      </c>
      <c r="Y180" s="63">
        <v>356.42999714856</v>
      </c>
      <c r="Z180" s="63">
        <v>336.631498906948</v>
      </c>
    </row>
    <row r="181" ht="14.25" customHeight="1">
      <c r="A181" s="64">
        <v>44727.0</v>
      </c>
      <c r="B181" s="65">
        <v>407.86</v>
      </c>
      <c r="C181" s="65">
        <v>413.08</v>
      </c>
      <c r="D181" s="65" t="s">
        <v>23</v>
      </c>
      <c r="E181" s="65">
        <v>475.19</v>
      </c>
      <c r="F181" s="65">
        <v>575.0</v>
      </c>
      <c r="G181" s="65">
        <v>552.843</v>
      </c>
      <c r="H181" s="66">
        <v>344.87</v>
      </c>
      <c r="I181" s="66" t="s">
        <v>23</v>
      </c>
      <c r="J181" s="66">
        <v>359.066313</v>
      </c>
      <c r="K181" s="67">
        <v>382.0</v>
      </c>
      <c r="L181" s="67">
        <v>365.32</v>
      </c>
      <c r="M181" s="58"/>
      <c r="N181" s="59">
        <v>1.0431</v>
      </c>
      <c r="O181" s="60"/>
      <c r="P181" s="68">
        <v>391.0075735787557</v>
      </c>
      <c r="Q181" s="68">
        <v>396.01188764260377</v>
      </c>
      <c r="R181" s="68" t="s">
        <v>23</v>
      </c>
      <c r="S181" s="68">
        <v>455.5555555555556</v>
      </c>
      <c r="T181" s="68">
        <v>551.2414917074107</v>
      </c>
      <c r="U181" s="68">
        <v>530.0</v>
      </c>
      <c r="V181" s="66">
        <v>330.6202665132778</v>
      </c>
      <c r="W181" s="66" t="s">
        <v>23</v>
      </c>
      <c r="X181" s="66">
        <v>344.23</v>
      </c>
      <c r="Y181" s="57">
        <v>366.21608666474935</v>
      </c>
      <c r="Z181" s="57">
        <v>350.2252900009587</v>
      </c>
    </row>
    <row r="182" ht="14.25" customHeight="1">
      <c r="A182" s="54">
        <v>44720.0</v>
      </c>
      <c r="B182" s="55">
        <v>416.95</v>
      </c>
      <c r="C182" s="55">
        <v>418.64</v>
      </c>
      <c r="D182" s="55" t="s">
        <v>23</v>
      </c>
      <c r="E182" s="55">
        <v>483.18</v>
      </c>
      <c r="F182" s="55">
        <v>575.0</v>
      </c>
      <c r="G182" s="55">
        <v>553.0585000000001</v>
      </c>
      <c r="H182" s="56">
        <v>341.13</v>
      </c>
      <c r="I182" s="56" t="s">
        <v>23</v>
      </c>
      <c r="J182" s="56">
        <v>357.31874700000003</v>
      </c>
      <c r="K182" s="57">
        <v>382.0</v>
      </c>
      <c r="L182" s="57">
        <v>372.46</v>
      </c>
      <c r="M182" s="58"/>
      <c r="N182" s="59">
        <v>1.0739</v>
      </c>
      <c r="O182" s="60"/>
      <c r="P182" s="61">
        <v>388.2577521184467</v>
      </c>
      <c r="Q182" s="61">
        <v>389.83145544277863</v>
      </c>
      <c r="R182" s="61" t="s">
        <v>23</v>
      </c>
      <c r="S182" s="61">
        <v>449.930161095074</v>
      </c>
      <c r="T182" s="61">
        <v>535.4316044324424</v>
      </c>
      <c r="U182" s="61">
        <v>515.0</v>
      </c>
      <c r="V182" s="62">
        <v>317.6552751652854</v>
      </c>
      <c r="W182" s="62" t="s">
        <v>23</v>
      </c>
      <c r="X182" s="62">
        <v>332.73</v>
      </c>
      <c r="Y182" s="63">
        <v>355.7128224229444</v>
      </c>
      <c r="Z182" s="63">
        <v>346.8293137163609</v>
      </c>
    </row>
    <row r="183" ht="14.25" customHeight="1">
      <c r="A183" s="64">
        <v>44713.0</v>
      </c>
      <c r="B183" s="65">
        <v>408.31</v>
      </c>
      <c r="C183" s="65">
        <v>428.94</v>
      </c>
      <c r="D183" s="65" t="s">
        <v>23</v>
      </c>
      <c r="E183" s="65">
        <v>475.19</v>
      </c>
      <c r="F183" s="65">
        <v>570.0</v>
      </c>
      <c r="G183" s="65" t="s">
        <v>23</v>
      </c>
      <c r="H183" s="66">
        <v>327.25</v>
      </c>
      <c r="I183" s="66" t="s">
        <v>23</v>
      </c>
      <c r="J183" s="66" t="s">
        <v>23</v>
      </c>
      <c r="K183" s="67">
        <v>382.0</v>
      </c>
      <c r="L183" s="67">
        <v>400.2</v>
      </c>
      <c r="M183" s="58"/>
      <c r="N183" s="59">
        <v>1.0712</v>
      </c>
      <c r="O183" s="60"/>
      <c r="P183" s="68">
        <v>381.1706497386109</v>
      </c>
      <c r="Q183" s="68">
        <v>400.42942494398807</v>
      </c>
      <c r="R183" s="68" t="s">
        <v>23</v>
      </c>
      <c r="S183" s="68">
        <v>443.6053024645258</v>
      </c>
      <c r="T183" s="68">
        <v>532.1135175504107</v>
      </c>
      <c r="U183" s="68" t="s">
        <v>23</v>
      </c>
      <c r="V183" s="66">
        <v>305.49850634802095</v>
      </c>
      <c r="W183" s="66" t="s">
        <v>23</v>
      </c>
      <c r="X183" s="66" t="s">
        <v>23</v>
      </c>
      <c r="Y183" s="57">
        <v>356.6094100074683</v>
      </c>
      <c r="Z183" s="57">
        <v>373.59970126960417</v>
      </c>
    </row>
    <row r="184" ht="14.25" customHeight="1">
      <c r="A184" s="54">
        <v>44706.0</v>
      </c>
      <c r="B184" s="55">
        <v>456.82</v>
      </c>
      <c r="C184" s="55">
        <v>441.24</v>
      </c>
      <c r="D184" s="55" t="s">
        <v>23</v>
      </c>
      <c r="E184" s="55">
        <v>524.79</v>
      </c>
      <c r="F184" s="55">
        <v>570.0</v>
      </c>
      <c r="G184" s="55" t="s">
        <v>23</v>
      </c>
      <c r="H184" s="56">
        <v>343.39</v>
      </c>
      <c r="I184" s="56" t="s">
        <v>23</v>
      </c>
      <c r="J184" s="56">
        <v>387.66528000000005</v>
      </c>
      <c r="K184" s="57">
        <v>385.0</v>
      </c>
      <c r="L184" s="57">
        <v>413.53</v>
      </c>
      <c r="M184" s="58"/>
      <c r="N184" s="59">
        <v>1.0656</v>
      </c>
      <c r="O184" s="60"/>
      <c r="P184" s="61">
        <v>428.6974474474474</v>
      </c>
      <c r="Q184" s="61">
        <v>414.07657657657654</v>
      </c>
      <c r="R184" s="61" t="s">
        <v>23</v>
      </c>
      <c r="S184" s="61">
        <v>492.483108108108</v>
      </c>
      <c r="T184" s="61">
        <v>534.9099099099099</v>
      </c>
      <c r="U184" s="61" t="s">
        <v>23</v>
      </c>
      <c r="V184" s="62">
        <v>322.2503753753753</v>
      </c>
      <c r="W184" s="62" t="s">
        <v>23</v>
      </c>
      <c r="X184" s="62">
        <v>363.8</v>
      </c>
      <c r="Y184" s="63">
        <v>361.29879879879877</v>
      </c>
      <c r="Z184" s="63">
        <v>388.07244744744736</v>
      </c>
    </row>
    <row r="185" ht="14.25" customHeight="1">
      <c r="A185" s="64">
        <v>44699.0</v>
      </c>
      <c r="B185" s="65">
        <v>487.13</v>
      </c>
      <c r="C185" s="65">
        <v>465.81</v>
      </c>
      <c r="D185" s="65" t="s">
        <v>23</v>
      </c>
      <c r="E185" s="65">
        <v>560.16</v>
      </c>
      <c r="F185" s="65">
        <v>575.0</v>
      </c>
      <c r="G185" s="65" t="s">
        <v>23</v>
      </c>
      <c r="H185" s="66">
        <v>349.0</v>
      </c>
      <c r="I185" s="66" t="s">
        <v>23</v>
      </c>
      <c r="J185" s="66">
        <v>399.13739000000004</v>
      </c>
      <c r="K185" s="67">
        <v>385.0</v>
      </c>
      <c r="L185" s="67">
        <v>446.93</v>
      </c>
      <c r="M185" s="58"/>
      <c r="N185" s="59">
        <v>1.0523</v>
      </c>
      <c r="O185" s="60"/>
      <c r="P185" s="68">
        <v>462.9193195856695</v>
      </c>
      <c r="Q185" s="68">
        <v>442.6589375653331</v>
      </c>
      <c r="R185" s="68" t="s">
        <v>23</v>
      </c>
      <c r="S185" s="68">
        <v>532.3196806994202</v>
      </c>
      <c r="T185" s="68">
        <v>546.4221229687352</v>
      </c>
      <c r="U185" s="68" t="s">
        <v>23</v>
      </c>
      <c r="V185" s="66">
        <v>331.6544711584149</v>
      </c>
      <c r="W185" s="66" t="s">
        <v>23</v>
      </c>
      <c r="X185" s="66">
        <v>379.3</v>
      </c>
      <c r="Y185" s="57">
        <v>365.86524755297916</v>
      </c>
      <c r="Z185" s="57">
        <v>424.7172859450727</v>
      </c>
    </row>
    <row r="186" ht="14.25" customHeight="1">
      <c r="A186" s="54">
        <v>44692.0</v>
      </c>
      <c r="B186" s="55">
        <v>451.49</v>
      </c>
      <c r="C186" s="55">
        <v>429.99</v>
      </c>
      <c r="D186" s="55" t="s">
        <v>23</v>
      </c>
      <c r="E186" s="55">
        <v>513.03</v>
      </c>
      <c r="F186" s="55">
        <v>575.0</v>
      </c>
      <c r="G186" s="55" t="s">
        <v>23</v>
      </c>
      <c r="H186" s="56">
        <v>357.17</v>
      </c>
      <c r="I186" s="56" t="s">
        <v>23</v>
      </c>
      <c r="J186" s="56" t="s">
        <v>23</v>
      </c>
      <c r="K186" s="57">
        <v>385.0</v>
      </c>
      <c r="L186" s="57">
        <v>422.61</v>
      </c>
      <c r="M186" s="58"/>
      <c r="N186" s="59">
        <v>1.0553</v>
      </c>
      <c r="O186" s="60"/>
      <c r="P186" s="61">
        <v>427.83094854543737</v>
      </c>
      <c r="Q186" s="61">
        <v>407.45759499668344</v>
      </c>
      <c r="R186" s="61" t="s">
        <v>23</v>
      </c>
      <c r="S186" s="61">
        <v>486.14611958684736</v>
      </c>
      <c r="T186" s="61">
        <v>544.8687576992324</v>
      </c>
      <c r="U186" s="61" t="s">
        <v>23</v>
      </c>
      <c r="V186" s="62">
        <v>338.4535203259737</v>
      </c>
      <c r="W186" s="62" t="s">
        <v>23</v>
      </c>
      <c r="X186" s="62" t="s">
        <v>23</v>
      </c>
      <c r="Y186" s="63">
        <v>364.82516819861655</v>
      </c>
      <c r="Z186" s="63">
        <v>400.46432294134377</v>
      </c>
    </row>
    <row r="187" ht="14.25" customHeight="1">
      <c r="A187" s="64">
        <v>44685.0</v>
      </c>
      <c r="B187" s="65">
        <v>435.78</v>
      </c>
      <c r="C187" s="65">
        <v>416.38</v>
      </c>
      <c r="D187" s="65" t="s">
        <v>23</v>
      </c>
      <c r="E187" s="65">
        <v>482.26</v>
      </c>
      <c r="F187" s="65">
        <v>575.0</v>
      </c>
      <c r="G187" s="65" t="s">
        <v>23</v>
      </c>
      <c r="H187" s="66">
        <v>357.66</v>
      </c>
      <c r="I187" s="66" t="s">
        <v>23</v>
      </c>
      <c r="J187" s="66">
        <v>396.28153</v>
      </c>
      <c r="K187" s="67">
        <v>385.0</v>
      </c>
      <c r="L187" s="67">
        <v>417.43</v>
      </c>
      <c r="M187" s="58"/>
      <c r="N187" s="59">
        <v>1.0531</v>
      </c>
      <c r="O187" s="60"/>
      <c r="P187" s="68">
        <v>413.80685594910267</v>
      </c>
      <c r="Q187" s="68">
        <v>395.38505365112525</v>
      </c>
      <c r="R187" s="68" t="s">
        <v>23</v>
      </c>
      <c r="S187" s="68">
        <v>457.9432152692052</v>
      </c>
      <c r="T187" s="68">
        <v>546.0070268730416</v>
      </c>
      <c r="U187" s="68" t="s">
        <v>23</v>
      </c>
      <c r="V187" s="66">
        <v>339.62586648941226</v>
      </c>
      <c r="W187" s="66" t="s">
        <v>23</v>
      </c>
      <c r="X187" s="66">
        <v>376.3</v>
      </c>
      <c r="Y187" s="57">
        <v>365.5873136454278</v>
      </c>
      <c r="Z187" s="57">
        <v>396.3821099610674</v>
      </c>
    </row>
    <row r="188" ht="14.25" customHeight="1">
      <c r="A188" s="54">
        <v>44678.0</v>
      </c>
      <c r="B188" s="55">
        <v>440.92</v>
      </c>
      <c r="C188" s="55">
        <v>440.88</v>
      </c>
      <c r="D188" s="55" t="s">
        <v>23</v>
      </c>
      <c r="E188" s="55">
        <v>500.91</v>
      </c>
      <c r="F188" s="55">
        <v>580.0</v>
      </c>
      <c r="G188" s="55" t="s">
        <v>23</v>
      </c>
      <c r="H188" s="56">
        <v>362.38</v>
      </c>
      <c r="I188" s="56" t="s">
        <v>23</v>
      </c>
      <c r="J188" s="56">
        <v>387.46479600000004</v>
      </c>
      <c r="K188" s="57">
        <v>385.0</v>
      </c>
      <c r="L188" s="57">
        <v>434.55</v>
      </c>
      <c r="M188" s="58"/>
      <c r="N188" s="59">
        <v>1.0583</v>
      </c>
      <c r="O188" s="60"/>
      <c r="P188" s="61">
        <v>416.6304450533875</v>
      </c>
      <c r="Q188" s="61">
        <v>416.5926485873571</v>
      </c>
      <c r="R188" s="61" t="s">
        <v>23</v>
      </c>
      <c r="S188" s="61">
        <v>473.3156949825192</v>
      </c>
      <c r="T188" s="61">
        <v>548.0487574411792</v>
      </c>
      <c r="U188" s="61" t="s">
        <v>23</v>
      </c>
      <c r="V188" s="62">
        <v>342.41708400264577</v>
      </c>
      <c r="W188" s="62" t="s">
        <v>23</v>
      </c>
      <c r="X188" s="62">
        <v>366.12</v>
      </c>
      <c r="Y188" s="63">
        <v>363.79098554285173</v>
      </c>
      <c r="Z188" s="63">
        <v>410.6113578380421</v>
      </c>
    </row>
    <row r="189" ht="14.25" customHeight="1">
      <c r="A189" s="64">
        <v>44671.0</v>
      </c>
      <c r="B189" s="65">
        <v>443.86</v>
      </c>
      <c r="C189" s="65">
        <v>441.9</v>
      </c>
      <c r="D189" s="65" t="s">
        <v>23</v>
      </c>
      <c r="E189" s="65">
        <v>510.09</v>
      </c>
      <c r="F189" s="65">
        <v>600.0</v>
      </c>
      <c r="G189" s="65" t="s">
        <v>23</v>
      </c>
      <c r="H189" s="66">
        <v>364.45</v>
      </c>
      <c r="I189" s="66" t="s">
        <v>23</v>
      </c>
      <c r="J189" s="66">
        <v>376.47246</v>
      </c>
      <c r="K189" s="67">
        <v>385.0</v>
      </c>
      <c r="L189" s="67">
        <v>434.31</v>
      </c>
      <c r="M189" s="58"/>
      <c r="N189" s="59">
        <v>1.083</v>
      </c>
      <c r="O189" s="60"/>
      <c r="P189" s="68">
        <v>409.8430286241921</v>
      </c>
      <c r="Q189" s="68">
        <v>408.0332409972299</v>
      </c>
      <c r="R189" s="68" t="s">
        <v>23</v>
      </c>
      <c r="S189" s="68">
        <v>470.9972299168975</v>
      </c>
      <c r="T189" s="68">
        <v>554.016620498615</v>
      </c>
      <c r="U189" s="68" t="s">
        <v>23</v>
      </c>
      <c r="V189" s="66">
        <v>336.51892890120035</v>
      </c>
      <c r="W189" s="66" t="s">
        <v>23</v>
      </c>
      <c r="X189" s="66">
        <v>347.62</v>
      </c>
      <c r="Y189" s="57">
        <v>355.49399815327797</v>
      </c>
      <c r="Z189" s="57">
        <v>401.02493074792244</v>
      </c>
    </row>
    <row r="190" ht="14.25" customHeight="1">
      <c r="A190" s="54">
        <v>44664.0</v>
      </c>
      <c r="B190" s="55">
        <v>453.23</v>
      </c>
      <c r="C190" s="55">
        <v>443.71</v>
      </c>
      <c r="D190" s="55" t="s">
        <v>23</v>
      </c>
      <c r="E190" s="55">
        <v>514.04</v>
      </c>
      <c r="F190" s="55">
        <v>605.0</v>
      </c>
      <c r="G190" s="55">
        <v>474.579362</v>
      </c>
      <c r="H190" s="56">
        <v>355.69</v>
      </c>
      <c r="I190" s="56" t="s">
        <v>23</v>
      </c>
      <c r="J190" s="56">
        <v>377.14536200000003</v>
      </c>
      <c r="K190" s="57">
        <v>385.0</v>
      </c>
      <c r="L190" s="57">
        <v>440.45</v>
      </c>
      <c r="M190" s="58"/>
      <c r="N190" s="59">
        <v>1.0826</v>
      </c>
      <c r="O190" s="60"/>
      <c r="P190" s="61">
        <v>418.6495473859228</v>
      </c>
      <c r="Q190" s="61">
        <v>409.8559024570478</v>
      </c>
      <c r="R190" s="61" t="s">
        <v>23</v>
      </c>
      <c r="S190" s="61">
        <v>474.81987807130974</v>
      </c>
      <c r="T190" s="61">
        <v>558.8398300387955</v>
      </c>
      <c r="U190" s="61">
        <v>438.37</v>
      </c>
      <c r="V190" s="62">
        <v>328.55163495289116</v>
      </c>
      <c r="W190" s="62" t="s">
        <v>23</v>
      </c>
      <c r="X190" s="62">
        <v>348.37</v>
      </c>
      <c r="Y190" s="63">
        <v>355.6253463883244</v>
      </c>
      <c r="Z190" s="63">
        <v>406.8446332902272</v>
      </c>
    </row>
    <row r="191" ht="14.25" customHeight="1">
      <c r="A191" s="64">
        <v>44657.0</v>
      </c>
      <c r="B191" s="65">
        <v>432.93</v>
      </c>
      <c r="C191" s="65">
        <v>414.67</v>
      </c>
      <c r="D191" s="65" t="s">
        <v>23</v>
      </c>
      <c r="E191" s="65">
        <v>481.34</v>
      </c>
      <c r="F191" s="65">
        <v>605.0</v>
      </c>
      <c r="G191" s="65">
        <v>489.75455100000005</v>
      </c>
      <c r="H191" s="66">
        <v>356.87</v>
      </c>
      <c r="I191" s="66" t="s">
        <v>23</v>
      </c>
      <c r="J191" s="66" t="s">
        <v>23</v>
      </c>
      <c r="K191" s="67">
        <v>385.0</v>
      </c>
      <c r="L191" s="67">
        <v>408.13</v>
      </c>
      <c r="M191" s="58"/>
      <c r="N191" s="59">
        <v>1.0923</v>
      </c>
      <c r="O191" s="60"/>
      <c r="P191" s="68">
        <v>396.3471573743477</v>
      </c>
      <c r="Q191" s="68">
        <v>379.63013824041013</v>
      </c>
      <c r="R191" s="68" t="s">
        <v>23</v>
      </c>
      <c r="S191" s="68">
        <v>440.66648356678564</v>
      </c>
      <c r="T191" s="68">
        <v>553.877139979859</v>
      </c>
      <c r="U191" s="68">
        <v>448.37</v>
      </c>
      <c r="V191" s="66">
        <v>326.71427263572275</v>
      </c>
      <c r="W191" s="66" t="s">
        <v>23</v>
      </c>
      <c r="X191" s="66" t="s">
        <v>23</v>
      </c>
      <c r="Y191" s="57">
        <v>352.4672708962739</v>
      </c>
      <c r="Z191" s="57">
        <v>373.6427721321981</v>
      </c>
    </row>
    <row r="192" ht="14.25" customHeight="1">
      <c r="A192" s="54">
        <v>44650.0</v>
      </c>
      <c r="B192" s="55">
        <v>428.89</v>
      </c>
      <c r="C192" s="55">
        <v>421.03</v>
      </c>
      <c r="D192" s="55" t="s">
        <v>23</v>
      </c>
      <c r="E192" s="55">
        <v>464.62</v>
      </c>
      <c r="F192" s="55">
        <v>595.0</v>
      </c>
      <c r="G192" s="55" t="s">
        <v>23</v>
      </c>
      <c r="H192" s="56">
        <v>347.62</v>
      </c>
      <c r="I192" s="56" t="s">
        <v>23</v>
      </c>
      <c r="J192" s="56" t="s">
        <v>23</v>
      </c>
      <c r="K192" s="57">
        <v>410.0</v>
      </c>
      <c r="L192" s="57">
        <v>420.47</v>
      </c>
      <c r="M192" s="58"/>
      <c r="N192" s="59">
        <v>1.1126</v>
      </c>
      <c r="O192" s="60"/>
      <c r="P192" s="61">
        <v>385.4844508358799</v>
      </c>
      <c r="Q192" s="61">
        <v>378.4199173108035</v>
      </c>
      <c r="R192" s="61" t="s">
        <v>23</v>
      </c>
      <c r="S192" s="61">
        <v>417.59841811971955</v>
      </c>
      <c r="T192" s="61">
        <v>534.7833902570555</v>
      </c>
      <c r="U192" s="61" t="s">
        <v>23</v>
      </c>
      <c r="V192" s="62">
        <v>312.43933129606324</v>
      </c>
      <c r="W192" s="62" t="s">
        <v>23</v>
      </c>
      <c r="X192" s="62" t="s">
        <v>23</v>
      </c>
      <c r="Y192" s="63">
        <v>368.50620168973575</v>
      </c>
      <c r="Z192" s="63">
        <v>377.9165917670322</v>
      </c>
    </row>
    <row r="193" ht="14.25" customHeight="1">
      <c r="A193" s="64">
        <v>44643.0</v>
      </c>
      <c r="B193" s="65">
        <v>459.57</v>
      </c>
      <c r="C193" s="65">
        <v>449.06</v>
      </c>
      <c r="D193" s="65" t="s">
        <v>23</v>
      </c>
      <c r="E193" s="65">
        <v>491.08</v>
      </c>
      <c r="F193" s="65" t="s">
        <v>23</v>
      </c>
      <c r="G193" s="65" t="s">
        <v>23</v>
      </c>
      <c r="H193" s="66">
        <v>365.24</v>
      </c>
      <c r="I193" s="66" t="s">
        <v>23</v>
      </c>
      <c r="J193" s="66">
        <v>414.61784</v>
      </c>
      <c r="K193" s="67">
        <v>425.0</v>
      </c>
      <c r="L193" s="67">
        <v>435.86</v>
      </c>
      <c r="M193" s="58"/>
      <c r="N193" s="59">
        <v>1.0985</v>
      </c>
      <c r="O193" s="60"/>
      <c r="P193" s="68">
        <v>418.3614019116977</v>
      </c>
      <c r="Q193" s="68">
        <v>408.7938097405553</v>
      </c>
      <c r="R193" s="68" t="s">
        <v>23</v>
      </c>
      <c r="S193" s="68">
        <v>447.0459717796996</v>
      </c>
      <c r="T193" s="68" t="s">
        <v>23</v>
      </c>
      <c r="U193" s="68" t="s">
        <v>23</v>
      </c>
      <c r="V193" s="66">
        <v>332.4897587619481</v>
      </c>
      <c r="W193" s="66" t="s">
        <v>23</v>
      </c>
      <c r="X193" s="66">
        <v>377.44</v>
      </c>
      <c r="Y193" s="57">
        <v>386.89121529358215</v>
      </c>
      <c r="Z193" s="57">
        <v>396.7774237596723</v>
      </c>
    </row>
    <row r="194" ht="14.25" customHeight="1">
      <c r="A194" s="54">
        <v>44636.0</v>
      </c>
      <c r="B194" s="55">
        <v>446.16</v>
      </c>
      <c r="C194" s="55">
        <v>427.01</v>
      </c>
      <c r="D194" s="55" t="s">
        <v>23</v>
      </c>
      <c r="E194" s="55">
        <v>473.08</v>
      </c>
      <c r="F194" s="55" t="s">
        <v>23</v>
      </c>
      <c r="G194" s="55" t="s">
        <v>23</v>
      </c>
      <c r="H194" s="56">
        <v>362.19</v>
      </c>
      <c r="I194" s="56" t="s">
        <v>23</v>
      </c>
      <c r="J194" s="56">
        <v>417.706036</v>
      </c>
      <c r="K194" s="57">
        <v>425.0</v>
      </c>
      <c r="L194" s="57">
        <v>401.72</v>
      </c>
      <c r="M194" s="58"/>
      <c r="N194" s="59">
        <v>1.0994</v>
      </c>
      <c r="O194" s="60"/>
      <c r="P194" s="61">
        <v>405.8213571038749</v>
      </c>
      <c r="Q194" s="61">
        <v>388.40276514462437</v>
      </c>
      <c r="R194" s="61" t="s">
        <v>23</v>
      </c>
      <c r="S194" s="61">
        <v>430.3074404220484</v>
      </c>
      <c r="T194" s="61" t="s">
        <v>23</v>
      </c>
      <c r="U194" s="61" t="s">
        <v>23</v>
      </c>
      <c r="V194" s="62">
        <v>329.443332726942</v>
      </c>
      <c r="W194" s="62" t="s">
        <v>23</v>
      </c>
      <c r="X194" s="62">
        <v>379.94</v>
      </c>
      <c r="Y194" s="63">
        <v>386.57449517918866</v>
      </c>
      <c r="Z194" s="63">
        <v>365.39930871384394</v>
      </c>
    </row>
    <row r="195" ht="14.25" customHeight="1">
      <c r="A195" s="64">
        <v>44629.0</v>
      </c>
      <c r="B195" s="65">
        <v>494.75</v>
      </c>
      <c r="C195" s="65">
        <v>449.63</v>
      </c>
      <c r="D195" s="65" t="s">
        <v>23</v>
      </c>
      <c r="E195" s="65">
        <v>488.51</v>
      </c>
      <c r="F195" s="65" t="s">
        <v>23</v>
      </c>
      <c r="G195" s="65" t="s">
        <v>23</v>
      </c>
      <c r="H195" s="66">
        <v>359.43</v>
      </c>
      <c r="I195" s="66" t="s">
        <v>23</v>
      </c>
      <c r="J195" s="66" t="s">
        <v>23</v>
      </c>
      <c r="K195" s="67" t="s">
        <v>23</v>
      </c>
      <c r="L195" s="67">
        <v>427.49</v>
      </c>
      <c r="M195" s="58"/>
      <c r="N195" s="59">
        <v>1.0993</v>
      </c>
      <c r="O195" s="60"/>
      <c r="P195" s="68">
        <v>450.05912853634135</v>
      </c>
      <c r="Q195" s="68">
        <v>409.01482761757484</v>
      </c>
      <c r="R195" s="68" t="s">
        <v>23</v>
      </c>
      <c r="S195" s="68">
        <v>444.3827890475757</v>
      </c>
      <c r="T195" s="68" t="s">
        <v>23</v>
      </c>
      <c r="U195" s="68" t="s">
        <v>23</v>
      </c>
      <c r="V195" s="66">
        <v>326.9626125716365</v>
      </c>
      <c r="W195" s="66" t="s">
        <v>23</v>
      </c>
      <c r="X195" s="66" t="s">
        <v>23</v>
      </c>
      <c r="Y195" s="57" t="s">
        <v>23</v>
      </c>
      <c r="Z195" s="57">
        <v>388.87473846993544</v>
      </c>
    </row>
    <row r="196" ht="14.25" customHeight="1">
      <c r="A196" s="54">
        <v>44622.0</v>
      </c>
      <c r="B196" s="55">
        <v>444.05</v>
      </c>
      <c r="C196" s="55">
        <v>405.46</v>
      </c>
      <c r="D196" s="55">
        <v>362.0</v>
      </c>
      <c r="E196" s="55">
        <v>477.12</v>
      </c>
      <c r="F196" s="55">
        <v>640.0</v>
      </c>
      <c r="G196" s="55" t="s">
        <v>23</v>
      </c>
      <c r="H196" s="56">
        <v>342.11</v>
      </c>
      <c r="I196" s="56">
        <v>330.0</v>
      </c>
      <c r="J196" s="56">
        <v>380.313864</v>
      </c>
      <c r="K196" s="57">
        <v>300.0</v>
      </c>
      <c r="L196" s="57">
        <v>389.92</v>
      </c>
      <c r="M196" s="58"/>
      <c r="N196" s="59">
        <v>1.1106</v>
      </c>
      <c r="O196" s="60"/>
      <c r="P196" s="61">
        <v>399.82892130379975</v>
      </c>
      <c r="Q196" s="61">
        <v>365.081937691338</v>
      </c>
      <c r="R196" s="61">
        <v>325.94993697100665</v>
      </c>
      <c r="S196" s="61">
        <v>429.6056185845489</v>
      </c>
      <c r="T196" s="61">
        <v>576.2650819376913</v>
      </c>
      <c r="U196" s="61" t="s">
        <v>23</v>
      </c>
      <c r="V196" s="62">
        <v>308.04069872141184</v>
      </c>
      <c r="W196" s="62">
        <v>297.1366828741221</v>
      </c>
      <c r="X196" s="62">
        <v>342.44</v>
      </c>
      <c r="Y196" s="63">
        <v>270.12425715829283</v>
      </c>
      <c r="Z196" s="63">
        <v>351.0895011705384</v>
      </c>
    </row>
    <row r="197" ht="14.25" customHeight="1">
      <c r="A197" s="64">
        <v>44615.0</v>
      </c>
      <c r="B197" s="65">
        <v>376.99</v>
      </c>
      <c r="C197" s="65">
        <v>332.93</v>
      </c>
      <c r="D197" s="65">
        <v>295.0</v>
      </c>
      <c r="E197" s="65">
        <v>418.33</v>
      </c>
      <c r="F197" s="65">
        <v>640.0</v>
      </c>
      <c r="G197" s="65" t="s">
        <v>23</v>
      </c>
      <c r="H197" s="66">
        <v>312.09</v>
      </c>
      <c r="I197" s="66">
        <v>294.0</v>
      </c>
      <c r="J197" s="66">
        <v>311.971344</v>
      </c>
      <c r="K197" s="67">
        <v>297.0</v>
      </c>
      <c r="L197" s="67">
        <v>325.01</v>
      </c>
      <c r="M197" s="58"/>
      <c r="N197" s="59">
        <v>1.1344</v>
      </c>
      <c r="O197" s="60"/>
      <c r="P197" s="68">
        <v>332.32545839210155</v>
      </c>
      <c r="Q197" s="68">
        <v>293.48554301833565</v>
      </c>
      <c r="R197" s="68">
        <v>260.049365303244</v>
      </c>
      <c r="S197" s="68">
        <v>368.76763046544426</v>
      </c>
      <c r="T197" s="68">
        <v>564.1748942172073</v>
      </c>
      <c r="U197" s="68" t="s">
        <v>23</v>
      </c>
      <c r="V197" s="66">
        <v>275.1145980253878</v>
      </c>
      <c r="W197" s="66">
        <v>259.1678420310296</v>
      </c>
      <c r="X197" s="66">
        <v>275.01</v>
      </c>
      <c r="Y197" s="57">
        <v>261.81241184767276</v>
      </c>
      <c r="Z197" s="57">
        <v>286.50387870239774</v>
      </c>
    </row>
    <row r="198" ht="14.25" customHeight="1">
      <c r="A198" s="54">
        <v>44608.0</v>
      </c>
      <c r="B198" s="55">
        <v>340.06</v>
      </c>
      <c r="C198" s="55">
        <v>308.76</v>
      </c>
      <c r="D198" s="55">
        <v>299.0</v>
      </c>
      <c r="E198" s="55">
        <v>377.73</v>
      </c>
      <c r="F198" s="55">
        <v>650.0</v>
      </c>
      <c r="G198" s="55" t="s">
        <v>23</v>
      </c>
      <c r="H198" s="56">
        <v>298.02</v>
      </c>
      <c r="I198" s="56">
        <v>288.5</v>
      </c>
      <c r="J198" s="56">
        <v>293.408972</v>
      </c>
      <c r="K198" s="57">
        <v>297.0</v>
      </c>
      <c r="L198" s="57">
        <v>296.24</v>
      </c>
      <c r="M198" s="58"/>
      <c r="N198" s="59">
        <v>1.1372</v>
      </c>
      <c r="O198" s="60"/>
      <c r="P198" s="61">
        <v>299.03271192402394</v>
      </c>
      <c r="Q198" s="61">
        <v>271.5089693985227</v>
      </c>
      <c r="R198" s="61">
        <v>262.9264861062258</v>
      </c>
      <c r="S198" s="61">
        <v>332.15793176222303</v>
      </c>
      <c r="T198" s="61">
        <v>571.5793176222301</v>
      </c>
      <c r="U198" s="61" t="s">
        <v>23</v>
      </c>
      <c r="V198" s="62">
        <v>262.06472036581073</v>
      </c>
      <c r="W198" s="62">
        <v>253.69328174463595</v>
      </c>
      <c r="X198" s="62">
        <v>258.01</v>
      </c>
      <c r="Y198" s="63">
        <v>261.167780513542</v>
      </c>
      <c r="Z198" s="63">
        <v>260.4994723883222</v>
      </c>
    </row>
    <row r="199" ht="14.25" customHeight="1">
      <c r="A199" s="64">
        <v>44601.0</v>
      </c>
      <c r="B199" s="65">
        <v>341.72</v>
      </c>
      <c r="C199" s="65">
        <v>308.46</v>
      </c>
      <c r="D199" s="65">
        <v>300.0</v>
      </c>
      <c r="E199" s="65">
        <v>382.13</v>
      </c>
      <c r="F199" s="65">
        <v>660.0</v>
      </c>
      <c r="G199" s="65" t="s">
        <v>23</v>
      </c>
      <c r="H199" s="66">
        <v>299.89</v>
      </c>
      <c r="I199" s="66">
        <v>286.0</v>
      </c>
      <c r="J199" s="66">
        <v>298.46493499999997</v>
      </c>
      <c r="K199" s="67">
        <v>299.0</v>
      </c>
      <c r="L199" s="67">
        <v>295.31</v>
      </c>
      <c r="M199" s="58"/>
      <c r="N199" s="59">
        <v>1.1435</v>
      </c>
      <c r="O199" s="60"/>
      <c r="P199" s="68">
        <v>298.83690424136427</v>
      </c>
      <c r="Q199" s="68">
        <v>269.75076519457804</v>
      </c>
      <c r="R199" s="68">
        <v>262.35242675994755</v>
      </c>
      <c r="S199" s="68">
        <v>334.1757761259292</v>
      </c>
      <c r="T199" s="68">
        <v>577.1753388718846</v>
      </c>
      <c r="U199" s="68" t="s">
        <v>23</v>
      </c>
      <c r="V199" s="66">
        <v>262.25623087013554</v>
      </c>
      <c r="W199" s="66">
        <v>250.10931351115</v>
      </c>
      <c r="X199" s="66">
        <v>261.01</v>
      </c>
      <c r="Y199" s="57">
        <v>261.4779186707477</v>
      </c>
      <c r="Z199" s="57">
        <v>258.25098382160036</v>
      </c>
    </row>
    <row r="200" ht="14.25" customHeight="1">
      <c r="A200" s="54">
        <v>44594.0</v>
      </c>
      <c r="B200" s="55">
        <v>332.53</v>
      </c>
      <c r="C200" s="55">
        <v>309.88</v>
      </c>
      <c r="D200" s="55">
        <v>307.0</v>
      </c>
      <c r="E200" s="55">
        <v>372.76</v>
      </c>
      <c r="F200" s="55">
        <v>675.0</v>
      </c>
      <c r="G200" s="55" t="s">
        <v>23</v>
      </c>
      <c r="H200" s="56">
        <v>292.31</v>
      </c>
      <c r="I200" s="56">
        <v>287.0</v>
      </c>
      <c r="J200" s="56">
        <v>297.240073</v>
      </c>
      <c r="K200" s="57">
        <v>302.0</v>
      </c>
      <c r="L200" s="57">
        <v>294.07</v>
      </c>
      <c r="M200" s="58"/>
      <c r="N200" s="59">
        <v>1.1323</v>
      </c>
      <c r="O200" s="60"/>
      <c r="P200" s="61">
        <v>293.6765874768171</v>
      </c>
      <c r="Q200" s="61">
        <v>273.67305484412253</v>
      </c>
      <c r="R200" s="61">
        <v>271.12955930407134</v>
      </c>
      <c r="S200" s="61">
        <v>329.2060408019076</v>
      </c>
      <c r="T200" s="61">
        <v>596.1317671995054</v>
      </c>
      <c r="U200" s="61" t="s">
        <v>23</v>
      </c>
      <c r="V200" s="62">
        <v>258.15596573346284</v>
      </c>
      <c r="W200" s="62">
        <v>253.4663958314934</v>
      </c>
      <c r="X200" s="62">
        <v>262.51</v>
      </c>
      <c r="Y200" s="63">
        <v>266.71376843592685</v>
      </c>
      <c r="Z200" s="63">
        <v>259.7103241190497</v>
      </c>
    </row>
    <row r="201" ht="14.25" customHeight="1">
      <c r="A201" s="64">
        <v>44587.0</v>
      </c>
      <c r="B201" s="65">
        <v>347.23</v>
      </c>
      <c r="C201" s="65">
        <v>326.32</v>
      </c>
      <c r="D201" s="65">
        <v>312.0</v>
      </c>
      <c r="E201" s="65">
        <v>395.27</v>
      </c>
      <c r="F201" s="65">
        <v>685.0</v>
      </c>
      <c r="G201" s="65" t="s">
        <v>23</v>
      </c>
      <c r="H201" s="66">
        <v>296.05</v>
      </c>
      <c r="I201" s="66">
        <v>285.0</v>
      </c>
      <c r="J201" s="66" t="s">
        <v>23</v>
      </c>
      <c r="K201" s="67">
        <v>298.0</v>
      </c>
      <c r="L201" s="67">
        <v>309.4</v>
      </c>
      <c r="M201" s="58"/>
      <c r="N201" s="59">
        <v>1.1277</v>
      </c>
      <c r="O201" s="60"/>
      <c r="P201" s="68">
        <v>307.9099051166091</v>
      </c>
      <c r="Q201" s="68">
        <v>289.36773964706924</v>
      </c>
      <c r="R201" s="68">
        <v>276.6693269486566</v>
      </c>
      <c r="S201" s="68">
        <v>350.50988738139574</v>
      </c>
      <c r="T201" s="68">
        <v>607.4310543584287</v>
      </c>
      <c r="U201" s="68" t="s">
        <v>23</v>
      </c>
      <c r="V201" s="66">
        <v>262.5254943690698</v>
      </c>
      <c r="W201" s="66">
        <v>252.72678903963822</v>
      </c>
      <c r="X201" s="66" t="s">
        <v>23</v>
      </c>
      <c r="Y201" s="57">
        <v>264.2546776624989</v>
      </c>
      <c r="Z201" s="57">
        <v>274.3637492240844</v>
      </c>
    </row>
    <row r="202" ht="14.25" customHeight="1">
      <c r="A202" s="54">
        <v>44580.0</v>
      </c>
      <c r="B202" s="55">
        <v>342.27</v>
      </c>
      <c r="C202" s="55">
        <v>320.38</v>
      </c>
      <c r="D202" s="55">
        <v>316.0</v>
      </c>
      <c r="E202" s="55">
        <v>376.62</v>
      </c>
      <c r="F202" s="55">
        <v>686.0</v>
      </c>
      <c r="G202" s="55" t="s">
        <v>23</v>
      </c>
      <c r="H202" s="56">
        <v>285.62</v>
      </c>
      <c r="I202" s="56">
        <v>280.0</v>
      </c>
      <c r="J202" s="56">
        <v>288.82101000000006</v>
      </c>
      <c r="K202" s="57">
        <v>295.0</v>
      </c>
      <c r="L202" s="57">
        <v>299.95</v>
      </c>
      <c r="M202" s="58"/>
      <c r="N202" s="59">
        <v>1.1345</v>
      </c>
      <c r="O202" s="60"/>
      <c r="P202" s="61">
        <v>301.6923754958131</v>
      </c>
      <c r="Q202" s="61">
        <v>282.3975319524019</v>
      </c>
      <c r="R202" s="61">
        <v>278.5368003525782</v>
      </c>
      <c r="S202" s="61">
        <v>331.970030850595</v>
      </c>
      <c r="T202" s="61">
        <v>604.6716615249009</v>
      </c>
      <c r="U202" s="61" t="s">
        <v>23</v>
      </c>
      <c r="V202" s="62">
        <v>251.75848391361833</v>
      </c>
      <c r="W202" s="62">
        <v>246.80475980608196</v>
      </c>
      <c r="X202" s="62">
        <v>254.58000000000004</v>
      </c>
      <c r="Y202" s="63">
        <v>260.02644336712206</v>
      </c>
      <c r="Z202" s="63">
        <v>264.3895989422653</v>
      </c>
    </row>
    <row r="203" ht="14.25" customHeight="1">
      <c r="A203" s="64">
        <v>44573.0</v>
      </c>
      <c r="B203" s="65">
        <v>329.87</v>
      </c>
      <c r="C203" s="65">
        <v>320.51</v>
      </c>
      <c r="D203" s="65">
        <v>315.0</v>
      </c>
      <c r="E203" s="65">
        <v>368.54</v>
      </c>
      <c r="F203" s="65">
        <v>686.0</v>
      </c>
      <c r="G203" s="65">
        <v>552.10446</v>
      </c>
      <c r="H203" s="66">
        <v>281.09</v>
      </c>
      <c r="I203" s="66">
        <v>277.0</v>
      </c>
      <c r="J203" s="66">
        <v>290.59446</v>
      </c>
      <c r="K203" s="67">
        <v>293.0</v>
      </c>
      <c r="L203" s="67">
        <v>298.79</v>
      </c>
      <c r="M203" s="58"/>
      <c r="N203" s="59">
        <v>1.137</v>
      </c>
      <c r="O203" s="60"/>
      <c r="P203" s="68">
        <v>290.1231310466139</v>
      </c>
      <c r="Q203" s="68">
        <v>281.8909410729991</v>
      </c>
      <c r="R203" s="68">
        <v>277.0448548812665</v>
      </c>
      <c r="S203" s="68">
        <v>324.13368513632366</v>
      </c>
      <c r="T203" s="68">
        <v>603.3421284080914</v>
      </c>
      <c r="U203" s="68">
        <v>485.58</v>
      </c>
      <c r="V203" s="66">
        <v>247.22075637642916</v>
      </c>
      <c r="W203" s="66">
        <v>243.6235708003518</v>
      </c>
      <c r="X203" s="66">
        <v>255.58</v>
      </c>
      <c r="Y203" s="57">
        <v>257.69569041336854</v>
      </c>
      <c r="Z203" s="57">
        <v>262.78803869832893</v>
      </c>
    </row>
    <row r="204" ht="14.25" customHeight="1">
      <c r="A204" s="54">
        <v>44566.0</v>
      </c>
      <c r="B204" s="55">
        <v>329.13</v>
      </c>
      <c r="C204" s="55">
        <v>320.01</v>
      </c>
      <c r="D204" s="55">
        <v>318.0</v>
      </c>
      <c r="E204" s="55">
        <v>366.33</v>
      </c>
      <c r="F204" s="55">
        <v>680.0</v>
      </c>
      <c r="G204" s="55">
        <v>538.309002</v>
      </c>
      <c r="H204" s="56">
        <v>279.61</v>
      </c>
      <c r="I204" s="56">
        <v>276.5</v>
      </c>
      <c r="J204" s="56" t="s">
        <v>23</v>
      </c>
      <c r="K204" s="57">
        <v>295.0</v>
      </c>
      <c r="L204" s="57">
        <v>299.05</v>
      </c>
      <c r="M204" s="58"/>
      <c r="N204" s="59">
        <v>1.1319</v>
      </c>
      <c r="O204" s="60"/>
      <c r="P204" s="61">
        <v>290.77657036840714</v>
      </c>
      <c r="Q204" s="61">
        <v>282.7193214948317</v>
      </c>
      <c r="R204" s="61">
        <v>280.9435462496687</v>
      </c>
      <c r="S204" s="61">
        <v>323.641664457991</v>
      </c>
      <c r="T204" s="61">
        <v>600.7597844332539</v>
      </c>
      <c r="U204" s="61">
        <v>475.58</v>
      </c>
      <c r="V204" s="62">
        <v>247.02712253732665</v>
      </c>
      <c r="W204" s="62">
        <v>244.27952999381571</v>
      </c>
      <c r="X204" s="62" t="s">
        <v>23</v>
      </c>
      <c r="Y204" s="63">
        <v>260.6237300114851</v>
      </c>
      <c r="Z204" s="63">
        <v>264.2017846099479</v>
      </c>
    </row>
    <row r="205" ht="14.25" customHeight="1">
      <c r="A205" s="64">
        <v>44559.0</v>
      </c>
      <c r="B205" s="65">
        <v>339.05</v>
      </c>
      <c r="C205" s="65">
        <v>323.6</v>
      </c>
      <c r="D205" s="65">
        <v>318.0</v>
      </c>
      <c r="E205" s="65">
        <v>380.11</v>
      </c>
      <c r="F205" s="65">
        <v>680.0</v>
      </c>
      <c r="G205" s="65" t="s">
        <v>23</v>
      </c>
      <c r="H205" s="66">
        <v>281.68</v>
      </c>
      <c r="I205" s="66">
        <v>274.0</v>
      </c>
      <c r="J205" s="66" t="s">
        <v>23</v>
      </c>
      <c r="K205" s="67">
        <v>295.0</v>
      </c>
      <c r="L205" s="67">
        <v>300.93</v>
      </c>
      <c r="M205" s="58"/>
      <c r="N205" s="59">
        <v>1.1303</v>
      </c>
      <c r="O205" s="60"/>
      <c r="P205" s="68">
        <v>299.96461116517736</v>
      </c>
      <c r="Q205" s="68">
        <v>286.29567371494295</v>
      </c>
      <c r="R205" s="68">
        <v>281.341236839777</v>
      </c>
      <c r="S205" s="68">
        <v>336.2912501105901</v>
      </c>
      <c r="T205" s="68">
        <v>601.6101919844289</v>
      </c>
      <c r="U205" s="68" t="s">
        <v>23</v>
      </c>
      <c r="V205" s="66">
        <v>249.20817482084402</v>
      </c>
      <c r="W205" s="66">
        <v>242.4135185349022</v>
      </c>
      <c r="X205" s="66" t="s">
        <v>23</v>
      </c>
      <c r="Y205" s="57">
        <v>260.9926568167743</v>
      </c>
      <c r="Z205" s="57">
        <v>266.2390515792267</v>
      </c>
    </row>
    <row r="206" ht="14.25" customHeight="1">
      <c r="A206" s="54">
        <v>44552.0</v>
      </c>
      <c r="B206" s="55">
        <v>348.7</v>
      </c>
      <c r="C206" s="55">
        <v>334.56</v>
      </c>
      <c r="D206" s="55">
        <v>316.0</v>
      </c>
      <c r="E206" s="55">
        <v>390.86</v>
      </c>
      <c r="F206" s="55">
        <v>680.0</v>
      </c>
      <c r="G206" s="55" t="s">
        <v>23</v>
      </c>
      <c r="H206" s="56">
        <v>280.5</v>
      </c>
      <c r="I206" s="56">
        <v>274.0</v>
      </c>
      <c r="J206" s="56" t="s">
        <v>23</v>
      </c>
      <c r="K206" s="57">
        <v>295.0</v>
      </c>
      <c r="L206" s="57">
        <v>307.38</v>
      </c>
      <c r="M206" s="58"/>
      <c r="N206" s="59">
        <v>1.1301</v>
      </c>
      <c r="O206" s="60"/>
      <c r="P206" s="61">
        <v>308.55676488806296</v>
      </c>
      <c r="Q206" s="61">
        <v>296.04459782320146</v>
      </c>
      <c r="R206" s="61">
        <v>279.62127245376513</v>
      </c>
      <c r="S206" s="61">
        <v>345.8631979470843</v>
      </c>
      <c r="T206" s="61">
        <v>601.7166622422794</v>
      </c>
      <c r="U206" s="61" t="s">
        <v>23</v>
      </c>
      <c r="V206" s="62">
        <v>248.20812317494025</v>
      </c>
      <c r="W206" s="62">
        <v>242.45641978585962</v>
      </c>
      <c r="X206" s="62" t="s">
        <v>23</v>
      </c>
      <c r="Y206" s="63">
        <v>261.0388461198124</v>
      </c>
      <c r="Z206" s="63">
        <v>271.9936288823998</v>
      </c>
    </row>
    <row r="207" ht="14.25" customHeight="1">
      <c r="A207" s="64">
        <v>44545.0</v>
      </c>
      <c r="B207" s="65">
        <v>327.39</v>
      </c>
      <c r="C207" s="65">
        <v>319.13</v>
      </c>
      <c r="D207" s="65">
        <v>316.0</v>
      </c>
      <c r="E207" s="65">
        <v>362.11</v>
      </c>
      <c r="F207" s="65">
        <v>680.0</v>
      </c>
      <c r="G207" s="65" t="s">
        <v>23</v>
      </c>
      <c r="H207" s="66">
        <v>267.61</v>
      </c>
      <c r="I207" s="66">
        <v>271.0</v>
      </c>
      <c r="J207" s="66">
        <v>285.66063</v>
      </c>
      <c r="K207" s="67">
        <v>295.0</v>
      </c>
      <c r="L207" s="67">
        <v>289.86</v>
      </c>
      <c r="M207" s="58"/>
      <c r="N207" s="59">
        <v>1.1262</v>
      </c>
      <c r="O207" s="60"/>
      <c r="P207" s="68">
        <v>290.7032498668087</v>
      </c>
      <c r="Q207" s="68">
        <v>283.3688510033742</v>
      </c>
      <c r="R207" s="68">
        <v>280.589593322678</v>
      </c>
      <c r="S207" s="68">
        <v>321.5325874622625</v>
      </c>
      <c r="T207" s="68">
        <v>603.8003906943704</v>
      </c>
      <c r="U207" s="68" t="s">
        <v>23</v>
      </c>
      <c r="V207" s="66">
        <v>237.6220919907654</v>
      </c>
      <c r="W207" s="66">
        <v>240.63221452672704</v>
      </c>
      <c r="X207" s="66">
        <v>253.65</v>
      </c>
      <c r="Y207" s="57">
        <v>261.9428165512342</v>
      </c>
      <c r="Z207" s="57">
        <v>257.3787959509856</v>
      </c>
    </row>
    <row r="208" ht="14.25" customHeight="1">
      <c r="A208" s="54">
        <v>44538.0</v>
      </c>
      <c r="B208" s="55">
        <v>345.85</v>
      </c>
      <c r="C208" s="55">
        <v>333.5</v>
      </c>
      <c r="D208" s="55">
        <v>320.0</v>
      </c>
      <c r="E208" s="55">
        <v>374.88</v>
      </c>
      <c r="F208" s="55">
        <v>683.0</v>
      </c>
      <c r="G208" s="55">
        <v>543.6513849999999</v>
      </c>
      <c r="H208" s="56">
        <v>268.39</v>
      </c>
      <c r="I208" s="56">
        <v>278.0</v>
      </c>
      <c r="J208" s="56" t="s">
        <v>23</v>
      </c>
      <c r="K208" s="57">
        <v>310.0</v>
      </c>
      <c r="L208" s="57">
        <v>301.79</v>
      </c>
      <c r="M208" s="58"/>
      <c r="N208" s="59">
        <v>1.1299</v>
      </c>
      <c r="O208" s="60"/>
      <c r="P208" s="61">
        <v>306.08903442782554</v>
      </c>
      <c r="Q208" s="61">
        <v>295.1588636162493</v>
      </c>
      <c r="R208" s="61">
        <v>283.2109036197894</v>
      </c>
      <c r="S208" s="61">
        <v>331.78157359058326</v>
      </c>
      <c r="T208" s="61">
        <v>604.478272413488</v>
      </c>
      <c r="U208" s="61">
        <v>481.1499999999999</v>
      </c>
      <c r="V208" s="62">
        <v>237.53429507036023</v>
      </c>
      <c r="W208" s="62">
        <v>246.03947251969203</v>
      </c>
      <c r="X208" s="62" t="s">
        <v>23</v>
      </c>
      <c r="Y208" s="63">
        <v>274.36056288167094</v>
      </c>
      <c r="Z208" s="63">
        <v>267.0944331356758</v>
      </c>
    </row>
    <row r="209" ht="14.25" customHeight="1">
      <c r="A209" s="64">
        <v>44531.0</v>
      </c>
      <c r="B209" s="65">
        <v>339.33</v>
      </c>
      <c r="C209" s="65">
        <v>331.13</v>
      </c>
      <c r="D209" s="65">
        <v>326.0</v>
      </c>
      <c r="E209" s="65">
        <v>374.51</v>
      </c>
      <c r="F209" s="65">
        <v>683.0</v>
      </c>
      <c r="G209" s="65" t="s">
        <v>23</v>
      </c>
      <c r="H209" s="66">
        <v>262.19</v>
      </c>
      <c r="I209" s="66">
        <v>277.0</v>
      </c>
      <c r="J209" s="66">
        <v>284.71681</v>
      </c>
      <c r="K209" s="67">
        <v>305.0</v>
      </c>
      <c r="L209" s="67">
        <v>300.55</v>
      </c>
      <c r="M209" s="58"/>
      <c r="N209" s="59">
        <v>1.1314</v>
      </c>
      <c r="O209" s="60"/>
      <c r="P209" s="68">
        <v>299.9204525366802</v>
      </c>
      <c r="Q209" s="68">
        <v>292.67279476754464</v>
      </c>
      <c r="R209" s="68">
        <v>288.1385893583171</v>
      </c>
      <c r="S209" s="68">
        <v>331.014672087679</v>
      </c>
      <c r="T209" s="68">
        <v>603.676860526781</v>
      </c>
      <c r="U209" s="68" t="s">
        <v>23</v>
      </c>
      <c r="V209" s="66">
        <v>231.73943786459256</v>
      </c>
      <c r="W209" s="66">
        <v>244.82941488421426</v>
      </c>
      <c r="X209" s="66">
        <v>251.65</v>
      </c>
      <c r="Y209" s="57">
        <v>269.5775145837016</v>
      </c>
      <c r="Z209" s="57">
        <v>265.64433445289023</v>
      </c>
    </row>
    <row r="210" ht="14.25" customHeight="1">
      <c r="A210" s="54">
        <v>44524.0</v>
      </c>
      <c r="B210" s="55">
        <v>360.73</v>
      </c>
      <c r="C210" s="55">
        <v>348.73</v>
      </c>
      <c r="D210" s="55">
        <v>332.0</v>
      </c>
      <c r="E210" s="55">
        <v>396.19</v>
      </c>
      <c r="F210" s="55">
        <v>683.0</v>
      </c>
      <c r="G210" s="55" t="s">
        <v>23</v>
      </c>
      <c r="H210" s="56">
        <v>266.03</v>
      </c>
      <c r="I210" s="56">
        <v>282.0</v>
      </c>
      <c r="J210" s="56">
        <v>306.730632</v>
      </c>
      <c r="K210" s="57">
        <v>306.0</v>
      </c>
      <c r="L210" s="57">
        <v>315.15</v>
      </c>
      <c r="M210" s="58"/>
      <c r="N210" s="59">
        <v>1.1206</v>
      </c>
      <c r="O210" s="60"/>
      <c r="P210" s="61">
        <v>321.90790647867215</v>
      </c>
      <c r="Q210" s="61">
        <v>311.1993574870605</v>
      </c>
      <c r="R210" s="61">
        <v>296.2698554345886</v>
      </c>
      <c r="S210" s="61">
        <v>353.55166874888454</v>
      </c>
      <c r="T210" s="61">
        <v>609.494913439229</v>
      </c>
      <c r="U210" s="61" t="s">
        <v>23</v>
      </c>
      <c r="V210" s="62">
        <v>237.3996073532036</v>
      </c>
      <c r="W210" s="62">
        <v>251.65090130287345</v>
      </c>
      <c r="X210" s="62">
        <v>273.72</v>
      </c>
      <c r="Y210" s="63">
        <v>273.0679992860967</v>
      </c>
      <c r="Z210" s="63">
        <v>281.23326789220056</v>
      </c>
    </row>
    <row r="211" ht="14.25" customHeight="1">
      <c r="A211" s="64">
        <v>44517.0</v>
      </c>
      <c r="B211" s="65">
        <v>355.4</v>
      </c>
      <c r="C211" s="65">
        <v>343.58</v>
      </c>
      <c r="D211" s="65">
        <v>326.0</v>
      </c>
      <c r="E211" s="65">
        <v>381.77</v>
      </c>
      <c r="F211" s="65">
        <v>680.0</v>
      </c>
      <c r="G211" s="65">
        <v>541.719552</v>
      </c>
      <c r="H211" s="66">
        <v>264.26</v>
      </c>
      <c r="I211" s="66">
        <v>282.0</v>
      </c>
      <c r="J211" s="66">
        <v>290.50435200000004</v>
      </c>
      <c r="K211" s="67">
        <v>305.0</v>
      </c>
      <c r="L211" s="67">
        <v>314.15</v>
      </c>
      <c r="M211" s="58"/>
      <c r="N211" s="59">
        <v>1.1316</v>
      </c>
      <c r="O211" s="60"/>
      <c r="P211" s="68">
        <v>314.06857546836335</v>
      </c>
      <c r="Q211" s="68">
        <v>303.6231884057971</v>
      </c>
      <c r="R211" s="68">
        <v>288.0876634853305</v>
      </c>
      <c r="S211" s="68">
        <v>337.3718628490633</v>
      </c>
      <c r="T211" s="68">
        <v>600.9190526687876</v>
      </c>
      <c r="U211" s="68">
        <v>478.72</v>
      </c>
      <c r="V211" s="66">
        <v>233.52774832096148</v>
      </c>
      <c r="W211" s="66">
        <v>249.20466595970308</v>
      </c>
      <c r="X211" s="66">
        <v>256.72</v>
      </c>
      <c r="Y211" s="57">
        <v>269.5298692117356</v>
      </c>
      <c r="Z211" s="57">
        <v>277.6157652880877</v>
      </c>
    </row>
    <row r="212" ht="14.25" customHeight="1">
      <c r="A212" s="54">
        <v>44510.0</v>
      </c>
      <c r="B212" s="55">
        <v>348.33</v>
      </c>
      <c r="C212" s="55">
        <v>338.04</v>
      </c>
      <c r="D212" s="55">
        <v>316.0</v>
      </c>
      <c r="E212" s="55">
        <v>375.7</v>
      </c>
      <c r="F212" s="55">
        <v>680.0</v>
      </c>
      <c r="G212" s="55" t="s">
        <v>23</v>
      </c>
      <c r="H212" s="56">
        <v>263.47</v>
      </c>
      <c r="I212" s="56">
        <v>276.0</v>
      </c>
      <c r="J212" s="56">
        <v>282.74111999999997</v>
      </c>
      <c r="K212" s="57">
        <v>295.0</v>
      </c>
      <c r="L212" s="57">
        <v>308.1</v>
      </c>
      <c r="M212" s="58"/>
      <c r="N212" s="59">
        <v>1.1558</v>
      </c>
      <c r="O212" s="60"/>
      <c r="P212" s="61">
        <v>301.37567053123377</v>
      </c>
      <c r="Q212" s="61">
        <v>292.4727461498529</v>
      </c>
      <c r="R212" s="61">
        <v>273.40370306281363</v>
      </c>
      <c r="S212" s="61">
        <v>325.0562381034781</v>
      </c>
      <c r="T212" s="61">
        <v>588.3370825402319</v>
      </c>
      <c r="U212" s="61" t="s">
        <v>23</v>
      </c>
      <c r="V212" s="62">
        <v>227.95466343658074</v>
      </c>
      <c r="W212" s="62">
        <v>238.7956393839765</v>
      </c>
      <c r="X212" s="62">
        <v>244.62806713964352</v>
      </c>
      <c r="Y212" s="63">
        <v>255.23446963142413</v>
      </c>
      <c r="Z212" s="63">
        <v>266.5686104862433</v>
      </c>
    </row>
    <row r="213" ht="14.25" customHeight="1">
      <c r="A213" s="64">
        <v>44503.0</v>
      </c>
      <c r="B213" s="65">
        <v>342.08</v>
      </c>
      <c r="C213" s="65">
        <v>339.96</v>
      </c>
      <c r="D213" s="65">
        <v>315.0</v>
      </c>
      <c r="E213" s="65">
        <v>367.71</v>
      </c>
      <c r="F213" s="65">
        <v>680.0</v>
      </c>
      <c r="G213" s="65">
        <v>564.103316</v>
      </c>
      <c r="H213" s="66">
        <v>271.25</v>
      </c>
      <c r="I213" s="66">
        <v>280.0</v>
      </c>
      <c r="J213" s="66">
        <v>291.441416</v>
      </c>
      <c r="K213" s="67">
        <v>293.0</v>
      </c>
      <c r="L213" s="67">
        <v>311.0</v>
      </c>
      <c r="M213" s="58"/>
      <c r="N213" s="59">
        <v>1.1578</v>
      </c>
      <c r="O213" s="60"/>
      <c r="P213" s="68">
        <v>295.4569010191743</v>
      </c>
      <c r="Q213" s="68">
        <v>293.6258421143548</v>
      </c>
      <c r="R213" s="68">
        <v>272.06771463119713</v>
      </c>
      <c r="S213" s="68">
        <v>317.5937122128174</v>
      </c>
      <c r="T213" s="68">
        <v>587.3207807911557</v>
      </c>
      <c r="U213" s="68">
        <v>487.21999999999997</v>
      </c>
      <c r="V213" s="66">
        <v>234.28053204353085</v>
      </c>
      <c r="W213" s="66">
        <v>241.8379685610641</v>
      </c>
      <c r="X213" s="66">
        <v>251.72000000000003</v>
      </c>
      <c r="Y213" s="57">
        <v>253.06615995854207</v>
      </c>
      <c r="Z213" s="57">
        <v>268.6128865088962</v>
      </c>
    </row>
    <row r="214" ht="14.25" customHeight="1">
      <c r="A214" s="54">
        <v>44496.0</v>
      </c>
      <c r="B214" s="55">
        <v>334.28</v>
      </c>
      <c r="C214" s="55">
        <v>334.75</v>
      </c>
      <c r="D214" s="55">
        <v>308.0</v>
      </c>
      <c r="E214" s="55">
        <v>364.77</v>
      </c>
      <c r="F214" s="55">
        <v>680.0</v>
      </c>
      <c r="G214" s="55">
        <v>566.665643</v>
      </c>
      <c r="H214" s="56">
        <v>272.53</v>
      </c>
      <c r="I214" s="56">
        <v>274.0</v>
      </c>
      <c r="J214" s="56">
        <v>299.393324</v>
      </c>
      <c r="K214" s="57">
        <v>290.0</v>
      </c>
      <c r="L214" s="57">
        <v>304.59</v>
      </c>
      <c r="M214" s="58"/>
      <c r="N214" s="59">
        <v>1.1617</v>
      </c>
      <c r="O214" s="60"/>
      <c r="P214" s="61">
        <v>287.75071016613583</v>
      </c>
      <c r="Q214" s="61">
        <v>288.1552896617027</v>
      </c>
      <c r="R214" s="61">
        <v>265.12869071188777</v>
      </c>
      <c r="S214" s="61">
        <v>313.99672893173795</v>
      </c>
      <c r="T214" s="61">
        <v>585.3490574158561</v>
      </c>
      <c r="U214" s="61">
        <v>487.7900000000001</v>
      </c>
      <c r="V214" s="62">
        <v>234.59585090815185</v>
      </c>
      <c r="W214" s="62">
        <v>235.86123784109495</v>
      </c>
      <c r="X214" s="62">
        <v>257.72</v>
      </c>
      <c r="Y214" s="63">
        <v>249.6341568391151</v>
      </c>
      <c r="Z214" s="63">
        <v>262.1933373504347</v>
      </c>
    </row>
    <row r="215" ht="14.25" customHeight="1">
      <c r="A215" s="64">
        <v>44489.0</v>
      </c>
      <c r="B215" s="65">
        <v>324.91</v>
      </c>
      <c r="C215" s="65">
        <v>328.98</v>
      </c>
      <c r="D215" s="65">
        <v>304.0</v>
      </c>
      <c r="E215" s="65">
        <v>352.65</v>
      </c>
      <c r="F215" s="65">
        <v>680.0</v>
      </c>
      <c r="G215" s="65">
        <v>576.2567170000001</v>
      </c>
      <c r="H215" s="66">
        <v>267.41</v>
      </c>
      <c r="I215" s="66">
        <v>275.0</v>
      </c>
      <c r="J215" s="66" t="s">
        <v>23</v>
      </c>
      <c r="K215" s="67">
        <v>274.0</v>
      </c>
      <c r="L215" s="67">
        <v>298.71</v>
      </c>
      <c r="M215" s="58"/>
      <c r="N215" s="59">
        <v>1.1623</v>
      </c>
      <c r="O215" s="60"/>
      <c r="P215" s="68">
        <v>279.5405661189022</v>
      </c>
      <c r="Q215" s="68">
        <v>283.04224382689495</v>
      </c>
      <c r="R215" s="68">
        <v>261.5503742579368</v>
      </c>
      <c r="S215" s="68">
        <v>303.4070377699389</v>
      </c>
      <c r="T215" s="68">
        <v>585.0468897874903</v>
      </c>
      <c r="U215" s="68">
        <v>495.79</v>
      </c>
      <c r="V215" s="66">
        <v>230.06968940893057</v>
      </c>
      <c r="W215" s="66">
        <v>236.59984513464678</v>
      </c>
      <c r="X215" s="66" t="s">
        <v>23</v>
      </c>
      <c r="Y215" s="57">
        <v>235.7394820614299</v>
      </c>
      <c r="Z215" s="57">
        <v>256.99905360061945</v>
      </c>
    </row>
    <row r="216" ht="14.25" customHeight="1">
      <c r="A216" s="54">
        <v>44482.0</v>
      </c>
      <c r="B216" s="55">
        <v>308.19</v>
      </c>
      <c r="C216" s="55">
        <v>314.12</v>
      </c>
      <c r="D216" s="55">
        <v>301.0</v>
      </c>
      <c r="E216" s="55">
        <v>338.69</v>
      </c>
      <c r="F216" s="55">
        <v>580.0</v>
      </c>
      <c r="G216" s="55">
        <v>558.2017979999999</v>
      </c>
      <c r="H216" s="56">
        <v>259.93</v>
      </c>
      <c r="I216" s="56">
        <v>268.0</v>
      </c>
      <c r="J216" s="56" t="s">
        <v>23</v>
      </c>
      <c r="K216" s="57">
        <v>270.0</v>
      </c>
      <c r="L216" s="57">
        <v>285.21</v>
      </c>
      <c r="M216" s="58"/>
      <c r="N216" s="59">
        <v>1.1562</v>
      </c>
      <c r="O216" s="60"/>
      <c r="P216" s="61">
        <v>266.55422937208095</v>
      </c>
      <c r="Q216" s="61">
        <v>271.6830998097215</v>
      </c>
      <c r="R216" s="61">
        <v>260.33558207922505</v>
      </c>
      <c r="S216" s="61">
        <v>292.93374848642105</v>
      </c>
      <c r="T216" s="61">
        <v>501.6433143054835</v>
      </c>
      <c r="U216" s="61">
        <v>482.78999999999996</v>
      </c>
      <c r="V216" s="62">
        <v>224.8140460128006</v>
      </c>
      <c r="W216" s="62">
        <v>231.79380729977515</v>
      </c>
      <c r="X216" s="62" t="s">
        <v>23</v>
      </c>
      <c r="Y216" s="63">
        <v>233.523611831863</v>
      </c>
      <c r="Z216" s="63">
        <v>246.6787752983913</v>
      </c>
    </row>
    <row r="217" ht="14.25" customHeight="1">
      <c r="A217" s="64">
        <v>44475.0</v>
      </c>
      <c r="B217" s="65">
        <v>318.2</v>
      </c>
      <c r="C217" s="65">
        <v>318.12</v>
      </c>
      <c r="D217" s="65">
        <v>301.0</v>
      </c>
      <c r="E217" s="65">
        <v>358.25</v>
      </c>
      <c r="F217" s="65">
        <v>580.0</v>
      </c>
      <c r="G217" s="65" t="s">
        <v>23</v>
      </c>
      <c r="H217" s="66">
        <v>268.59</v>
      </c>
      <c r="I217" s="66">
        <v>269.0</v>
      </c>
      <c r="J217" s="66">
        <v>296.306224</v>
      </c>
      <c r="K217" s="67">
        <v>270.0</v>
      </c>
      <c r="L217" s="67">
        <v>291.57</v>
      </c>
      <c r="M217" s="58"/>
      <c r="N217" s="59">
        <v>1.1542</v>
      </c>
      <c r="O217" s="60"/>
      <c r="P217" s="68">
        <v>275.68878877144346</v>
      </c>
      <c r="Q217" s="68">
        <v>275.6194766938139</v>
      </c>
      <c r="R217" s="68">
        <v>260.78669208109517</v>
      </c>
      <c r="S217" s="68">
        <v>310.3881476347254</v>
      </c>
      <c r="T217" s="68">
        <v>502.5125628140704</v>
      </c>
      <c r="U217" s="68" t="s">
        <v>23</v>
      </c>
      <c r="V217" s="66">
        <v>232.706636631433</v>
      </c>
      <c r="W217" s="66">
        <v>233.0618610292844</v>
      </c>
      <c r="X217" s="66">
        <v>256.72</v>
      </c>
      <c r="Y217" s="57">
        <v>233.92826199965347</v>
      </c>
      <c r="Z217" s="57">
        <v>252.61653093051467</v>
      </c>
    </row>
    <row r="218" ht="14.25" customHeight="1">
      <c r="A218" s="54">
        <v>44468.0</v>
      </c>
      <c r="B218" s="55">
        <v>305.06</v>
      </c>
      <c r="C218" s="55">
        <v>307.28</v>
      </c>
      <c r="D218" s="55">
        <v>288.0</v>
      </c>
      <c r="E218" s="55">
        <v>349.71</v>
      </c>
      <c r="F218" s="55">
        <v>580.0</v>
      </c>
      <c r="G218" s="55">
        <v>529.5111440000001</v>
      </c>
      <c r="H218" s="56">
        <v>282.27</v>
      </c>
      <c r="I218" s="56">
        <v>264.0</v>
      </c>
      <c r="J218" s="56">
        <v>284.695566</v>
      </c>
      <c r="K218" s="57">
        <v>264.0</v>
      </c>
      <c r="L218" s="57">
        <v>279.41</v>
      </c>
      <c r="M218" s="58"/>
      <c r="N218" s="59">
        <v>1.1654</v>
      </c>
      <c r="O218" s="60"/>
      <c r="P218" s="61">
        <v>261.76420113265834</v>
      </c>
      <c r="Q218" s="61">
        <v>263.6691264801785</v>
      </c>
      <c r="R218" s="61">
        <v>247.12545048910246</v>
      </c>
      <c r="S218" s="61">
        <v>300.0772267032778</v>
      </c>
      <c r="T218" s="61">
        <v>497.6831989016647</v>
      </c>
      <c r="U218" s="61">
        <v>454.36000000000007</v>
      </c>
      <c r="V218" s="62">
        <v>242.20868371374635</v>
      </c>
      <c r="W218" s="62">
        <v>226.53166294834392</v>
      </c>
      <c r="X218" s="62">
        <v>244.29</v>
      </c>
      <c r="Y218" s="63">
        <v>226.53166294834392</v>
      </c>
      <c r="Z218" s="63">
        <v>239.75459069847264</v>
      </c>
    </row>
    <row r="219" ht="14.25" customHeight="1">
      <c r="A219" s="64">
        <v>44461.0</v>
      </c>
      <c r="B219" s="65">
        <v>303.41</v>
      </c>
      <c r="C219" s="65">
        <v>304.77</v>
      </c>
      <c r="D219" s="65">
        <v>287.0</v>
      </c>
      <c r="E219" s="65">
        <v>343.92</v>
      </c>
      <c r="F219" s="65">
        <v>580.0</v>
      </c>
      <c r="G219" s="65">
        <v>529.9865940000001</v>
      </c>
      <c r="H219" s="66">
        <v>278.92</v>
      </c>
      <c r="I219" s="66">
        <v>262.0</v>
      </c>
      <c r="J219" s="66">
        <v>276.558091</v>
      </c>
      <c r="K219" s="67">
        <v>264.0</v>
      </c>
      <c r="L219" s="67">
        <v>279.53</v>
      </c>
      <c r="M219" s="58"/>
      <c r="N219" s="59">
        <v>1.1729</v>
      </c>
      <c r="O219" s="60"/>
      <c r="P219" s="68">
        <v>258.68360474038707</v>
      </c>
      <c r="Q219" s="68">
        <v>259.84312388097874</v>
      </c>
      <c r="R219" s="68">
        <v>244.69264216898284</v>
      </c>
      <c r="S219" s="68">
        <v>293.2219285531588</v>
      </c>
      <c r="T219" s="68">
        <v>494.50080995822316</v>
      </c>
      <c r="U219" s="68">
        <v>451.86000000000007</v>
      </c>
      <c r="V219" s="66">
        <v>237.80373433370278</v>
      </c>
      <c r="W219" s="66">
        <v>223.3779520845767</v>
      </c>
      <c r="X219" s="66">
        <v>235.79</v>
      </c>
      <c r="Y219" s="57">
        <v>225.08312729132916</v>
      </c>
      <c r="Z219" s="57">
        <v>238.32381277176228</v>
      </c>
    </row>
    <row r="220" ht="14.25" customHeight="1">
      <c r="A220" s="54">
        <v>44454.0</v>
      </c>
      <c r="B220" s="55">
        <v>302.13</v>
      </c>
      <c r="C220" s="55">
        <v>305.49</v>
      </c>
      <c r="D220" s="55">
        <v>287.0</v>
      </c>
      <c r="E220" s="55">
        <v>336.57</v>
      </c>
      <c r="F220" s="55">
        <v>580.0</v>
      </c>
      <c r="G220" s="55" t="s">
        <v>23</v>
      </c>
      <c r="H220" s="56">
        <v>280.89</v>
      </c>
      <c r="I220" s="56">
        <v>265.0</v>
      </c>
      <c r="J220" s="56" t="s">
        <v>23</v>
      </c>
      <c r="K220" s="57">
        <v>264.0</v>
      </c>
      <c r="L220" s="57">
        <v>279.51</v>
      </c>
      <c r="M220" s="58"/>
      <c r="N220" s="59">
        <v>1.1824</v>
      </c>
      <c r="O220" s="60"/>
      <c r="P220" s="61">
        <v>255.5226657645467</v>
      </c>
      <c r="Q220" s="61">
        <v>258.36434370771315</v>
      </c>
      <c r="R220" s="61">
        <v>242.72665764546687</v>
      </c>
      <c r="S220" s="61">
        <v>284.6498646820027</v>
      </c>
      <c r="T220" s="61">
        <v>490.52774018944524</v>
      </c>
      <c r="U220" s="61" t="s">
        <v>23</v>
      </c>
      <c r="V220" s="62">
        <v>237.55920162381597</v>
      </c>
      <c r="W220" s="62">
        <v>224.12043301759135</v>
      </c>
      <c r="X220" s="62" t="s">
        <v>23</v>
      </c>
      <c r="Y220" s="63">
        <v>223.27469553450612</v>
      </c>
      <c r="Z220" s="63">
        <v>236.39208389715833</v>
      </c>
    </row>
    <row r="221" ht="14.25" customHeight="1">
      <c r="A221" s="64">
        <v>44447.0</v>
      </c>
      <c r="B221" s="65">
        <v>304.79</v>
      </c>
      <c r="C221" s="65">
        <v>295.0</v>
      </c>
      <c r="D221" s="65">
        <v>285.0</v>
      </c>
      <c r="E221" s="65">
        <v>326.93</v>
      </c>
      <c r="F221" s="65">
        <v>580.0</v>
      </c>
      <c r="G221" s="65">
        <v>534.4148220000001</v>
      </c>
      <c r="H221" s="66">
        <v>269.77</v>
      </c>
      <c r="I221" s="66">
        <v>265.0</v>
      </c>
      <c r="J221" s="66">
        <v>269.407233</v>
      </c>
      <c r="K221" s="67">
        <v>260.0</v>
      </c>
      <c r="L221" s="67">
        <v>273.73</v>
      </c>
      <c r="M221" s="58"/>
      <c r="N221" s="59">
        <v>1.1827</v>
      </c>
      <c r="O221" s="60"/>
      <c r="P221" s="68">
        <v>257.70694174346835</v>
      </c>
      <c r="Q221" s="68">
        <v>249.4292720047349</v>
      </c>
      <c r="R221" s="68">
        <v>240.97404244525237</v>
      </c>
      <c r="S221" s="68">
        <v>276.42681998816266</v>
      </c>
      <c r="T221" s="68">
        <v>490.4033144499873</v>
      </c>
      <c r="U221" s="68">
        <v>451.86</v>
      </c>
      <c r="V221" s="66">
        <v>228.09672782616045</v>
      </c>
      <c r="W221" s="66">
        <v>224.0635833262873</v>
      </c>
      <c r="X221" s="66">
        <v>227.79</v>
      </c>
      <c r="Y221" s="57">
        <v>219.835968546546</v>
      </c>
      <c r="Z221" s="57">
        <v>231.44499873171557</v>
      </c>
    </row>
    <row r="222" ht="14.25" customHeight="1">
      <c r="A222" s="54">
        <v>44440.0</v>
      </c>
      <c r="B222" s="55">
        <v>304.7</v>
      </c>
      <c r="C222" s="55">
        <v>298.77</v>
      </c>
      <c r="D222" s="55">
        <v>279.0</v>
      </c>
      <c r="E222" s="55">
        <v>322.98</v>
      </c>
      <c r="F222" s="55">
        <v>580.0</v>
      </c>
      <c r="G222" s="55">
        <v>497.921112</v>
      </c>
      <c r="H222" s="56">
        <v>251.07</v>
      </c>
      <c r="I222" s="56">
        <v>263.0</v>
      </c>
      <c r="J222" s="56">
        <v>275.087943</v>
      </c>
      <c r="K222" s="57">
        <v>260.0</v>
      </c>
      <c r="L222" s="57">
        <v>276.26</v>
      </c>
      <c r="M222" s="58"/>
      <c r="N222" s="59">
        <v>1.1817</v>
      </c>
      <c r="O222" s="60"/>
      <c r="P222" s="61">
        <v>257.84886180925787</v>
      </c>
      <c r="Q222" s="61">
        <v>252.8306676821528</v>
      </c>
      <c r="R222" s="61">
        <v>236.1005331302361</v>
      </c>
      <c r="S222" s="61">
        <v>273.31810104087333</v>
      </c>
      <c r="T222" s="61">
        <v>490.81831260049086</v>
      </c>
      <c r="U222" s="61">
        <v>421.36</v>
      </c>
      <c r="V222" s="62">
        <v>212.46509266311247</v>
      </c>
      <c r="W222" s="62">
        <v>222.56071761022255</v>
      </c>
      <c r="X222" s="62">
        <v>232.79</v>
      </c>
      <c r="Y222" s="63">
        <v>220.02200220022002</v>
      </c>
      <c r="Z222" s="63">
        <v>233.78183972243377</v>
      </c>
    </row>
    <row r="223" ht="14.25" customHeight="1">
      <c r="A223" s="64">
        <v>44433.0</v>
      </c>
      <c r="B223" s="65">
        <v>283.39</v>
      </c>
      <c r="C223" s="65">
        <v>299.44</v>
      </c>
      <c r="D223" s="65">
        <v>276.0</v>
      </c>
      <c r="E223" s="65">
        <v>322.24</v>
      </c>
      <c r="F223" s="65">
        <v>580.0</v>
      </c>
      <c r="G223" s="65" t="s">
        <v>23</v>
      </c>
      <c r="H223" s="66">
        <v>258.55</v>
      </c>
      <c r="I223" s="66">
        <v>270.0</v>
      </c>
      <c r="J223" s="66" t="s">
        <v>23</v>
      </c>
      <c r="K223" s="67">
        <v>260.0</v>
      </c>
      <c r="L223" s="67">
        <v>275.93</v>
      </c>
      <c r="M223" s="58"/>
      <c r="N223" s="59">
        <v>1.1736</v>
      </c>
      <c r="O223" s="60"/>
      <c r="P223" s="68">
        <v>241.47068847989092</v>
      </c>
      <c r="Q223" s="68">
        <v>255.14655760054532</v>
      </c>
      <c r="R223" s="68">
        <v>235.17382413087935</v>
      </c>
      <c r="S223" s="68">
        <v>274.573960463531</v>
      </c>
      <c r="T223" s="68">
        <v>494.2058623040218</v>
      </c>
      <c r="U223" s="68" t="s">
        <v>23</v>
      </c>
      <c r="V223" s="66">
        <v>220.3050443081118</v>
      </c>
      <c r="W223" s="66">
        <v>230.06134969325154</v>
      </c>
      <c r="X223" s="66" t="s">
        <v>23</v>
      </c>
      <c r="Y223" s="57">
        <v>221.54055896387186</v>
      </c>
      <c r="Z223" s="57">
        <v>235.1141785957737</v>
      </c>
    </row>
    <row r="224" ht="14.25" customHeight="1">
      <c r="A224" s="54">
        <v>44426.0</v>
      </c>
      <c r="B224" s="55">
        <v>292.94</v>
      </c>
      <c r="C224" s="55">
        <v>307.36</v>
      </c>
      <c r="D224" s="55">
        <v>277.0</v>
      </c>
      <c r="E224" s="55">
        <v>332.07</v>
      </c>
      <c r="F224" s="55" t="s">
        <v>23</v>
      </c>
      <c r="G224" s="55" t="s">
        <v>23</v>
      </c>
      <c r="H224" s="56">
        <v>265.34</v>
      </c>
      <c r="I224" s="56">
        <v>274.0</v>
      </c>
      <c r="J224" s="56" t="s">
        <v>23</v>
      </c>
      <c r="K224" s="57">
        <v>270.0</v>
      </c>
      <c r="L224" s="57">
        <v>287.47</v>
      </c>
      <c r="M224" s="58"/>
      <c r="N224" s="59">
        <v>1.1723</v>
      </c>
      <c r="O224" s="60"/>
      <c r="P224" s="61">
        <v>249.8848417640536</v>
      </c>
      <c r="Q224" s="61">
        <v>262.1854474110723</v>
      </c>
      <c r="R224" s="61">
        <v>236.2876396826751</v>
      </c>
      <c r="S224" s="61">
        <v>283.26366970911886</v>
      </c>
      <c r="T224" s="61" t="s">
        <v>23</v>
      </c>
      <c r="U224" s="61" t="s">
        <v>23</v>
      </c>
      <c r="V224" s="62">
        <v>226.34138019278342</v>
      </c>
      <c r="W224" s="62">
        <v>233.72856777275445</v>
      </c>
      <c r="X224" s="62" t="s">
        <v>23</v>
      </c>
      <c r="Y224" s="63">
        <v>230.31647189286022</v>
      </c>
      <c r="Z224" s="63">
        <v>245.21880064829827</v>
      </c>
    </row>
    <row r="225" ht="14.25" customHeight="1">
      <c r="A225" s="64">
        <v>44419.0</v>
      </c>
      <c r="B225" s="65">
        <v>289.17</v>
      </c>
      <c r="C225" s="65">
        <v>288.35</v>
      </c>
      <c r="D225" s="65">
        <v>255.5</v>
      </c>
      <c r="E225" s="65">
        <v>321.6</v>
      </c>
      <c r="F225" s="65" t="s">
        <v>23</v>
      </c>
      <c r="G225" s="65" t="s">
        <v>23</v>
      </c>
      <c r="H225" s="66">
        <v>263.08</v>
      </c>
      <c r="I225" s="66">
        <v>269.5</v>
      </c>
      <c r="J225" s="66" t="s">
        <v>23</v>
      </c>
      <c r="K225" s="67">
        <v>236.0</v>
      </c>
      <c r="L225" s="67">
        <v>273.09</v>
      </c>
      <c r="M225" s="58"/>
      <c r="N225" s="59">
        <v>1.1718</v>
      </c>
      <c r="O225" s="60"/>
      <c r="P225" s="68">
        <v>246.77419354838713</v>
      </c>
      <c r="Q225" s="68">
        <v>246.07441542925417</v>
      </c>
      <c r="R225" s="68">
        <v>218.04062126642773</v>
      </c>
      <c r="S225" s="68">
        <v>274.44956477214544</v>
      </c>
      <c r="T225" s="68" t="s">
        <v>23</v>
      </c>
      <c r="U225" s="68" t="s">
        <v>23</v>
      </c>
      <c r="V225" s="66">
        <v>224.50930192865675</v>
      </c>
      <c r="W225" s="66">
        <v>229.98805256869773</v>
      </c>
      <c r="X225" s="66" t="s">
        <v>23</v>
      </c>
      <c r="Y225" s="57">
        <v>201.39955623826592</v>
      </c>
      <c r="Z225" s="57">
        <v>233.0517153097798</v>
      </c>
    </row>
    <row r="226" ht="14.25" customHeight="1">
      <c r="A226" s="54">
        <v>44412.0</v>
      </c>
      <c r="B226" s="55">
        <v>285.59</v>
      </c>
      <c r="C226" s="55">
        <v>275.55</v>
      </c>
      <c r="D226" s="55">
        <v>251.0</v>
      </c>
      <c r="E226" s="55">
        <v>315.72</v>
      </c>
      <c r="F226" s="55" t="s">
        <v>23</v>
      </c>
      <c r="G226" s="55" t="s">
        <v>23</v>
      </c>
      <c r="H226" s="56">
        <v>273.9</v>
      </c>
      <c r="I226" s="56">
        <v>267.0</v>
      </c>
      <c r="J226" s="56" t="s">
        <v>23</v>
      </c>
      <c r="K226" s="57">
        <v>231.0</v>
      </c>
      <c r="L226" s="57">
        <v>263.12</v>
      </c>
      <c r="M226" s="58"/>
      <c r="N226" s="59">
        <v>1.1861</v>
      </c>
      <c r="O226" s="60"/>
      <c r="P226" s="61">
        <v>240.780709889554</v>
      </c>
      <c r="Q226" s="61">
        <v>232.31599359244586</v>
      </c>
      <c r="R226" s="61">
        <v>211.61790742770424</v>
      </c>
      <c r="S226" s="61">
        <v>266.18328977320635</v>
      </c>
      <c r="T226" s="61" t="s">
        <v>23</v>
      </c>
      <c r="U226" s="61" t="s">
        <v>23</v>
      </c>
      <c r="V226" s="62">
        <v>230.92487985835933</v>
      </c>
      <c r="W226" s="62">
        <v>225.1074951521794</v>
      </c>
      <c r="X226" s="62" t="s">
        <v>23</v>
      </c>
      <c r="Y226" s="63">
        <v>194.7559227721103</v>
      </c>
      <c r="Z226" s="63">
        <v>221.8362701289942</v>
      </c>
    </row>
    <row r="227" ht="14.25" customHeight="1">
      <c r="A227" s="64">
        <v>44405.0</v>
      </c>
      <c r="B227" s="65">
        <v>278.79</v>
      </c>
      <c r="C227" s="65">
        <v>260.75</v>
      </c>
      <c r="D227" s="65">
        <v>235.0</v>
      </c>
      <c r="E227" s="65">
        <v>304.79</v>
      </c>
      <c r="F227" s="65" t="s">
        <v>23</v>
      </c>
      <c r="G227" s="65" t="s">
        <v>23</v>
      </c>
      <c r="H227" s="66">
        <v>278.04</v>
      </c>
      <c r="I227" s="66">
        <v>270.0</v>
      </c>
      <c r="J227" s="66" t="s">
        <v>23</v>
      </c>
      <c r="K227" s="67">
        <v>220.0</v>
      </c>
      <c r="L227" s="67">
        <v>250.12</v>
      </c>
      <c r="M227" s="58"/>
      <c r="N227" s="59">
        <v>1.1807</v>
      </c>
      <c r="O227" s="60"/>
      <c r="P227" s="68">
        <v>236.12263911239094</v>
      </c>
      <c r="Q227" s="68">
        <v>220.84356737528583</v>
      </c>
      <c r="R227" s="68">
        <v>199.03447107648003</v>
      </c>
      <c r="S227" s="68">
        <v>258.14347421021426</v>
      </c>
      <c r="T227" s="68" t="s">
        <v>23</v>
      </c>
      <c r="U227" s="68" t="s">
        <v>23</v>
      </c>
      <c r="V227" s="66">
        <v>235.48742271533837</v>
      </c>
      <c r="W227" s="66">
        <v>228.67790293893452</v>
      </c>
      <c r="X227" s="66" t="s">
        <v>23</v>
      </c>
      <c r="Y227" s="57">
        <v>186.33014313542813</v>
      </c>
      <c r="Z227" s="57">
        <v>211.84043364106037</v>
      </c>
    </row>
    <row r="228" ht="14.25" customHeight="1">
      <c r="A228" s="54">
        <v>44398.0</v>
      </c>
      <c r="B228" s="55">
        <v>285.04</v>
      </c>
      <c r="C228" s="55">
        <v>254.57</v>
      </c>
      <c r="D228" s="55">
        <v>232.0</v>
      </c>
      <c r="E228" s="55">
        <v>310.02</v>
      </c>
      <c r="F228" s="55" t="s">
        <v>23</v>
      </c>
      <c r="G228" s="55" t="s">
        <v>23</v>
      </c>
      <c r="H228" s="56">
        <v>284.14</v>
      </c>
      <c r="I228" s="56">
        <v>272.0</v>
      </c>
      <c r="J228" s="56" t="s">
        <v>23</v>
      </c>
      <c r="K228" s="57">
        <v>212.0</v>
      </c>
      <c r="L228" s="57">
        <v>242.77</v>
      </c>
      <c r="M228" s="58"/>
      <c r="N228" s="59">
        <v>1.1772</v>
      </c>
      <c r="O228" s="60"/>
      <c r="P228" s="61">
        <v>242.13387699626233</v>
      </c>
      <c r="Q228" s="61">
        <v>216.25042473666326</v>
      </c>
      <c r="R228" s="61">
        <v>197.07781175671084</v>
      </c>
      <c r="S228" s="61">
        <v>263.3537206931702</v>
      </c>
      <c r="T228" s="61" t="s">
        <v>23</v>
      </c>
      <c r="U228" s="61" t="s">
        <v>23</v>
      </c>
      <c r="V228" s="62">
        <v>241.36935100237852</v>
      </c>
      <c r="W228" s="62">
        <v>231.0567448182127</v>
      </c>
      <c r="X228" s="62" t="s">
        <v>23</v>
      </c>
      <c r="Y228" s="63">
        <v>180.0883452259599</v>
      </c>
      <c r="Z228" s="63">
        <v>206.22663948352022</v>
      </c>
    </row>
    <row r="229" ht="14.25" customHeight="1">
      <c r="A229" s="64">
        <v>44391.0</v>
      </c>
      <c r="B229" s="65">
        <v>259.04</v>
      </c>
      <c r="C229" s="65">
        <v>250.44</v>
      </c>
      <c r="D229" s="65">
        <v>218.0</v>
      </c>
      <c r="E229" s="65">
        <v>289.45</v>
      </c>
      <c r="F229" s="65" t="s">
        <v>23</v>
      </c>
      <c r="G229" s="65" t="s">
        <v>23</v>
      </c>
      <c r="H229" s="66">
        <v>287.49</v>
      </c>
      <c r="I229" s="66">
        <v>269.0</v>
      </c>
      <c r="J229" s="66" t="s">
        <v>23</v>
      </c>
      <c r="K229" s="67">
        <v>210.0</v>
      </c>
      <c r="L229" s="67">
        <v>239.8</v>
      </c>
      <c r="M229" s="58"/>
      <c r="N229" s="59">
        <v>1.1812</v>
      </c>
      <c r="O229" s="60"/>
      <c r="P229" s="68">
        <v>219.30240433457502</v>
      </c>
      <c r="Q229" s="68">
        <v>212.02167287504233</v>
      </c>
      <c r="R229" s="68">
        <v>184.55807653233998</v>
      </c>
      <c r="S229" s="68">
        <v>245.04740941415508</v>
      </c>
      <c r="T229" s="68" t="s">
        <v>23</v>
      </c>
      <c r="U229" s="68" t="s">
        <v>23</v>
      </c>
      <c r="V229" s="66">
        <v>243.38807991872673</v>
      </c>
      <c r="W229" s="66">
        <v>227.73450728073146</v>
      </c>
      <c r="X229" s="66" t="s">
        <v>23</v>
      </c>
      <c r="Y229" s="57">
        <v>177.78530308161191</v>
      </c>
      <c r="Z229" s="57">
        <v>203.013884185574</v>
      </c>
    </row>
    <row r="230" ht="14.25" customHeight="1">
      <c r="A230" s="54">
        <v>44384.0</v>
      </c>
      <c r="B230" s="55">
        <v>249.77</v>
      </c>
      <c r="C230" s="55">
        <v>241.68</v>
      </c>
      <c r="D230" s="55">
        <v>220.0</v>
      </c>
      <c r="E230" s="55">
        <v>274.11</v>
      </c>
      <c r="F230" s="55" t="s">
        <v>23</v>
      </c>
      <c r="G230" s="55" t="s">
        <v>23</v>
      </c>
      <c r="H230" s="56">
        <v>284.53</v>
      </c>
      <c r="I230" s="56">
        <v>274.0</v>
      </c>
      <c r="J230" s="56">
        <v>297.147396</v>
      </c>
      <c r="K230" s="57">
        <v>210.0</v>
      </c>
      <c r="L230" s="57">
        <v>232.24</v>
      </c>
      <c r="M230" s="58"/>
      <c r="N230" s="59">
        <v>1.1831</v>
      </c>
      <c r="O230" s="60"/>
      <c r="P230" s="61">
        <v>211.11486772039558</v>
      </c>
      <c r="Q230" s="61">
        <v>204.27689967035752</v>
      </c>
      <c r="R230" s="61">
        <v>185.95215958076238</v>
      </c>
      <c r="S230" s="61">
        <v>231.68793846673992</v>
      </c>
      <c r="T230" s="61" t="s">
        <v>23</v>
      </c>
      <c r="U230" s="61" t="s">
        <v>23</v>
      </c>
      <c r="V230" s="62">
        <v>240.495308934156</v>
      </c>
      <c r="W230" s="62">
        <v>231.59496238694953</v>
      </c>
      <c r="X230" s="62">
        <v>251.16</v>
      </c>
      <c r="Y230" s="63">
        <v>177.49978869072774</v>
      </c>
      <c r="Z230" s="63">
        <v>196.2978615501648</v>
      </c>
    </row>
    <row r="231" ht="14.25" customHeight="1">
      <c r="A231" s="64">
        <v>44377.0</v>
      </c>
      <c r="B231" s="65">
        <v>268.78</v>
      </c>
      <c r="C231" s="65">
        <v>250.92</v>
      </c>
      <c r="D231" s="65">
        <v>235.0</v>
      </c>
      <c r="E231" s="65">
        <v>295.88</v>
      </c>
      <c r="F231" s="65" t="s">
        <v>23</v>
      </c>
      <c r="G231" s="65" t="s">
        <v>23</v>
      </c>
      <c r="H231" s="66">
        <v>312.98</v>
      </c>
      <c r="I231" s="66">
        <v>280.0</v>
      </c>
      <c r="J231" s="66">
        <v>311.634132</v>
      </c>
      <c r="K231" s="67">
        <v>237.0</v>
      </c>
      <c r="L231" s="67">
        <v>246.18</v>
      </c>
      <c r="M231" s="58"/>
      <c r="N231" s="59">
        <v>1.1884</v>
      </c>
      <c r="O231" s="60"/>
      <c r="P231" s="68">
        <v>226.1696398519017</v>
      </c>
      <c r="Q231" s="68">
        <v>211.1410299562437</v>
      </c>
      <c r="R231" s="68">
        <v>197.74486704813197</v>
      </c>
      <c r="S231" s="68">
        <v>248.97340962638845</v>
      </c>
      <c r="T231" s="68" t="s">
        <v>23</v>
      </c>
      <c r="U231" s="68" t="s">
        <v>23</v>
      </c>
      <c r="V231" s="66">
        <v>263.3625042073376</v>
      </c>
      <c r="W231" s="66">
        <v>235.61090541905085</v>
      </c>
      <c r="X231" s="66">
        <v>262.23</v>
      </c>
      <c r="Y231" s="57">
        <v>199.42780208683948</v>
      </c>
      <c r="Z231" s="57">
        <v>207.1524739145069</v>
      </c>
    </row>
    <row r="232" ht="14.25" customHeight="1">
      <c r="A232" s="54">
        <v>44370.0</v>
      </c>
      <c r="B232" s="55">
        <v>270.53</v>
      </c>
      <c r="C232" s="55">
        <v>250.66</v>
      </c>
      <c r="D232" s="55">
        <v>239.0</v>
      </c>
      <c r="E232" s="55">
        <v>281.82</v>
      </c>
      <c r="F232" s="55">
        <v>328.0</v>
      </c>
      <c r="G232" s="55" t="s">
        <v>23</v>
      </c>
      <c r="H232" s="56">
        <v>291.03</v>
      </c>
      <c r="I232" s="56">
        <v>282.0</v>
      </c>
      <c r="J232" s="56">
        <v>328.92737300000005</v>
      </c>
      <c r="K232" s="57">
        <v>240.0</v>
      </c>
      <c r="L232" s="57">
        <v>249.46</v>
      </c>
      <c r="M232" s="58"/>
      <c r="N232" s="59">
        <v>1.1951</v>
      </c>
      <c r="O232" s="60"/>
      <c r="P232" s="61">
        <v>226.36599447744956</v>
      </c>
      <c r="Q232" s="61">
        <v>209.7397707304828</v>
      </c>
      <c r="R232" s="61">
        <v>199.98326499874486</v>
      </c>
      <c r="S232" s="61">
        <v>235.81290268596769</v>
      </c>
      <c r="T232" s="61">
        <v>274.45402058405153</v>
      </c>
      <c r="U232" s="61" t="s">
        <v>23</v>
      </c>
      <c r="V232" s="62">
        <v>243.51937076395276</v>
      </c>
      <c r="W232" s="62">
        <v>235.96351769726382</v>
      </c>
      <c r="X232" s="62">
        <v>275.23</v>
      </c>
      <c r="Y232" s="63">
        <v>200.82001506150112</v>
      </c>
      <c r="Z232" s="63">
        <v>208.73567065517528</v>
      </c>
    </row>
    <row r="233" ht="14.25" customHeight="1">
      <c r="A233" s="64">
        <v>44363.0</v>
      </c>
      <c r="B233" s="65">
        <v>274.75</v>
      </c>
      <c r="C233" s="65">
        <v>255.42</v>
      </c>
      <c r="D233" s="65">
        <v>248.0</v>
      </c>
      <c r="E233" s="65">
        <v>283.2</v>
      </c>
      <c r="F233" s="65">
        <v>328.0</v>
      </c>
      <c r="G233" s="65" t="s">
        <v>23</v>
      </c>
      <c r="H233" s="66">
        <v>298.8</v>
      </c>
      <c r="I233" s="66">
        <v>289.0</v>
      </c>
      <c r="J233" s="66" t="s">
        <v>23</v>
      </c>
      <c r="K233" s="67">
        <v>247.0</v>
      </c>
      <c r="L233" s="67">
        <v>251.79</v>
      </c>
      <c r="M233" s="58"/>
      <c r="N233" s="59">
        <v>1.2124</v>
      </c>
      <c r="O233" s="60"/>
      <c r="P233" s="68">
        <v>226.61662817551965</v>
      </c>
      <c r="Q233" s="68">
        <v>210.6730451996041</v>
      </c>
      <c r="R233" s="68">
        <v>204.5529528208512</v>
      </c>
      <c r="S233" s="68">
        <v>233.58627515671395</v>
      </c>
      <c r="T233" s="68">
        <v>270.5377763114484</v>
      </c>
      <c r="U233" s="68" t="s">
        <v>23</v>
      </c>
      <c r="V233" s="66">
        <v>246.45331573738042</v>
      </c>
      <c r="W233" s="66">
        <v>238.37017485978225</v>
      </c>
      <c r="X233" s="66" t="s">
        <v>23</v>
      </c>
      <c r="Y233" s="57">
        <v>203.72814252721875</v>
      </c>
      <c r="Z233" s="57">
        <v>207.67898383371826</v>
      </c>
    </row>
    <row r="234" ht="14.25" customHeight="1">
      <c r="A234" s="54">
        <v>44356.0</v>
      </c>
      <c r="B234" s="55">
        <v>287.43</v>
      </c>
      <c r="C234" s="55">
        <v>286.31</v>
      </c>
      <c r="D234" s="55">
        <v>260.0</v>
      </c>
      <c r="E234" s="55">
        <v>292.39</v>
      </c>
      <c r="F234" s="55">
        <v>328.0</v>
      </c>
      <c r="G234" s="55" t="s">
        <v>23</v>
      </c>
      <c r="H234" s="56">
        <v>310.12</v>
      </c>
      <c r="I234" s="56">
        <v>298.0</v>
      </c>
      <c r="J234" s="56" t="s">
        <v>23</v>
      </c>
      <c r="K234" s="57">
        <v>247.0</v>
      </c>
      <c r="L234" s="57">
        <v>279.0</v>
      </c>
      <c r="M234" s="58"/>
      <c r="N234" s="59">
        <v>1.2195</v>
      </c>
      <c r="O234" s="60"/>
      <c r="P234" s="61">
        <v>235.6949569495695</v>
      </c>
      <c r="Q234" s="61">
        <v>234.77654776547766</v>
      </c>
      <c r="R234" s="61">
        <v>213.2021320213202</v>
      </c>
      <c r="S234" s="61">
        <v>239.7621976219762</v>
      </c>
      <c r="T234" s="61">
        <v>268.96268962689624</v>
      </c>
      <c r="U234" s="61" t="s">
        <v>23</v>
      </c>
      <c r="V234" s="62">
        <v>254.30094300943009</v>
      </c>
      <c r="W234" s="62">
        <v>244.36244362443625</v>
      </c>
      <c r="X234" s="62" t="s">
        <v>23</v>
      </c>
      <c r="Y234" s="63">
        <v>202.5420254202542</v>
      </c>
      <c r="Z234" s="63">
        <v>228.78228782287823</v>
      </c>
    </row>
    <row r="235" ht="14.25" customHeight="1">
      <c r="A235" s="64">
        <v>44349.0</v>
      </c>
      <c r="B235" s="65">
        <v>291.19</v>
      </c>
      <c r="C235" s="65">
        <v>291.89</v>
      </c>
      <c r="D235" s="65">
        <v>263.0</v>
      </c>
      <c r="E235" s="65">
        <v>287.98</v>
      </c>
      <c r="F235" s="65">
        <v>328.0</v>
      </c>
      <c r="G235" s="65" t="s">
        <v>23</v>
      </c>
      <c r="H235" s="66">
        <v>309.04</v>
      </c>
      <c r="I235" s="66">
        <v>297.0</v>
      </c>
      <c r="J235" s="66" t="s">
        <v>23</v>
      </c>
      <c r="K235" s="67">
        <v>246.0</v>
      </c>
      <c r="L235" s="67">
        <v>283.34</v>
      </c>
      <c r="M235" s="58"/>
      <c r="N235" s="59">
        <v>1.2186</v>
      </c>
      <c r="O235" s="60"/>
      <c r="P235" s="68">
        <v>238.95453799441984</v>
      </c>
      <c r="Q235" s="68">
        <v>239.52896766781552</v>
      </c>
      <c r="R235" s="68">
        <v>215.82143443295587</v>
      </c>
      <c r="S235" s="68">
        <v>236.32036763499102</v>
      </c>
      <c r="T235" s="68">
        <v>269.1613326768423</v>
      </c>
      <c r="U235" s="68" t="s">
        <v>23</v>
      </c>
      <c r="V235" s="66">
        <v>253.60249466601022</v>
      </c>
      <c r="W235" s="66">
        <v>243.72230428360416</v>
      </c>
      <c r="X235" s="66" t="s">
        <v>23</v>
      </c>
      <c r="Y235" s="57">
        <v>201.87099950763172</v>
      </c>
      <c r="Z235" s="57">
        <v>232.51271951419662</v>
      </c>
    </row>
    <row r="236" ht="14.25" customHeight="1">
      <c r="A236" s="54">
        <v>44342.0</v>
      </c>
      <c r="B236" s="55">
        <v>275.03</v>
      </c>
      <c r="C236" s="55">
        <v>279.53</v>
      </c>
      <c r="D236" s="55">
        <v>261.0</v>
      </c>
      <c r="E236" s="55">
        <v>275.12</v>
      </c>
      <c r="F236" s="55">
        <v>328.0</v>
      </c>
      <c r="G236" s="55" t="s">
        <v>23</v>
      </c>
      <c r="H236" s="56">
        <v>291.92</v>
      </c>
      <c r="I236" s="56">
        <v>290.0</v>
      </c>
      <c r="J236" s="56" t="s">
        <v>23</v>
      </c>
      <c r="K236" s="57">
        <v>245.0</v>
      </c>
      <c r="L236" s="57">
        <v>270.99</v>
      </c>
      <c r="M236" s="58"/>
      <c r="N236" s="59">
        <v>1.2229</v>
      </c>
      <c r="O236" s="60"/>
      <c r="P236" s="61">
        <v>224.89982827704634</v>
      </c>
      <c r="Q236" s="61">
        <v>228.57960585493495</v>
      </c>
      <c r="R236" s="61">
        <v>213.42709951754026</v>
      </c>
      <c r="S236" s="61">
        <v>224.97342382860413</v>
      </c>
      <c r="T236" s="61">
        <v>268.21489901054866</v>
      </c>
      <c r="U236" s="61" t="s">
        <v>23</v>
      </c>
      <c r="V236" s="62">
        <v>238.71126011938833</v>
      </c>
      <c r="W236" s="62">
        <v>237.14122168615583</v>
      </c>
      <c r="X236" s="62" t="s">
        <v>23</v>
      </c>
      <c r="Y236" s="63">
        <v>200.3434459072696</v>
      </c>
      <c r="Z236" s="63">
        <v>221.596205740453</v>
      </c>
    </row>
    <row r="237" ht="14.25" customHeight="1">
      <c r="A237" s="64">
        <v>44335.0</v>
      </c>
      <c r="B237" s="65">
        <v>286.33</v>
      </c>
      <c r="C237" s="65">
        <v>300.6</v>
      </c>
      <c r="D237" s="65">
        <v>267.0</v>
      </c>
      <c r="E237" s="65">
        <v>287.98</v>
      </c>
      <c r="F237" s="65">
        <v>328.0</v>
      </c>
      <c r="G237" s="65" t="s">
        <v>23</v>
      </c>
      <c r="H237" s="66">
        <v>304.02</v>
      </c>
      <c r="I237" s="66">
        <v>295.0</v>
      </c>
      <c r="J237" s="66">
        <v>327.03736000000004</v>
      </c>
      <c r="K237" s="67">
        <v>247.0</v>
      </c>
      <c r="L237" s="67">
        <v>288.38</v>
      </c>
      <c r="M237" s="58"/>
      <c r="N237" s="59">
        <v>1.2212</v>
      </c>
      <c r="O237" s="60"/>
      <c r="P237" s="68">
        <v>234.46609891909594</v>
      </c>
      <c r="Q237" s="68">
        <v>246.15132656403537</v>
      </c>
      <c r="R237" s="68">
        <v>218.6374058303308</v>
      </c>
      <c r="S237" s="68">
        <v>235.8172289551261</v>
      </c>
      <c r="T237" s="68">
        <v>268.58827382902064</v>
      </c>
      <c r="U237" s="68" t="s">
        <v>23</v>
      </c>
      <c r="V237" s="66">
        <v>248.951850638716</v>
      </c>
      <c r="W237" s="66">
        <v>241.56567310841794</v>
      </c>
      <c r="X237" s="66">
        <v>267.8</v>
      </c>
      <c r="Y237" s="57">
        <v>202.26007206026858</v>
      </c>
      <c r="Z237" s="57">
        <v>236.14477563052733</v>
      </c>
    </row>
    <row r="238" ht="14.25" customHeight="1">
      <c r="A238" s="54">
        <v>44328.0</v>
      </c>
      <c r="B238" s="55">
        <v>321.42</v>
      </c>
      <c r="C238" s="55">
        <v>295.87</v>
      </c>
      <c r="D238" s="55">
        <v>271.0</v>
      </c>
      <c r="E238" s="55">
        <v>306.72</v>
      </c>
      <c r="F238" s="55">
        <v>338.0</v>
      </c>
      <c r="G238" s="55">
        <v>332.39674</v>
      </c>
      <c r="H238" s="56">
        <v>325.77</v>
      </c>
      <c r="I238" s="56">
        <v>298.0</v>
      </c>
      <c r="J238" s="56">
        <v>326.33774</v>
      </c>
      <c r="K238" s="57">
        <v>250.0</v>
      </c>
      <c r="L238" s="57">
        <v>276.56</v>
      </c>
      <c r="M238" s="58"/>
      <c r="N238" s="59">
        <v>1.2118</v>
      </c>
      <c r="O238" s="60"/>
      <c r="P238" s="61">
        <v>265.24178907410464</v>
      </c>
      <c r="Q238" s="61">
        <v>244.15745172470704</v>
      </c>
      <c r="R238" s="61">
        <v>223.63426307971613</v>
      </c>
      <c r="S238" s="61">
        <v>253.11107443472523</v>
      </c>
      <c r="T238" s="61">
        <v>278.92391483743194</v>
      </c>
      <c r="U238" s="61">
        <v>274.3</v>
      </c>
      <c r="V238" s="62">
        <v>268.8314903449414</v>
      </c>
      <c r="W238" s="62">
        <v>245.91516751939264</v>
      </c>
      <c r="X238" s="62">
        <v>269.3</v>
      </c>
      <c r="Y238" s="63">
        <v>206.3046707377455</v>
      </c>
      <c r="Z238" s="63">
        <v>228.2224789569236</v>
      </c>
    </row>
    <row r="239" ht="14.25" customHeight="1">
      <c r="A239" s="64">
        <v>44321.0</v>
      </c>
      <c r="B239" s="65">
        <v>325.46</v>
      </c>
      <c r="C239" s="65">
        <v>295.93</v>
      </c>
      <c r="D239" s="65">
        <v>267.5</v>
      </c>
      <c r="E239" s="65">
        <v>316.64</v>
      </c>
      <c r="F239" s="65">
        <v>338.0</v>
      </c>
      <c r="G239" s="65">
        <v>329.29715</v>
      </c>
      <c r="H239" s="66">
        <v>324.49</v>
      </c>
      <c r="I239" s="66">
        <v>291.0</v>
      </c>
      <c r="J239" s="66">
        <v>313.69065</v>
      </c>
      <c r="K239" s="67">
        <v>247.0</v>
      </c>
      <c r="L239" s="67">
        <v>268.33</v>
      </c>
      <c r="M239" s="58"/>
      <c r="N239" s="59">
        <v>1.2005</v>
      </c>
      <c r="O239" s="60"/>
      <c r="P239" s="68">
        <v>271.103706788838</v>
      </c>
      <c r="Q239" s="68">
        <v>246.50562265722618</v>
      </c>
      <c r="R239" s="68">
        <v>222.82382340691382</v>
      </c>
      <c r="S239" s="68">
        <v>263.7567680133278</v>
      </c>
      <c r="T239" s="68">
        <v>281.5493544356518</v>
      </c>
      <c r="U239" s="68">
        <v>274.3</v>
      </c>
      <c r="V239" s="66">
        <v>270.29571012078304</v>
      </c>
      <c r="W239" s="66">
        <v>242.39900041649315</v>
      </c>
      <c r="X239" s="66">
        <v>261.3</v>
      </c>
      <c r="Y239" s="57">
        <v>205.7476051645148</v>
      </c>
      <c r="Z239" s="57">
        <v>223.51520199916703</v>
      </c>
    </row>
    <row r="240" ht="14.25" customHeight="1">
      <c r="A240" s="54">
        <v>44314.0</v>
      </c>
      <c r="B240" s="55">
        <v>314.25</v>
      </c>
      <c r="C240" s="55">
        <v>301.4</v>
      </c>
      <c r="D240" s="55">
        <v>263.0</v>
      </c>
      <c r="E240" s="55">
        <v>310.21</v>
      </c>
      <c r="F240" s="55">
        <v>338.0</v>
      </c>
      <c r="G240" s="55">
        <v>330.25934</v>
      </c>
      <c r="H240" s="56">
        <v>295.75</v>
      </c>
      <c r="I240" s="56">
        <v>282.0</v>
      </c>
      <c r="J240" s="56">
        <v>297.97209000000004</v>
      </c>
      <c r="K240" s="57">
        <v>245.0</v>
      </c>
      <c r="L240" s="57">
        <v>284.47</v>
      </c>
      <c r="M240" s="58"/>
      <c r="N240" s="59">
        <v>1.207</v>
      </c>
      <c r="O240" s="60"/>
      <c r="P240" s="61">
        <v>260.3562551781276</v>
      </c>
      <c r="Q240" s="61">
        <v>249.7100248550124</v>
      </c>
      <c r="R240" s="61">
        <v>217.89560894780445</v>
      </c>
      <c r="S240" s="61">
        <v>257.0091135045567</v>
      </c>
      <c r="T240" s="61">
        <v>280.03314001657</v>
      </c>
      <c r="U240" s="61">
        <v>273.62</v>
      </c>
      <c r="V240" s="62">
        <v>245.02899751449874</v>
      </c>
      <c r="W240" s="62">
        <v>233.63711681855838</v>
      </c>
      <c r="X240" s="62">
        <v>246.87</v>
      </c>
      <c r="Y240" s="63">
        <v>202.98260149130073</v>
      </c>
      <c r="Z240" s="63">
        <v>235.68351284175642</v>
      </c>
    </row>
    <row r="241" ht="14.25" customHeight="1">
      <c r="A241" s="64">
        <v>44307.0</v>
      </c>
      <c r="B241" s="65">
        <v>295.14</v>
      </c>
      <c r="C241" s="65">
        <v>282.93</v>
      </c>
      <c r="D241" s="65">
        <v>248.0</v>
      </c>
      <c r="E241" s="65">
        <v>288.71</v>
      </c>
      <c r="F241" s="65">
        <v>338.0</v>
      </c>
      <c r="G241" s="65" t="s">
        <v>23</v>
      </c>
      <c r="H241" s="66">
        <v>276.56</v>
      </c>
      <c r="I241" s="66">
        <v>269.0</v>
      </c>
      <c r="J241" s="66">
        <v>292.514534</v>
      </c>
      <c r="K241" s="67">
        <v>236.0</v>
      </c>
      <c r="L241" s="67">
        <v>264.88</v>
      </c>
      <c r="M241" s="58"/>
      <c r="N241" s="59">
        <v>1.2007</v>
      </c>
      <c r="O241" s="60"/>
      <c r="P241" s="68">
        <v>245.8066128091946</v>
      </c>
      <c r="Q241" s="68">
        <v>235.6375447655534</v>
      </c>
      <c r="R241" s="68">
        <v>206.5461813941867</v>
      </c>
      <c r="S241" s="68">
        <v>240.45140334804694</v>
      </c>
      <c r="T241" s="68">
        <v>281.50245690014157</v>
      </c>
      <c r="U241" s="68" t="s">
        <v>23</v>
      </c>
      <c r="V241" s="66">
        <v>230.33230615474304</v>
      </c>
      <c r="W241" s="66">
        <v>224.03597901224285</v>
      </c>
      <c r="X241" s="66">
        <v>243.62</v>
      </c>
      <c r="Y241" s="57">
        <v>196.55201132672607</v>
      </c>
      <c r="Z241" s="57">
        <v>220.60464728908136</v>
      </c>
    </row>
    <row r="242" ht="14.25" customHeight="1">
      <c r="A242" s="54">
        <v>44300.0</v>
      </c>
      <c r="B242" s="55">
        <v>282.19</v>
      </c>
      <c r="C242" s="55">
        <v>268.4</v>
      </c>
      <c r="D242" s="55">
        <v>240.0</v>
      </c>
      <c r="E242" s="55">
        <v>275.03</v>
      </c>
      <c r="F242" s="55">
        <v>338.0</v>
      </c>
      <c r="G242" s="55" t="s">
        <v>23</v>
      </c>
      <c r="H242" s="56">
        <v>266.13</v>
      </c>
      <c r="I242" s="56">
        <v>260.0</v>
      </c>
      <c r="J242" s="56">
        <v>278.00746799999996</v>
      </c>
      <c r="K242" s="57">
        <v>230.0</v>
      </c>
      <c r="L242" s="57">
        <v>251.64</v>
      </c>
      <c r="M242" s="58"/>
      <c r="N242" s="59">
        <v>1.1964</v>
      </c>
      <c r="O242" s="60"/>
      <c r="P242" s="61">
        <v>235.8659311267135</v>
      </c>
      <c r="Q242" s="61">
        <v>224.3396857238382</v>
      </c>
      <c r="R242" s="61">
        <v>200.60180541624877</v>
      </c>
      <c r="S242" s="61">
        <v>229.88131059846205</v>
      </c>
      <c r="T242" s="61">
        <v>282.5142092945503</v>
      </c>
      <c r="U242" s="61" t="s">
        <v>23</v>
      </c>
      <c r="V242" s="62">
        <v>222.44232698094285</v>
      </c>
      <c r="W242" s="62">
        <v>217.31862253426948</v>
      </c>
      <c r="X242" s="62">
        <v>232.36999999999998</v>
      </c>
      <c r="Y242" s="63">
        <v>192.2433968572384</v>
      </c>
      <c r="Z242" s="63">
        <v>210.33099297893682</v>
      </c>
    </row>
    <row r="243" ht="14.25" customHeight="1">
      <c r="A243" s="64">
        <v>44293.0</v>
      </c>
      <c r="B243" s="65">
        <v>272.36</v>
      </c>
      <c r="C243" s="65">
        <v>255.79</v>
      </c>
      <c r="D243" s="65">
        <v>242.0</v>
      </c>
      <c r="E243" s="65">
        <v>258.4</v>
      </c>
      <c r="F243" s="65">
        <v>338.0</v>
      </c>
      <c r="G243" s="65" t="s">
        <v>23</v>
      </c>
      <c r="H243" s="66">
        <v>253.33</v>
      </c>
      <c r="I243" s="66">
        <v>262.0</v>
      </c>
      <c r="J243" s="66" t="s">
        <v>23</v>
      </c>
      <c r="K243" s="67">
        <v>230.0</v>
      </c>
      <c r="L243" s="67">
        <v>234.39</v>
      </c>
      <c r="M243" s="58"/>
      <c r="N243" s="59">
        <v>1.1884</v>
      </c>
      <c r="O243" s="60"/>
      <c r="P243" s="68">
        <v>229.18209357118818</v>
      </c>
      <c r="Q243" s="68">
        <v>215.23897677549647</v>
      </c>
      <c r="R243" s="68">
        <v>203.63513968360823</v>
      </c>
      <c r="S243" s="68">
        <v>217.43520700100976</v>
      </c>
      <c r="T243" s="68">
        <v>284.4160215415685</v>
      </c>
      <c r="U243" s="68" t="s">
        <v>23</v>
      </c>
      <c r="V243" s="66">
        <v>213.16896667788626</v>
      </c>
      <c r="W243" s="66">
        <v>220.4644900706833</v>
      </c>
      <c r="X243" s="66" t="s">
        <v>23</v>
      </c>
      <c r="Y243" s="57">
        <v>193.53752945136318</v>
      </c>
      <c r="Z243" s="57">
        <v>197.23157186132616</v>
      </c>
    </row>
    <row r="244" ht="14.25" customHeight="1">
      <c r="A244" s="54">
        <v>44286.0</v>
      </c>
      <c r="B244" s="55">
        <v>273.01</v>
      </c>
      <c r="C244" s="55">
        <v>259.73</v>
      </c>
      <c r="D244" s="55">
        <v>243.0</v>
      </c>
      <c r="E244" s="55">
        <v>262.99</v>
      </c>
      <c r="F244" s="55">
        <v>338.0</v>
      </c>
      <c r="G244" s="55" t="s">
        <v>23</v>
      </c>
      <c r="H244" s="56">
        <v>254.81</v>
      </c>
      <c r="I244" s="56">
        <v>262.0</v>
      </c>
      <c r="J244" s="56" t="s">
        <v>23</v>
      </c>
      <c r="K244" s="57">
        <v>230.0</v>
      </c>
      <c r="L244" s="57">
        <v>236.25</v>
      </c>
      <c r="M244" s="58"/>
      <c r="N244" s="59">
        <v>1.1725</v>
      </c>
      <c r="O244" s="60"/>
      <c r="P244" s="61">
        <v>232.84434968017055</v>
      </c>
      <c r="Q244" s="61">
        <v>221.5181236673774</v>
      </c>
      <c r="R244" s="61">
        <v>207.24946695095946</v>
      </c>
      <c r="S244" s="61">
        <v>224.29850746268656</v>
      </c>
      <c r="T244" s="61">
        <v>288.27292110874197</v>
      </c>
      <c r="U244" s="61" t="s">
        <v>23</v>
      </c>
      <c r="V244" s="62">
        <v>217.32196162046907</v>
      </c>
      <c r="W244" s="62">
        <v>223.45415778251598</v>
      </c>
      <c r="X244" s="62" t="s">
        <v>23</v>
      </c>
      <c r="Y244" s="63">
        <v>196.16204690831555</v>
      </c>
      <c r="Z244" s="63">
        <v>201.49253731343282</v>
      </c>
    </row>
    <row r="245" ht="14.25" customHeight="1">
      <c r="A245" s="64">
        <v>44279.0</v>
      </c>
      <c r="B245" s="65">
        <v>275.49</v>
      </c>
      <c r="C245" s="65">
        <v>270.41</v>
      </c>
      <c r="D245" s="65">
        <v>261.0</v>
      </c>
      <c r="E245" s="65">
        <v>263.18</v>
      </c>
      <c r="F245" s="65">
        <v>338.0</v>
      </c>
      <c r="G245" s="65" t="s">
        <v>23</v>
      </c>
      <c r="H245" s="66">
        <v>251.66</v>
      </c>
      <c r="I245" s="66">
        <v>263.5</v>
      </c>
      <c r="J245" s="66">
        <v>268.94780000000003</v>
      </c>
      <c r="K245" s="67">
        <v>241.0</v>
      </c>
      <c r="L245" s="67">
        <v>249.13</v>
      </c>
      <c r="M245" s="58"/>
      <c r="N245" s="59">
        <v>1.1825</v>
      </c>
      <c r="O245" s="60"/>
      <c r="P245" s="68">
        <v>232.97251585623678</v>
      </c>
      <c r="Q245" s="68">
        <v>228.67653276955602</v>
      </c>
      <c r="R245" s="68">
        <v>220.71881606765325</v>
      </c>
      <c r="S245" s="68">
        <v>222.56236786469344</v>
      </c>
      <c r="T245" s="68">
        <v>285.8350951374207</v>
      </c>
      <c r="U245" s="68" t="s">
        <v>23</v>
      </c>
      <c r="V245" s="66">
        <v>212.82029598308665</v>
      </c>
      <c r="W245" s="66">
        <v>222.83298097251583</v>
      </c>
      <c r="X245" s="66">
        <v>227.44</v>
      </c>
      <c r="Y245" s="57">
        <v>203.80549682875264</v>
      </c>
      <c r="Z245" s="57">
        <v>210.68076109936572</v>
      </c>
    </row>
    <row r="246" ht="14.25" customHeight="1">
      <c r="A246" s="54">
        <v>44272.0</v>
      </c>
      <c r="B246" s="55">
        <v>281.09</v>
      </c>
      <c r="C246" s="55">
        <v>275.19</v>
      </c>
      <c r="D246" s="55">
        <v>271.0</v>
      </c>
      <c r="E246" s="55">
        <v>275.21</v>
      </c>
      <c r="F246" s="55">
        <v>338.0</v>
      </c>
      <c r="G246" s="55" t="s">
        <v>23</v>
      </c>
      <c r="H246" s="56">
        <v>252.74</v>
      </c>
      <c r="I246" s="56">
        <v>265.0</v>
      </c>
      <c r="J246" s="56">
        <v>273.194208</v>
      </c>
      <c r="K246" s="57">
        <v>245.0</v>
      </c>
      <c r="L246" s="57">
        <v>256.15</v>
      </c>
      <c r="M246" s="58"/>
      <c r="N246" s="59">
        <v>1.1907</v>
      </c>
      <c r="O246" s="60"/>
      <c r="P246" s="61">
        <v>236.0712186109011</v>
      </c>
      <c r="Q246" s="61">
        <v>231.1161501637692</v>
      </c>
      <c r="R246" s="61">
        <v>227.59721172419583</v>
      </c>
      <c r="S246" s="61">
        <v>231.13294700596285</v>
      </c>
      <c r="T246" s="61">
        <v>283.86663307298227</v>
      </c>
      <c r="U246" s="61" t="s">
        <v>23</v>
      </c>
      <c r="V246" s="62">
        <v>212.26169480137733</v>
      </c>
      <c r="W246" s="62">
        <v>222.55815906609556</v>
      </c>
      <c r="X246" s="62">
        <v>229.44</v>
      </c>
      <c r="Y246" s="63">
        <v>205.76131687242795</v>
      </c>
      <c r="Z246" s="63">
        <v>215.12555639539764</v>
      </c>
    </row>
    <row r="247" ht="14.25" customHeight="1">
      <c r="A247" s="64">
        <v>44265.0</v>
      </c>
      <c r="B247" s="65">
        <v>285.68</v>
      </c>
      <c r="C247" s="65">
        <v>288.21</v>
      </c>
      <c r="D247" s="65">
        <v>280.0</v>
      </c>
      <c r="E247" s="65">
        <v>280.91</v>
      </c>
      <c r="F247" s="65">
        <v>338.0</v>
      </c>
      <c r="G247" s="65" t="s">
        <v>23</v>
      </c>
      <c r="H247" s="66">
        <v>247.13</v>
      </c>
      <c r="I247" s="66">
        <v>262.0</v>
      </c>
      <c r="J247" s="66">
        <v>274.633848</v>
      </c>
      <c r="K247" s="67">
        <v>246.0</v>
      </c>
      <c r="L247" s="67">
        <v>266.79</v>
      </c>
      <c r="M247" s="58"/>
      <c r="N247" s="59">
        <v>1.1892</v>
      </c>
      <c r="O247" s="60"/>
      <c r="P247" s="68">
        <v>240.22872519340734</v>
      </c>
      <c r="Q247" s="68">
        <v>242.35620585267404</v>
      </c>
      <c r="R247" s="68">
        <v>235.45240497813654</v>
      </c>
      <c r="S247" s="68">
        <v>236.21762529431552</v>
      </c>
      <c r="T247" s="68">
        <v>284.2246888664648</v>
      </c>
      <c r="U247" s="68" t="s">
        <v>23</v>
      </c>
      <c r="V247" s="66">
        <v>207.81197443659602</v>
      </c>
      <c r="W247" s="66">
        <v>220.31617894382777</v>
      </c>
      <c r="X247" s="66">
        <v>230.94</v>
      </c>
      <c r="Y247" s="57">
        <v>206.86175580221996</v>
      </c>
      <c r="Z247" s="57">
        <v>224.34409687184663</v>
      </c>
    </row>
    <row r="248" ht="14.25" customHeight="1">
      <c r="A248" s="54">
        <v>44258.0</v>
      </c>
      <c r="B248" s="55">
        <v>287.34</v>
      </c>
      <c r="C248" s="55">
        <v>296.04</v>
      </c>
      <c r="D248" s="55">
        <v>284.0</v>
      </c>
      <c r="E248" s="55">
        <v>283.85</v>
      </c>
      <c r="F248" s="55">
        <v>324.0</v>
      </c>
      <c r="G248" s="55" t="s">
        <v>23</v>
      </c>
      <c r="H248" s="56">
        <v>250.48</v>
      </c>
      <c r="I248" s="56">
        <v>264.0</v>
      </c>
      <c r="J248" s="56" t="s">
        <v>23</v>
      </c>
      <c r="K248" s="57">
        <v>244.0</v>
      </c>
      <c r="L248" s="57">
        <v>274.31</v>
      </c>
      <c r="M248" s="58"/>
      <c r="N248" s="59">
        <v>1.2048</v>
      </c>
      <c r="O248" s="60"/>
      <c r="P248" s="61">
        <v>238.49601593625493</v>
      </c>
      <c r="Q248" s="61">
        <v>245.71713147410358</v>
      </c>
      <c r="R248" s="61">
        <v>235.72377158034527</v>
      </c>
      <c r="S248" s="61">
        <v>235.5992695883134</v>
      </c>
      <c r="T248" s="61">
        <v>268.9243027888446</v>
      </c>
      <c r="U248" s="61" t="s">
        <v>23</v>
      </c>
      <c r="V248" s="62">
        <v>207.9017264276228</v>
      </c>
      <c r="W248" s="62">
        <v>219.1235059760956</v>
      </c>
      <c r="X248" s="62" t="s">
        <v>23</v>
      </c>
      <c r="Y248" s="63">
        <v>202.52324037184593</v>
      </c>
      <c r="Z248" s="63">
        <v>227.6809428950863</v>
      </c>
    </row>
    <row r="249" ht="14.25" customHeight="1">
      <c r="A249" s="64">
        <v>44251.0</v>
      </c>
      <c r="B249" s="65">
        <v>297.72</v>
      </c>
      <c r="C249" s="65">
        <v>300.24</v>
      </c>
      <c r="D249" s="65">
        <v>282.0</v>
      </c>
      <c r="E249" s="65">
        <v>297.99</v>
      </c>
      <c r="F249" s="65">
        <v>324.0</v>
      </c>
      <c r="G249" s="65" t="s">
        <v>23</v>
      </c>
      <c r="H249" s="66">
        <v>254.42</v>
      </c>
      <c r="I249" s="66">
        <v>264.0</v>
      </c>
      <c r="J249" s="66">
        <v>284.228546</v>
      </c>
      <c r="K249" s="67">
        <v>244.0</v>
      </c>
      <c r="L249" s="67">
        <v>280.82</v>
      </c>
      <c r="M249" s="58"/>
      <c r="N249" s="59">
        <v>1.2146</v>
      </c>
      <c r="O249" s="60"/>
      <c r="P249" s="68">
        <v>245.11773423349254</v>
      </c>
      <c r="Q249" s="68">
        <v>247.19249135517867</v>
      </c>
      <c r="R249" s="68">
        <v>232.17520171249797</v>
      </c>
      <c r="S249" s="68">
        <v>245.34002963938747</v>
      </c>
      <c r="T249" s="68">
        <v>266.75448707393383</v>
      </c>
      <c r="U249" s="68" t="s">
        <v>23</v>
      </c>
      <c r="V249" s="66">
        <v>209.4681376584884</v>
      </c>
      <c r="W249" s="66">
        <v>217.3555079861683</v>
      </c>
      <c r="X249" s="66">
        <v>234.01000000000002</v>
      </c>
      <c r="Y249" s="57">
        <v>200.8891816235798</v>
      </c>
      <c r="Z249" s="57">
        <v>231.20368845710524</v>
      </c>
    </row>
    <row r="250" ht="14.25" customHeight="1">
      <c r="A250" s="54">
        <v>44244.0</v>
      </c>
      <c r="B250" s="55">
        <v>284.4</v>
      </c>
      <c r="C250" s="55">
        <v>284.51</v>
      </c>
      <c r="D250" s="55">
        <v>276.0</v>
      </c>
      <c r="E250" s="55">
        <v>286.42</v>
      </c>
      <c r="F250" s="55">
        <v>324.0</v>
      </c>
      <c r="G250" s="55">
        <v>345.53105999999997</v>
      </c>
      <c r="H250" s="56">
        <v>251.96</v>
      </c>
      <c r="I250" s="56">
        <v>259.0</v>
      </c>
      <c r="J250" s="56">
        <v>274.67856</v>
      </c>
      <c r="K250" s="57">
        <v>243.0</v>
      </c>
      <c r="L250" s="57">
        <v>265.24</v>
      </c>
      <c r="M250" s="58"/>
      <c r="N250" s="59">
        <v>1.206</v>
      </c>
      <c r="O250" s="60"/>
      <c r="P250" s="61">
        <v>235.82089552238804</v>
      </c>
      <c r="Q250" s="61">
        <v>235.91210613598673</v>
      </c>
      <c r="R250" s="61">
        <v>228.85572139303483</v>
      </c>
      <c r="S250" s="61">
        <v>237.49585406301827</v>
      </c>
      <c r="T250" s="61">
        <v>268.65671641791045</v>
      </c>
      <c r="U250" s="61">
        <v>286.51</v>
      </c>
      <c r="V250" s="62">
        <v>208.92205638474297</v>
      </c>
      <c r="W250" s="62">
        <v>214.75953565505804</v>
      </c>
      <c r="X250" s="62">
        <v>227.76000000000002</v>
      </c>
      <c r="Y250" s="63">
        <v>201.49253731343285</v>
      </c>
      <c r="Z250" s="63">
        <v>219.93366500829188</v>
      </c>
    </row>
    <row r="251" ht="14.25" customHeight="1">
      <c r="A251" s="64">
        <v>44237.0</v>
      </c>
      <c r="B251" s="65">
        <v>283.11</v>
      </c>
      <c r="C251" s="65">
        <v>279.4</v>
      </c>
      <c r="D251" s="65">
        <v>278.0</v>
      </c>
      <c r="E251" s="65">
        <v>284.4</v>
      </c>
      <c r="F251" s="65">
        <v>324.0</v>
      </c>
      <c r="G251" s="65" t="s">
        <v>23</v>
      </c>
      <c r="H251" s="66">
        <v>244.67</v>
      </c>
      <c r="I251" s="66">
        <v>262.0</v>
      </c>
      <c r="J251" s="66">
        <v>274.688677</v>
      </c>
      <c r="K251" s="67">
        <v>250.0</v>
      </c>
      <c r="L251" s="67">
        <v>262.42</v>
      </c>
      <c r="M251" s="58"/>
      <c r="N251" s="59">
        <v>1.2127</v>
      </c>
      <c r="O251" s="60"/>
      <c r="P251" s="68">
        <v>233.45427558340896</v>
      </c>
      <c r="Q251" s="68">
        <v>230.39498639399687</v>
      </c>
      <c r="R251" s="68">
        <v>229.24053764327536</v>
      </c>
      <c r="S251" s="68">
        <v>234.51801764657375</v>
      </c>
      <c r="T251" s="68">
        <v>267.1724251669828</v>
      </c>
      <c r="U251" s="68" t="s">
        <v>23</v>
      </c>
      <c r="V251" s="66">
        <v>201.75641131359777</v>
      </c>
      <c r="W251" s="66">
        <v>216.0468376350293</v>
      </c>
      <c r="X251" s="66">
        <v>226.51000000000002</v>
      </c>
      <c r="Y251" s="57">
        <v>206.15156262884474</v>
      </c>
      <c r="Z251" s="57">
        <v>216.39317226024576</v>
      </c>
    </row>
    <row r="252" ht="14.25" customHeight="1">
      <c r="A252" s="54">
        <v>44230.0</v>
      </c>
      <c r="B252" s="55">
        <v>287.8</v>
      </c>
      <c r="C252" s="55">
        <v>279.29</v>
      </c>
      <c r="D252" s="55">
        <v>284.0</v>
      </c>
      <c r="E252" s="55">
        <v>290.46</v>
      </c>
      <c r="F252" s="55">
        <v>324.0</v>
      </c>
      <c r="G252" s="55" t="s">
        <v>23</v>
      </c>
      <c r="H252" s="56">
        <v>253.53</v>
      </c>
      <c r="I252" s="56">
        <v>264.0</v>
      </c>
      <c r="J252" s="56" t="s">
        <v>23</v>
      </c>
      <c r="K252" s="57">
        <v>250.0</v>
      </c>
      <c r="L252" s="57">
        <v>261.25</v>
      </c>
      <c r="M252" s="58"/>
      <c r="N252" s="59">
        <v>1.2017</v>
      </c>
      <c r="O252" s="60"/>
      <c r="P252" s="61">
        <v>239.49405009569776</v>
      </c>
      <c r="Q252" s="61">
        <v>232.41241574436216</v>
      </c>
      <c r="R252" s="61">
        <v>236.33186319380877</v>
      </c>
      <c r="S252" s="61">
        <v>241.70758092702005</v>
      </c>
      <c r="T252" s="61">
        <v>269.61804110842974</v>
      </c>
      <c r="U252" s="61" t="s">
        <v>23</v>
      </c>
      <c r="V252" s="62">
        <v>210.97611716734627</v>
      </c>
      <c r="W252" s="62">
        <v>219.6887742364983</v>
      </c>
      <c r="X252" s="62" t="s">
        <v>23</v>
      </c>
      <c r="Y252" s="63">
        <v>208.03861196638096</v>
      </c>
      <c r="Z252" s="63">
        <v>217.4003495048681</v>
      </c>
    </row>
    <row r="253" ht="14.25" customHeight="1">
      <c r="A253" s="64">
        <v>44223.0</v>
      </c>
      <c r="B253" s="65">
        <v>289.63</v>
      </c>
      <c r="C253" s="65">
        <v>289.63</v>
      </c>
      <c r="D253" s="65">
        <v>287.0</v>
      </c>
      <c r="E253" s="65">
        <v>294.59</v>
      </c>
      <c r="F253" s="65">
        <v>324.0</v>
      </c>
      <c r="G253" s="65" t="s">
        <v>23</v>
      </c>
      <c r="H253" s="66">
        <v>246.05</v>
      </c>
      <c r="I253" s="66">
        <v>262.0</v>
      </c>
      <c r="J253" s="66">
        <v>273.26761200000004</v>
      </c>
      <c r="K253" s="67">
        <v>254.0</v>
      </c>
      <c r="L253" s="67">
        <v>273.9</v>
      </c>
      <c r="M253" s="58"/>
      <c r="N253" s="59">
        <v>1.2114</v>
      </c>
      <c r="O253" s="60"/>
      <c r="P253" s="68">
        <v>239.08700676902757</v>
      </c>
      <c r="Q253" s="68">
        <v>239.08700676902757</v>
      </c>
      <c r="R253" s="68">
        <v>236.9159649991745</v>
      </c>
      <c r="S253" s="68">
        <v>243.18144295856032</v>
      </c>
      <c r="T253" s="68">
        <v>267.4591381872214</v>
      </c>
      <c r="U253" s="68" t="s">
        <v>23</v>
      </c>
      <c r="V253" s="66">
        <v>203.1121017005118</v>
      </c>
      <c r="W253" s="66">
        <v>216.27868581806175</v>
      </c>
      <c r="X253" s="66">
        <v>225.58000000000004</v>
      </c>
      <c r="Y253" s="57">
        <v>209.67475648010566</v>
      </c>
      <c r="Z253" s="57">
        <v>226.1020307082714</v>
      </c>
    </row>
    <row r="254" ht="14.25" customHeight="1">
      <c r="A254" s="54">
        <v>44216.0</v>
      </c>
      <c r="B254" s="55">
        <v>294.96</v>
      </c>
      <c r="C254" s="55">
        <v>293.47</v>
      </c>
      <c r="D254" s="55">
        <v>292.0</v>
      </c>
      <c r="E254" s="55">
        <v>294.68</v>
      </c>
      <c r="F254" s="55">
        <v>310.0</v>
      </c>
      <c r="G254" s="55" t="s">
        <v>23</v>
      </c>
      <c r="H254" s="56">
        <v>246.84</v>
      </c>
      <c r="I254" s="56">
        <v>265.0</v>
      </c>
      <c r="J254" s="56">
        <v>266.318808</v>
      </c>
      <c r="K254" s="57">
        <v>240.0</v>
      </c>
      <c r="L254" s="57">
        <v>275.31</v>
      </c>
      <c r="M254" s="58"/>
      <c r="N254" s="59">
        <v>1.2101</v>
      </c>
      <c r="O254" s="60"/>
      <c r="P254" s="61">
        <v>243.74845054127758</v>
      </c>
      <c r="Q254" s="61">
        <v>242.5171473431948</v>
      </c>
      <c r="R254" s="61">
        <v>241.3023717048178</v>
      </c>
      <c r="S254" s="61">
        <v>243.51706470539625</v>
      </c>
      <c r="T254" s="61">
        <v>256.1771754400463</v>
      </c>
      <c r="U254" s="61" t="s">
        <v>23</v>
      </c>
      <c r="V254" s="62">
        <v>203.9831418891001</v>
      </c>
      <c r="W254" s="62">
        <v>218.99016610197506</v>
      </c>
      <c r="X254" s="62">
        <v>220.08</v>
      </c>
      <c r="Y254" s="63">
        <v>198.33071646971325</v>
      </c>
      <c r="Z254" s="63">
        <v>227.5101231303198</v>
      </c>
    </row>
    <row r="255" ht="14.25" customHeight="1">
      <c r="A255" s="64">
        <v>44209.0</v>
      </c>
      <c r="B255" s="65">
        <v>290.46</v>
      </c>
      <c r="C255" s="65">
        <v>287.36</v>
      </c>
      <c r="D255" s="65">
        <v>272.0</v>
      </c>
      <c r="E255" s="65">
        <v>290.55</v>
      </c>
      <c r="F255" s="65">
        <v>295.0</v>
      </c>
      <c r="G255" s="65" t="s">
        <v>23</v>
      </c>
      <c r="H255" s="66">
        <v>251.76</v>
      </c>
      <c r="I255" s="66">
        <v>260.0</v>
      </c>
      <c r="J255" s="66">
        <v>272.007428</v>
      </c>
      <c r="K255" s="67">
        <v>229.0</v>
      </c>
      <c r="L255" s="67">
        <v>269.12</v>
      </c>
      <c r="M255" s="58"/>
      <c r="N255" s="59">
        <v>1.2166</v>
      </c>
      <c r="O255" s="60"/>
      <c r="P255" s="68">
        <v>238.74732862074634</v>
      </c>
      <c r="Q255" s="68">
        <v>236.19924379418055</v>
      </c>
      <c r="R255" s="68">
        <v>223.57389445997043</v>
      </c>
      <c r="S255" s="68">
        <v>238.8213052770015</v>
      </c>
      <c r="T255" s="68">
        <v>242.4790399473944</v>
      </c>
      <c r="U255" s="68" t="s">
        <v>23</v>
      </c>
      <c r="V255" s="66">
        <v>206.93736643103733</v>
      </c>
      <c r="W255" s="66">
        <v>213.71034029261878</v>
      </c>
      <c r="X255" s="66">
        <v>223.58</v>
      </c>
      <c r="Y255" s="57">
        <v>188.2294920269604</v>
      </c>
      <c r="Z255" s="57">
        <v>221.20664145980604</v>
      </c>
    </row>
    <row r="256" ht="14.25" customHeight="1">
      <c r="A256" s="54">
        <v>44202.0</v>
      </c>
      <c r="B256" s="55">
        <v>285.68</v>
      </c>
      <c r="C256" s="55">
        <v>278.21</v>
      </c>
      <c r="D256" s="55">
        <v>267.0</v>
      </c>
      <c r="E256" s="55">
        <v>282.38</v>
      </c>
      <c r="F256" s="55">
        <v>295.0</v>
      </c>
      <c r="G256" s="55" t="s">
        <v>23</v>
      </c>
      <c r="H256" s="56">
        <v>240.15</v>
      </c>
      <c r="I256" s="56">
        <v>244.0</v>
      </c>
      <c r="J256" s="56">
        <v>265.98260400000004</v>
      </c>
      <c r="K256" s="57">
        <v>220.0</v>
      </c>
      <c r="L256" s="57">
        <v>257.32</v>
      </c>
      <c r="M256" s="58"/>
      <c r="N256" s="59">
        <v>1.2338</v>
      </c>
      <c r="O256" s="60"/>
      <c r="P256" s="61">
        <v>231.54482087858648</v>
      </c>
      <c r="Q256" s="61">
        <v>225.4903550008105</v>
      </c>
      <c r="R256" s="61">
        <v>216.4046036634787</v>
      </c>
      <c r="S256" s="61">
        <v>228.87015723780192</v>
      </c>
      <c r="T256" s="61">
        <v>239.09871940346895</v>
      </c>
      <c r="U256" s="61" t="s">
        <v>23</v>
      </c>
      <c r="V256" s="62">
        <v>194.64256767709514</v>
      </c>
      <c r="W256" s="62">
        <v>197.7630085913438</v>
      </c>
      <c r="X256" s="62">
        <v>215.58000000000004</v>
      </c>
      <c r="Y256" s="63">
        <v>178.31090938563787</v>
      </c>
      <c r="Z256" s="63">
        <v>208.55892365051062</v>
      </c>
    </row>
    <row r="257" ht="14.25" customHeight="1">
      <c r="A257" s="64">
        <v>44195.0</v>
      </c>
      <c r="B257" s="65">
        <v>283.2</v>
      </c>
      <c r="C257" s="65">
        <v>271.88</v>
      </c>
      <c r="D257" s="65">
        <v>256.0</v>
      </c>
      <c r="E257" s="65">
        <v>281.55</v>
      </c>
      <c r="F257" s="65">
        <v>295.0</v>
      </c>
      <c r="G257" s="65" t="s">
        <v>23</v>
      </c>
      <c r="H257" s="66">
        <v>232.08</v>
      </c>
      <c r="I257" s="66">
        <v>234.0</v>
      </c>
      <c r="J257" s="66" t="s">
        <v>23</v>
      </c>
      <c r="K257" s="67">
        <v>219.0</v>
      </c>
      <c r="L257" s="67">
        <v>254.7</v>
      </c>
      <c r="M257" s="58"/>
      <c r="N257" s="59">
        <v>1.2281</v>
      </c>
      <c r="O257" s="60"/>
      <c r="P257" s="68">
        <v>230.6001139972315</v>
      </c>
      <c r="Q257" s="68">
        <v>221.3826235648563</v>
      </c>
      <c r="R257" s="68">
        <v>208.4520804494748</v>
      </c>
      <c r="S257" s="68">
        <v>229.2565751974595</v>
      </c>
      <c r="T257" s="68">
        <v>240.2084520804495</v>
      </c>
      <c r="U257" s="68" t="s">
        <v>23</v>
      </c>
      <c r="V257" s="66">
        <v>188.974839182477</v>
      </c>
      <c r="W257" s="66">
        <v>190.53822978584807</v>
      </c>
      <c r="X257" s="66" t="s">
        <v>23</v>
      </c>
      <c r="Y257" s="57">
        <v>178.32424069701165</v>
      </c>
      <c r="Z257" s="57">
        <v>207.39353472844232</v>
      </c>
    </row>
    <row r="258" ht="14.25" customHeight="1">
      <c r="A258" s="54">
        <v>44188.0</v>
      </c>
      <c r="B258" s="55">
        <v>279.16</v>
      </c>
      <c r="C258" s="55">
        <v>268.17</v>
      </c>
      <c r="D258" s="55">
        <v>253.0</v>
      </c>
      <c r="E258" s="55">
        <v>276.68</v>
      </c>
      <c r="F258" s="55">
        <v>295.0</v>
      </c>
      <c r="G258" s="55" t="s">
        <v>23</v>
      </c>
      <c r="H258" s="56">
        <v>220.17</v>
      </c>
      <c r="I258" s="56">
        <v>229.5</v>
      </c>
      <c r="J258" s="56" t="s">
        <v>23</v>
      </c>
      <c r="K258" s="57">
        <v>217.0</v>
      </c>
      <c r="L258" s="57">
        <v>249.88</v>
      </c>
      <c r="M258" s="58"/>
      <c r="N258" s="59">
        <v>1.2166</v>
      </c>
      <c r="O258" s="60"/>
      <c r="P258" s="61">
        <v>229.45914844649025</v>
      </c>
      <c r="Q258" s="61">
        <v>220.4257767548907</v>
      </c>
      <c r="R258" s="61">
        <v>207.95660036166367</v>
      </c>
      <c r="S258" s="61">
        <v>227.42068058523756</v>
      </c>
      <c r="T258" s="61">
        <v>242.4790399473944</v>
      </c>
      <c r="U258" s="61" t="s">
        <v>23</v>
      </c>
      <c r="V258" s="62">
        <v>180.97156008548413</v>
      </c>
      <c r="W258" s="62">
        <v>188.64047345060004</v>
      </c>
      <c r="X258" s="62" t="s">
        <v>23</v>
      </c>
      <c r="Y258" s="63">
        <v>178.36593785960875</v>
      </c>
      <c r="Z258" s="63">
        <v>205.39207627815225</v>
      </c>
    </row>
    <row r="259" ht="14.25" customHeight="1">
      <c r="A259" s="64">
        <v>44181.0</v>
      </c>
      <c r="B259" s="65">
        <v>267.68</v>
      </c>
      <c r="C259" s="65">
        <v>263.48</v>
      </c>
      <c r="D259" s="65">
        <v>249.0</v>
      </c>
      <c r="E259" s="65">
        <v>266.94</v>
      </c>
      <c r="F259" s="65">
        <v>295.0</v>
      </c>
      <c r="G259" s="65" t="s">
        <v>23</v>
      </c>
      <c r="H259" s="66">
        <v>215.44</v>
      </c>
      <c r="I259" s="66">
        <v>228.0</v>
      </c>
      <c r="J259" s="66">
        <v>242.134485</v>
      </c>
      <c r="K259" s="67">
        <v>216.0</v>
      </c>
      <c r="L259" s="67">
        <v>247.66</v>
      </c>
      <c r="M259" s="58"/>
      <c r="N259" s="59">
        <v>1.2189</v>
      </c>
      <c r="O259" s="60"/>
      <c r="P259" s="68">
        <v>219.6078431372549</v>
      </c>
      <c r="Q259" s="68">
        <v>216.16211338091722</v>
      </c>
      <c r="R259" s="68">
        <v>204.28254984001967</v>
      </c>
      <c r="S259" s="68">
        <v>219.00073837066205</v>
      </c>
      <c r="T259" s="68">
        <v>242.02149479038476</v>
      </c>
      <c r="U259" s="68" t="s">
        <v>23</v>
      </c>
      <c r="V259" s="66">
        <v>176.7495282631881</v>
      </c>
      <c r="W259" s="66">
        <v>187.05390105833126</v>
      </c>
      <c r="X259" s="66">
        <v>198.65</v>
      </c>
      <c r="Y259" s="57">
        <v>177.20895889736647</v>
      </c>
      <c r="Z259" s="57">
        <v>203.1831979653786</v>
      </c>
    </row>
    <row r="260" ht="14.25" customHeight="1">
      <c r="A260" s="54">
        <v>44174.0</v>
      </c>
      <c r="B260" s="55">
        <v>262.07</v>
      </c>
      <c r="C260" s="55">
        <v>256.58</v>
      </c>
      <c r="D260" s="55">
        <v>248.0</v>
      </c>
      <c r="E260" s="55">
        <v>263.08</v>
      </c>
      <c r="F260" s="55">
        <v>295.0</v>
      </c>
      <c r="G260" s="55" t="s">
        <v>23</v>
      </c>
      <c r="H260" s="56">
        <v>218.0</v>
      </c>
      <c r="I260" s="56">
        <v>227.0</v>
      </c>
      <c r="J260" s="56">
        <v>240.54528500000004</v>
      </c>
      <c r="K260" s="57">
        <v>215.0</v>
      </c>
      <c r="L260" s="57">
        <v>242.09</v>
      </c>
      <c r="M260" s="58"/>
      <c r="N260" s="59">
        <v>1.2109</v>
      </c>
      <c r="O260" s="60"/>
      <c r="P260" s="61">
        <v>216.4257989924849</v>
      </c>
      <c r="Q260" s="61">
        <v>211.89198117102978</v>
      </c>
      <c r="R260" s="61">
        <v>204.80634238995788</v>
      </c>
      <c r="S260" s="61">
        <v>217.25988933850851</v>
      </c>
      <c r="T260" s="61">
        <v>243.62044760095796</v>
      </c>
      <c r="U260" s="61" t="s">
        <v>23</v>
      </c>
      <c r="V260" s="62">
        <v>180.0313816169791</v>
      </c>
      <c r="W260" s="62">
        <v>187.46386984887272</v>
      </c>
      <c r="X260" s="62">
        <v>198.65</v>
      </c>
      <c r="Y260" s="63">
        <v>177.5538855396812</v>
      </c>
      <c r="Z260" s="63">
        <v>199.92567511768104</v>
      </c>
    </row>
    <row r="261" ht="14.25" customHeight="1">
      <c r="A261" s="64">
        <v>44167.0</v>
      </c>
      <c r="B261" s="65">
        <v>264.0</v>
      </c>
      <c r="C261" s="65">
        <v>260.49</v>
      </c>
      <c r="D261" s="65">
        <v>249.0</v>
      </c>
      <c r="E261" s="65">
        <v>265.93</v>
      </c>
      <c r="F261" s="65">
        <v>295.0</v>
      </c>
      <c r="G261" s="65" t="s">
        <v>23</v>
      </c>
      <c r="H261" s="66">
        <v>220.07</v>
      </c>
      <c r="I261" s="66">
        <v>230.0</v>
      </c>
      <c r="J261" s="66">
        <v>246.93069</v>
      </c>
      <c r="K261" s="67">
        <v>215.0</v>
      </c>
      <c r="L261" s="67">
        <v>248.4</v>
      </c>
      <c r="M261" s="58"/>
      <c r="N261" s="59">
        <v>1.2066</v>
      </c>
      <c r="O261" s="60"/>
      <c r="P261" s="68">
        <v>218.7966185977126</v>
      </c>
      <c r="Q261" s="68">
        <v>215.88761810044755</v>
      </c>
      <c r="R261" s="68">
        <v>206.36499254102438</v>
      </c>
      <c r="S261" s="68">
        <v>220.39615448367314</v>
      </c>
      <c r="T261" s="68">
        <v>244.4886457815349</v>
      </c>
      <c r="U261" s="68" t="s">
        <v>23</v>
      </c>
      <c r="V261" s="66">
        <v>182.38852975302504</v>
      </c>
      <c r="W261" s="66">
        <v>190.61826620255263</v>
      </c>
      <c r="X261" s="66">
        <v>204.65</v>
      </c>
      <c r="Y261" s="57">
        <v>178.18664014586443</v>
      </c>
      <c r="Z261" s="57">
        <v>205.86772749875686</v>
      </c>
    </row>
    <row r="262" ht="14.25" customHeight="1">
      <c r="A262" s="54">
        <v>44160.0</v>
      </c>
      <c r="B262" s="55">
        <v>266.94</v>
      </c>
      <c r="C262" s="55">
        <v>259.01</v>
      </c>
      <c r="D262" s="55">
        <v>248.0</v>
      </c>
      <c r="E262" s="55">
        <v>264.74</v>
      </c>
      <c r="F262" s="55">
        <v>295.0</v>
      </c>
      <c r="G262" s="55">
        <v>346.85508000000004</v>
      </c>
      <c r="H262" s="56">
        <v>224.01</v>
      </c>
      <c r="I262" s="56">
        <v>236.0</v>
      </c>
      <c r="J262" s="56">
        <v>245.19558</v>
      </c>
      <c r="K262" s="57">
        <v>215.0</v>
      </c>
      <c r="L262" s="57">
        <v>247.11</v>
      </c>
      <c r="M262" s="58"/>
      <c r="N262" s="59">
        <v>1.189</v>
      </c>
      <c r="O262" s="60"/>
      <c r="P262" s="61">
        <v>224.50798990748527</v>
      </c>
      <c r="Q262" s="61">
        <v>217.83851976450796</v>
      </c>
      <c r="R262" s="61">
        <v>208.57863751051303</v>
      </c>
      <c r="S262" s="61">
        <v>222.65769554247265</v>
      </c>
      <c r="T262" s="61">
        <v>248.107653490328</v>
      </c>
      <c r="U262" s="61">
        <v>291.72</v>
      </c>
      <c r="V262" s="62">
        <v>188.40201850294363</v>
      </c>
      <c r="W262" s="62">
        <v>198.4861227922624</v>
      </c>
      <c r="X262" s="62">
        <v>206.22</v>
      </c>
      <c r="Y262" s="63">
        <v>180.8242220353238</v>
      </c>
      <c r="Z262" s="63">
        <v>207.8301093355761</v>
      </c>
    </row>
    <row r="263" ht="14.25" customHeight="1">
      <c r="A263" s="64">
        <v>44153.0</v>
      </c>
      <c r="B263" s="65">
        <v>269.24</v>
      </c>
      <c r="C263" s="65">
        <v>258.72</v>
      </c>
      <c r="D263" s="65">
        <v>249.0</v>
      </c>
      <c r="E263" s="65">
        <v>276.59</v>
      </c>
      <c r="F263" s="65">
        <v>295.0</v>
      </c>
      <c r="G263" s="65">
        <v>345.61989600000004</v>
      </c>
      <c r="H263" s="66">
        <v>227.84</v>
      </c>
      <c r="I263" s="66">
        <v>237.0</v>
      </c>
      <c r="J263" s="66">
        <v>239.10459600000002</v>
      </c>
      <c r="K263" s="67">
        <v>212.0</v>
      </c>
      <c r="L263" s="67">
        <v>245.07</v>
      </c>
      <c r="M263" s="58"/>
      <c r="N263" s="59">
        <v>1.1868</v>
      </c>
      <c r="O263" s="60"/>
      <c r="P263" s="68">
        <v>226.86215032018873</v>
      </c>
      <c r="Q263" s="68">
        <v>217.9979777553084</v>
      </c>
      <c r="R263" s="68">
        <v>209.80788675429724</v>
      </c>
      <c r="S263" s="68">
        <v>233.05527468823723</v>
      </c>
      <c r="T263" s="68">
        <v>248.56757667677786</v>
      </c>
      <c r="U263" s="68">
        <v>291.22</v>
      </c>
      <c r="V263" s="66">
        <v>191.97842938995618</v>
      </c>
      <c r="W263" s="66">
        <v>199.69666329625883</v>
      </c>
      <c r="X263" s="66">
        <v>201.47</v>
      </c>
      <c r="Y263" s="57">
        <v>178.63161442534545</v>
      </c>
      <c r="Z263" s="57">
        <v>206.49646107178967</v>
      </c>
    </row>
    <row r="264" ht="14.25" customHeight="1">
      <c r="A264" s="54">
        <v>44146.0</v>
      </c>
      <c r="B264" s="55">
        <v>269.33</v>
      </c>
      <c r="C264" s="55">
        <v>254.7</v>
      </c>
      <c r="D264" s="55">
        <v>250.0</v>
      </c>
      <c r="E264" s="55">
        <v>275.3</v>
      </c>
      <c r="F264" s="55">
        <v>295.0</v>
      </c>
      <c r="G264" s="55" t="s">
        <v>23</v>
      </c>
      <c r="H264" s="56">
        <v>221.35</v>
      </c>
      <c r="I264" s="56">
        <v>237.0</v>
      </c>
      <c r="J264" s="56" t="s">
        <v>23</v>
      </c>
      <c r="K264" s="57">
        <v>212.0</v>
      </c>
      <c r="L264" s="57">
        <v>239.41</v>
      </c>
      <c r="M264" s="58"/>
      <c r="N264" s="59">
        <v>1.1766</v>
      </c>
      <c r="O264" s="60"/>
      <c r="P264" s="61">
        <v>228.90532041475436</v>
      </c>
      <c r="Q264" s="61">
        <v>216.47118816930134</v>
      </c>
      <c r="R264" s="61">
        <v>212.47662757096717</v>
      </c>
      <c r="S264" s="61">
        <v>233.97926228114906</v>
      </c>
      <c r="T264" s="61">
        <v>250.72242053374126</v>
      </c>
      <c r="U264" s="61" t="s">
        <v>23</v>
      </c>
      <c r="V264" s="62">
        <v>188.12680605133434</v>
      </c>
      <c r="W264" s="62">
        <v>201.4278429372769</v>
      </c>
      <c r="X264" s="62" t="s">
        <v>23</v>
      </c>
      <c r="Y264" s="63">
        <v>180.18018018018017</v>
      </c>
      <c r="Z264" s="63">
        <v>203.476117627061</v>
      </c>
    </row>
    <row r="265" ht="14.25" customHeight="1">
      <c r="A265" s="64">
        <v>44139.0</v>
      </c>
      <c r="B265" s="65">
        <v>272.27</v>
      </c>
      <c r="C265" s="65">
        <v>248.09</v>
      </c>
      <c r="D265" s="65">
        <v>246.5</v>
      </c>
      <c r="E265" s="65">
        <v>277.32</v>
      </c>
      <c r="F265" s="65">
        <v>295.0</v>
      </c>
      <c r="G265" s="65">
        <v>341.338962</v>
      </c>
      <c r="H265" s="66">
        <v>219.38</v>
      </c>
      <c r="I265" s="66">
        <v>229.0</v>
      </c>
      <c r="J265" s="66">
        <v>231.74761199999998</v>
      </c>
      <c r="K265" s="67">
        <v>212.0</v>
      </c>
      <c r="L265" s="67">
        <v>230.49</v>
      </c>
      <c r="M265" s="58"/>
      <c r="N265" s="59">
        <v>1.1721</v>
      </c>
      <c r="O265" s="60"/>
      <c r="P265" s="68">
        <v>232.29246651309614</v>
      </c>
      <c r="Q265" s="68">
        <v>211.66282740380515</v>
      </c>
      <c r="R265" s="68">
        <v>210.30628785939768</v>
      </c>
      <c r="S265" s="68">
        <v>236.60097261325828</v>
      </c>
      <c r="T265" s="68">
        <v>251.68500981144956</v>
      </c>
      <c r="U265" s="68">
        <v>291.22</v>
      </c>
      <c r="V265" s="66">
        <v>187.16833034724002</v>
      </c>
      <c r="W265" s="66">
        <v>195.37582117566762</v>
      </c>
      <c r="X265" s="66">
        <v>197.72</v>
      </c>
      <c r="Y265" s="57">
        <v>180.87193925432985</v>
      </c>
      <c r="Z265" s="57">
        <v>196.64704376759664</v>
      </c>
    </row>
    <row r="266" ht="14.25" customHeight="1">
      <c r="A266" s="54">
        <v>44132.0</v>
      </c>
      <c r="B266" s="55">
        <v>273.28</v>
      </c>
      <c r="C266" s="55">
        <v>242.73</v>
      </c>
      <c r="D266" s="55">
        <v>249.0</v>
      </c>
      <c r="E266" s="55">
        <v>273.1</v>
      </c>
      <c r="F266" s="55">
        <v>294.0</v>
      </c>
      <c r="G266" s="55">
        <v>335.49774300000007</v>
      </c>
      <c r="H266" s="56">
        <v>223.02</v>
      </c>
      <c r="I266" s="56">
        <v>239.0</v>
      </c>
      <c r="J266" s="56">
        <v>233.707383</v>
      </c>
      <c r="K266" s="57">
        <v>214.0</v>
      </c>
      <c r="L266" s="57">
        <v>232.16</v>
      </c>
      <c r="M266" s="4"/>
      <c r="N266" s="59">
        <v>1.1727</v>
      </c>
      <c r="P266" s="61">
        <v>233.0348767800801</v>
      </c>
      <c r="Q266" s="61">
        <v>206.98388334612432</v>
      </c>
      <c r="R266" s="61">
        <v>212.33051931440264</v>
      </c>
      <c r="S266" s="61">
        <v>232.8813848384071</v>
      </c>
      <c r="T266" s="61">
        <v>250.7035047326682</v>
      </c>
      <c r="U266" s="61">
        <v>286.09000000000003</v>
      </c>
      <c r="V266" s="62">
        <v>190.17651573292403</v>
      </c>
      <c r="W266" s="62">
        <v>203.80318922145474</v>
      </c>
      <c r="X266" s="62">
        <v>199.29</v>
      </c>
      <c r="Y266" s="63">
        <v>182.484863989085</v>
      </c>
      <c r="Z266" s="63">
        <v>197.97049543787838</v>
      </c>
    </row>
    <row r="267" ht="14.25" customHeight="1">
      <c r="A267" s="64">
        <v>44125.0</v>
      </c>
      <c r="B267" s="65">
        <v>281.0</v>
      </c>
      <c r="C267" s="65">
        <v>255.89</v>
      </c>
      <c r="D267" s="65">
        <v>247.0</v>
      </c>
      <c r="E267" s="65">
        <v>282.83</v>
      </c>
      <c r="F267" s="65">
        <v>294.0</v>
      </c>
      <c r="G267" s="65">
        <v>333.183424</v>
      </c>
      <c r="H267" s="66">
        <v>227.84</v>
      </c>
      <c r="I267" s="66">
        <v>229.0</v>
      </c>
      <c r="J267" s="66">
        <v>235.902208</v>
      </c>
      <c r="K267" s="67">
        <v>206.0</v>
      </c>
      <c r="L267" s="67">
        <v>240.46</v>
      </c>
      <c r="M267" s="4"/>
      <c r="N267" s="59">
        <v>1.1852</v>
      </c>
      <c r="P267" s="68">
        <v>237.09078636517043</v>
      </c>
      <c r="Q267" s="68">
        <v>215.9044886938913</v>
      </c>
      <c r="R267" s="68">
        <v>208.40364495443805</v>
      </c>
      <c r="S267" s="68">
        <v>238.63482956463042</v>
      </c>
      <c r="T267" s="68">
        <v>248.05939925750928</v>
      </c>
      <c r="U267" s="68">
        <v>281.12</v>
      </c>
      <c r="V267" s="66">
        <v>192.23759703003714</v>
      </c>
      <c r="W267" s="66">
        <v>193.21633479581504</v>
      </c>
      <c r="X267" s="66">
        <v>199.04</v>
      </c>
      <c r="Y267" s="57">
        <v>173.81032737090786</v>
      </c>
      <c r="Z267" s="57">
        <v>202.88558893013837</v>
      </c>
    </row>
    <row r="268" ht="14.25" customHeight="1">
      <c r="A268" s="54">
        <v>44118.0</v>
      </c>
      <c r="B268" s="55">
        <v>268.87</v>
      </c>
      <c r="C268" s="55">
        <v>243.38</v>
      </c>
      <c r="D268" s="55">
        <v>239.0</v>
      </c>
      <c r="E268" s="55">
        <v>266.48</v>
      </c>
      <c r="F268" s="55">
        <v>294.0</v>
      </c>
      <c r="G268" s="55" t="s">
        <v>23</v>
      </c>
      <c r="H268" s="56">
        <v>214.75</v>
      </c>
      <c r="I268" s="56">
        <v>210.0</v>
      </c>
      <c r="J268" s="56">
        <v>214.77824999999999</v>
      </c>
      <c r="K268" s="57">
        <v>204.0</v>
      </c>
      <c r="L268" s="57">
        <v>225.75</v>
      </c>
      <c r="M268" s="4"/>
      <c r="N268" s="59">
        <v>1.175</v>
      </c>
      <c r="P268" s="61">
        <v>228.82553191489362</v>
      </c>
      <c r="Q268" s="61">
        <v>207.13191489361702</v>
      </c>
      <c r="R268" s="61">
        <v>203.40425531914892</v>
      </c>
      <c r="S268" s="61">
        <v>226.79148936170213</v>
      </c>
      <c r="T268" s="61">
        <v>250.2127659574468</v>
      </c>
      <c r="U268" s="61" t="s">
        <v>23</v>
      </c>
      <c r="V268" s="62">
        <v>182.7659574468085</v>
      </c>
      <c r="W268" s="62">
        <v>178.72340425531914</v>
      </c>
      <c r="X268" s="62">
        <v>182.79</v>
      </c>
      <c r="Y268" s="63">
        <v>173.61702127659575</v>
      </c>
      <c r="Z268" s="63">
        <v>192.12765957446808</v>
      </c>
    </row>
    <row r="269" ht="14.25" customHeight="1">
      <c r="A269" s="64">
        <v>44111.0</v>
      </c>
      <c r="B269" s="65">
        <v>272.82</v>
      </c>
      <c r="C269" s="65">
        <v>241.9</v>
      </c>
      <c r="D269" s="65">
        <v>235.0</v>
      </c>
      <c r="E269" s="65">
        <v>273.56</v>
      </c>
      <c r="F269" s="65">
        <v>294.0</v>
      </c>
      <c r="G269" s="65">
        <v>327.54733000000004</v>
      </c>
      <c r="H269" s="66">
        <v>210.13</v>
      </c>
      <c r="I269" s="66">
        <v>205.0</v>
      </c>
      <c r="J269" s="66" t="s">
        <v>23</v>
      </c>
      <c r="K269" s="67">
        <v>204.0</v>
      </c>
      <c r="L269" s="67">
        <v>216.6</v>
      </c>
      <c r="M269" s="4"/>
      <c r="N269" s="59">
        <v>1.177</v>
      </c>
      <c r="P269" s="68">
        <v>231.7926932880204</v>
      </c>
      <c r="Q269" s="68">
        <v>205.52251486830926</v>
      </c>
      <c r="R269" s="68">
        <v>199.66015293118096</v>
      </c>
      <c r="S269" s="68">
        <v>232.4214103653356</v>
      </c>
      <c r="T269" s="68">
        <v>249.78759558198809</v>
      </c>
      <c r="U269" s="68">
        <v>278.29</v>
      </c>
      <c r="V269" s="66">
        <v>178.53016142735768</v>
      </c>
      <c r="W269" s="66">
        <v>174.1716227697536</v>
      </c>
      <c r="X269" s="66" t="s">
        <v>23</v>
      </c>
      <c r="Y269" s="57">
        <v>173.32200509770604</v>
      </c>
      <c r="Z269" s="57">
        <v>184.02718776550552</v>
      </c>
    </row>
    <row r="270" ht="14.25" customHeight="1">
      <c r="A270" s="54">
        <v>44104.0</v>
      </c>
      <c r="B270" s="55">
        <v>261.98</v>
      </c>
      <c r="C270" s="55">
        <v>237.53</v>
      </c>
      <c r="D270" s="55">
        <v>229.0</v>
      </c>
      <c r="E270" s="55">
        <v>260.79</v>
      </c>
      <c r="F270" s="55">
        <v>294.0</v>
      </c>
      <c r="G270" s="55">
        <v>319.464488</v>
      </c>
      <c r="H270" s="56">
        <v>200.38</v>
      </c>
      <c r="I270" s="56">
        <v>198.0</v>
      </c>
      <c r="J270" s="56">
        <v>203.473332</v>
      </c>
      <c r="K270" s="57">
        <v>204.0</v>
      </c>
      <c r="L270" s="57">
        <v>212.92</v>
      </c>
      <c r="M270" s="4"/>
      <c r="N270" s="59">
        <v>1.1708</v>
      </c>
      <c r="P270" s="61">
        <v>223.76153057738298</v>
      </c>
      <c r="Q270" s="61">
        <v>202.87837376153055</v>
      </c>
      <c r="R270" s="61">
        <v>195.5927570891698</v>
      </c>
      <c r="S270" s="61">
        <v>222.74513153399386</v>
      </c>
      <c r="T270" s="61">
        <v>251.11035189613938</v>
      </c>
      <c r="U270" s="61">
        <v>272.86</v>
      </c>
      <c r="V270" s="62">
        <v>171.14793303723948</v>
      </c>
      <c r="W270" s="62">
        <v>169.11513495046123</v>
      </c>
      <c r="X270" s="62">
        <v>173.79</v>
      </c>
      <c r="Y270" s="63">
        <v>174.2398360095661</v>
      </c>
      <c r="Z270" s="63">
        <v>181.85855825076868</v>
      </c>
    </row>
    <row r="271" ht="14.25" customHeight="1">
      <c r="A271" s="64">
        <v>44097.0</v>
      </c>
      <c r="B271" s="65">
        <v>249.49</v>
      </c>
      <c r="C271" s="65">
        <v>231.94</v>
      </c>
      <c r="D271" s="65">
        <v>231.0</v>
      </c>
      <c r="E271" s="65">
        <v>249.58</v>
      </c>
      <c r="F271" s="65">
        <v>294.0</v>
      </c>
      <c r="G271" s="65" t="s">
        <v>23</v>
      </c>
      <c r="H271" s="66">
        <v>196.25</v>
      </c>
      <c r="I271" s="66">
        <v>196.0</v>
      </c>
      <c r="J271" s="66">
        <v>206.702868</v>
      </c>
      <c r="K271" s="67">
        <v>193.0</v>
      </c>
      <c r="L271" s="67">
        <v>209.76</v>
      </c>
      <c r="M271" s="4"/>
      <c r="N271" s="59">
        <v>1.1692</v>
      </c>
      <c r="P271" s="68">
        <v>213.3852206637017</v>
      </c>
      <c r="Q271" s="68">
        <v>198.37495723571672</v>
      </c>
      <c r="R271" s="68">
        <v>197.57098871022922</v>
      </c>
      <c r="S271" s="68">
        <v>213.4621963735888</v>
      </c>
      <c r="T271" s="68">
        <v>251.45398563120082</v>
      </c>
      <c r="U271" s="68" t="s">
        <v>23</v>
      </c>
      <c r="V271" s="66">
        <v>167.8498118371536</v>
      </c>
      <c r="W271" s="66">
        <v>167.63599042080054</v>
      </c>
      <c r="X271" s="66">
        <v>176.79</v>
      </c>
      <c r="Y271" s="57">
        <v>165.0701334245638</v>
      </c>
      <c r="Z271" s="57">
        <v>179.40472117687307</v>
      </c>
    </row>
    <row r="272" ht="14.25" customHeight="1">
      <c r="A272" s="54">
        <v>44090.0</v>
      </c>
      <c r="B272" s="55">
        <v>246.92</v>
      </c>
      <c r="C272" s="55">
        <v>229.16</v>
      </c>
      <c r="D272" s="55">
        <v>223.0</v>
      </c>
      <c r="E272" s="55">
        <v>246.18</v>
      </c>
      <c r="F272" s="55">
        <v>294.0</v>
      </c>
      <c r="G272" s="55" t="s">
        <v>23</v>
      </c>
      <c r="H272" s="56">
        <v>192.81</v>
      </c>
      <c r="I272" s="56">
        <v>190.0</v>
      </c>
      <c r="J272" s="56">
        <v>204.491001</v>
      </c>
      <c r="K272" s="57">
        <v>188.0</v>
      </c>
      <c r="L272" s="57">
        <v>207.86</v>
      </c>
      <c r="M272" s="4"/>
      <c r="N272" s="59">
        <v>1.1869</v>
      </c>
      <c r="P272" s="61">
        <v>208.03774538714296</v>
      </c>
      <c r="Q272" s="61">
        <v>193.07439548403403</v>
      </c>
      <c r="R272" s="61">
        <v>187.88440475187463</v>
      </c>
      <c r="S272" s="61">
        <v>207.41427247451344</v>
      </c>
      <c r="T272" s="61">
        <v>247.70410312578986</v>
      </c>
      <c r="U272" s="61" t="s">
        <v>23</v>
      </c>
      <c r="V272" s="62">
        <v>162.44839497851547</v>
      </c>
      <c r="W272" s="62">
        <v>160.08088297244922</v>
      </c>
      <c r="X272" s="62">
        <v>172.29</v>
      </c>
      <c r="Y272" s="63">
        <v>158.39582104642344</v>
      </c>
      <c r="Z272" s="63">
        <v>175.12848597185948</v>
      </c>
    </row>
    <row r="273" ht="14.25" customHeight="1">
      <c r="A273" s="64">
        <v>44083.0</v>
      </c>
      <c r="B273" s="65">
        <v>247.56</v>
      </c>
      <c r="C273" s="65">
        <v>227.52</v>
      </c>
      <c r="D273" s="65">
        <v>214.0</v>
      </c>
      <c r="E273" s="65">
        <v>244.71</v>
      </c>
      <c r="F273" s="65">
        <v>294.0</v>
      </c>
      <c r="G273" s="65" t="s">
        <v>23</v>
      </c>
      <c r="H273" s="66">
        <v>181.59</v>
      </c>
      <c r="I273" s="66">
        <v>183.0</v>
      </c>
      <c r="J273" s="66" t="s">
        <v>23</v>
      </c>
      <c r="K273" s="67">
        <v>184.0</v>
      </c>
      <c r="L273" s="67">
        <v>206.26</v>
      </c>
      <c r="M273" s="4"/>
      <c r="N273" s="59">
        <v>1.1773</v>
      </c>
      <c r="P273" s="68">
        <v>210.27775418330077</v>
      </c>
      <c r="Q273" s="68">
        <v>193.25575469294148</v>
      </c>
      <c r="R273" s="68">
        <v>181.77185084515418</v>
      </c>
      <c r="S273" s="68">
        <v>207.85696084260596</v>
      </c>
      <c r="T273" s="68">
        <v>249.72394461904358</v>
      </c>
      <c r="U273" s="68" t="s">
        <v>23</v>
      </c>
      <c r="V273" s="66">
        <v>154.24275885500722</v>
      </c>
      <c r="W273" s="66">
        <v>155.44041450777203</v>
      </c>
      <c r="X273" s="66" t="s">
        <v>23</v>
      </c>
      <c r="Y273" s="57">
        <v>156.28981567994563</v>
      </c>
      <c r="Z273" s="57">
        <v>175.19748577253034</v>
      </c>
    </row>
    <row r="274" ht="14.25" customHeight="1">
      <c r="A274" s="54">
        <v>44076.0</v>
      </c>
      <c r="B274" s="55">
        <v>247.19</v>
      </c>
      <c r="C274" s="55">
        <v>228.11</v>
      </c>
      <c r="D274" s="55">
        <v>208.0</v>
      </c>
      <c r="E274" s="55">
        <v>244.99</v>
      </c>
      <c r="F274" s="55">
        <v>290.0</v>
      </c>
      <c r="G274" s="55" t="s">
        <v>23</v>
      </c>
      <c r="H274" s="56">
        <v>176.27</v>
      </c>
      <c r="I274" s="56">
        <v>183.0</v>
      </c>
      <c r="J274" s="56">
        <v>203.16706899999997</v>
      </c>
      <c r="K274" s="57">
        <v>183.0</v>
      </c>
      <c r="L274" s="57">
        <v>203.24</v>
      </c>
      <c r="M274" s="4"/>
      <c r="N274" s="59">
        <v>1.1861</v>
      </c>
      <c r="P274" s="61">
        <v>208.4056993508136</v>
      </c>
      <c r="Q274" s="61">
        <v>192.31936598937696</v>
      </c>
      <c r="R274" s="61">
        <v>175.36464041817723</v>
      </c>
      <c r="S274" s="61">
        <v>206.55088103869826</v>
      </c>
      <c r="T274" s="61">
        <v>244.49877750611248</v>
      </c>
      <c r="U274" s="61" t="s">
        <v>23</v>
      </c>
      <c r="V274" s="62">
        <v>148.6131017620774</v>
      </c>
      <c r="W274" s="62">
        <v>154.28715959868478</v>
      </c>
      <c r="X274" s="62">
        <v>171.29</v>
      </c>
      <c r="Y274" s="63">
        <v>154.28715959868478</v>
      </c>
      <c r="Z274" s="63">
        <v>171.35148807014588</v>
      </c>
    </row>
    <row r="275" ht="14.25" customHeight="1">
      <c r="A275" s="64">
        <v>44069.0</v>
      </c>
      <c r="B275" s="65">
        <v>239.57</v>
      </c>
      <c r="C275" s="65">
        <v>223.03</v>
      </c>
      <c r="D275" s="65">
        <v>199.0</v>
      </c>
      <c r="E275" s="65">
        <v>231.58</v>
      </c>
      <c r="F275" s="65">
        <v>290.0</v>
      </c>
      <c r="G275" s="65">
        <v>314.094327</v>
      </c>
      <c r="H275" s="66">
        <v>172.63</v>
      </c>
      <c r="I275" s="66">
        <v>179.0</v>
      </c>
      <c r="J275" s="66" t="s">
        <v>23</v>
      </c>
      <c r="K275" s="67">
        <v>182.0</v>
      </c>
      <c r="L275" s="67">
        <v>200.58</v>
      </c>
      <c r="M275" s="4"/>
      <c r="N275" s="59">
        <v>1.1789</v>
      </c>
      <c r="P275" s="68">
        <v>203.21486131139196</v>
      </c>
      <c r="Q275" s="68">
        <v>189.18483331919586</v>
      </c>
      <c r="R275" s="68">
        <v>168.80142505725675</v>
      </c>
      <c r="S275" s="68">
        <v>196.43735685808804</v>
      </c>
      <c r="T275" s="68">
        <v>245.99202646534903</v>
      </c>
      <c r="U275" s="68">
        <v>266.43</v>
      </c>
      <c r="V275" s="66">
        <v>146.43311561625242</v>
      </c>
      <c r="W275" s="66">
        <v>151.8364577148189</v>
      </c>
      <c r="X275" s="66" t="s">
        <v>23</v>
      </c>
      <c r="Y275" s="57">
        <v>154.38120281618458</v>
      </c>
      <c r="Z275" s="57">
        <v>170.14165747730937</v>
      </c>
    </row>
    <row r="276" ht="14.25" customHeight="1">
      <c r="A276" s="54">
        <v>44062.0</v>
      </c>
      <c r="B276" s="55">
        <v>232.22</v>
      </c>
      <c r="C276" s="55">
        <v>221.62</v>
      </c>
      <c r="D276" s="55">
        <v>197.0</v>
      </c>
      <c r="E276" s="55">
        <v>223.22</v>
      </c>
      <c r="F276" s="55">
        <v>290.0</v>
      </c>
      <c r="G276" s="55" t="s">
        <v>23</v>
      </c>
      <c r="H276" s="56">
        <v>166.53</v>
      </c>
      <c r="I276" s="56">
        <v>183.0</v>
      </c>
      <c r="J276" s="56" t="s">
        <v>23</v>
      </c>
      <c r="K276" s="57">
        <v>182.0</v>
      </c>
      <c r="L276" s="57">
        <v>201.99</v>
      </c>
      <c r="M276" s="4"/>
      <c r="N276" s="59">
        <v>1.1933</v>
      </c>
      <c r="P276" s="61">
        <v>194.60320120673762</v>
      </c>
      <c r="Q276" s="61">
        <v>185.72027151596413</v>
      </c>
      <c r="R276" s="61">
        <v>165.08841029079025</v>
      </c>
      <c r="S276" s="61">
        <v>187.06109109192994</v>
      </c>
      <c r="T276" s="61">
        <v>243.02354814380288</v>
      </c>
      <c r="U276" s="61" t="s">
        <v>23</v>
      </c>
      <c r="V276" s="62">
        <v>139.55417749099138</v>
      </c>
      <c r="W276" s="62">
        <v>153.35623900108942</v>
      </c>
      <c r="X276" s="62" t="s">
        <v>23</v>
      </c>
      <c r="Y276" s="63">
        <v>152.51822676611079</v>
      </c>
      <c r="Z276" s="63">
        <v>169.2700913433336</v>
      </c>
    </row>
    <row r="277" ht="14.25" customHeight="1">
      <c r="A277" s="64">
        <v>44055.0</v>
      </c>
      <c r="B277" s="65">
        <v>226.43</v>
      </c>
      <c r="C277" s="65">
        <v>216.89</v>
      </c>
      <c r="D277" s="65">
        <v>197.0</v>
      </c>
      <c r="E277" s="65">
        <v>215.96</v>
      </c>
      <c r="F277" s="65">
        <v>290.0</v>
      </c>
      <c r="G277" s="65" t="s">
        <v>23</v>
      </c>
      <c r="H277" s="66">
        <v>163.57</v>
      </c>
      <c r="I277" s="66">
        <v>182.0</v>
      </c>
      <c r="J277" s="66" t="s">
        <v>23</v>
      </c>
      <c r="K277" s="67">
        <v>183.0</v>
      </c>
      <c r="L277" s="67">
        <v>198.0</v>
      </c>
      <c r="M277" s="4"/>
      <c r="N277" s="59">
        <v>1.1771</v>
      </c>
      <c r="P277" s="68">
        <v>192.36258601648117</v>
      </c>
      <c r="Q277" s="68">
        <v>184.2579220117237</v>
      </c>
      <c r="R277" s="68">
        <v>167.36046215274828</v>
      </c>
      <c r="S277" s="68">
        <v>183.46784470308384</v>
      </c>
      <c r="T277" s="68">
        <v>246.36819301673603</v>
      </c>
      <c r="U277" s="68" t="s">
        <v>23</v>
      </c>
      <c r="V277" s="66">
        <v>138.96015631637073</v>
      </c>
      <c r="W277" s="66">
        <v>154.61727975533088</v>
      </c>
      <c r="X277" s="66" t="s">
        <v>23</v>
      </c>
      <c r="Y277" s="57">
        <v>155.46682524849206</v>
      </c>
      <c r="Z277" s="57">
        <v>168.21000764590943</v>
      </c>
    </row>
    <row r="278" ht="14.25" customHeight="1">
      <c r="A278" s="54">
        <v>44048.0</v>
      </c>
      <c r="B278" s="55">
        <v>233.6</v>
      </c>
      <c r="C278" s="55">
        <v>220.69</v>
      </c>
      <c r="D278" s="55">
        <v>201.0</v>
      </c>
      <c r="E278" s="55">
        <v>219.18</v>
      </c>
      <c r="F278" s="55">
        <v>292.0</v>
      </c>
      <c r="G278" s="55">
        <v>327.087422</v>
      </c>
      <c r="H278" s="56">
        <v>161.8</v>
      </c>
      <c r="I278" s="56">
        <v>184.0</v>
      </c>
      <c r="J278" s="56" t="s">
        <v>23</v>
      </c>
      <c r="K278" s="57">
        <v>185.0</v>
      </c>
      <c r="L278" s="57">
        <v>199.89</v>
      </c>
      <c r="M278" s="4"/>
      <c r="N278" s="59">
        <v>1.1854</v>
      </c>
      <c r="P278" s="61">
        <v>197.06428209886957</v>
      </c>
      <c r="Q278" s="61">
        <v>186.17344356335414</v>
      </c>
      <c r="R278" s="61">
        <v>169.56301670322253</v>
      </c>
      <c r="S278" s="61">
        <v>184.89961194533493</v>
      </c>
      <c r="T278" s="61">
        <v>246.33035262358698</v>
      </c>
      <c r="U278" s="61">
        <v>275.93</v>
      </c>
      <c r="V278" s="62">
        <v>136.49401046060402</v>
      </c>
      <c r="W278" s="62">
        <v>155.22186603678082</v>
      </c>
      <c r="X278" s="62" t="s">
        <v>23</v>
      </c>
      <c r="Y278" s="63">
        <v>156.0654631348068</v>
      </c>
      <c r="Z278" s="63">
        <v>168.62662392441368</v>
      </c>
    </row>
    <row r="279" ht="14.25" customHeight="1">
      <c r="A279" s="64">
        <v>44041.0</v>
      </c>
      <c r="B279" s="65">
        <v>239.84</v>
      </c>
      <c r="C279" s="65">
        <v>220.53</v>
      </c>
      <c r="D279" s="65">
        <v>201.0</v>
      </c>
      <c r="E279" s="65">
        <v>222.57</v>
      </c>
      <c r="F279" s="65">
        <v>293.0</v>
      </c>
      <c r="G279" s="65" t="s">
        <v>23</v>
      </c>
      <c r="H279" s="66">
        <v>165.94</v>
      </c>
      <c r="I279" s="66">
        <v>185.0</v>
      </c>
      <c r="J279" s="66" t="s">
        <v>23</v>
      </c>
      <c r="K279" s="67">
        <v>186.0</v>
      </c>
      <c r="L279" s="67">
        <v>196.4</v>
      </c>
      <c r="M279" s="4"/>
      <c r="N279" s="59">
        <v>1.1725</v>
      </c>
      <c r="P279" s="68">
        <v>204.55437100213217</v>
      </c>
      <c r="Q279" s="68">
        <v>188.08528784648186</v>
      </c>
      <c r="R279" s="68">
        <v>171.42857142857142</v>
      </c>
      <c r="S279" s="68">
        <v>189.82515991471215</v>
      </c>
      <c r="T279" s="68">
        <v>249.89339019189762</v>
      </c>
      <c r="U279" s="68" t="s">
        <v>23</v>
      </c>
      <c r="V279" s="66">
        <v>141.52665245202556</v>
      </c>
      <c r="W279" s="66">
        <v>157.7825159914712</v>
      </c>
      <c r="X279" s="66" t="s">
        <v>23</v>
      </c>
      <c r="Y279" s="57">
        <v>158.63539445628996</v>
      </c>
      <c r="Z279" s="57">
        <v>167.5053304904051</v>
      </c>
    </row>
    <row r="280" ht="14.25" customHeight="1">
      <c r="A280" s="54">
        <v>44034.0</v>
      </c>
      <c r="B280" s="55">
        <v>238.65</v>
      </c>
      <c r="C280" s="55">
        <v>219.45</v>
      </c>
      <c r="D280" s="55">
        <v>199.0</v>
      </c>
      <c r="E280" s="55">
        <v>223.59</v>
      </c>
      <c r="F280" s="55">
        <v>295.0</v>
      </c>
      <c r="G280" s="55" t="s">
        <v>23</v>
      </c>
      <c r="H280" s="56">
        <v>167.91</v>
      </c>
      <c r="I280" s="56">
        <v>184.0</v>
      </c>
      <c r="J280" s="56">
        <v>207.431448</v>
      </c>
      <c r="K280" s="57">
        <v>185.0</v>
      </c>
      <c r="L280" s="57">
        <v>193.37</v>
      </c>
      <c r="M280" s="4"/>
      <c r="N280" s="59">
        <v>1.1578</v>
      </c>
      <c r="P280" s="61">
        <v>206.1236828467784</v>
      </c>
      <c r="Q280" s="61">
        <v>189.540507859734</v>
      </c>
      <c r="R280" s="61">
        <v>171.87769908447055</v>
      </c>
      <c r="S280" s="61">
        <v>193.11625496631544</v>
      </c>
      <c r="T280" s="61">
        <v>254.79357401969253</v>
      </c>
      <c r="U280" s="61" t="s">
        <v>23</v>
      </c>
      <c r="V280" s="62">
        <v>145.0250475038867</v>
      </c>
      <c r="W280" s="62">
        <v>158.9220936258421</v>
      </c>
      <c r="X280" s="62">
        <v>179.16</v>
      </c>
      <c r="Y280" s="63">
        <v>159.78580065641736</v>
      </c>
      <c r="Z280" s="63">
        <v>167.01502850233203</v>
      </c>
    </row>
    <row r="281" ht="14.25" customHeight="1">
      <c r="A281" s="64">
        <v>44027.0</v>
      </c>
      <c r="B281" s="65">
        <v>239.11</v>
      </c>
      <c r="C281" s="65">
        <v>219.0</v>
      </c>
      <c r="D281" s="65">
        <v>199.0</v>
      </c>
      <c r="E281" s="65">
        <v>227.63</v>
      </c>
      <c r="F281" s="65">
        <v>293.0</v>
      </c>
      <c r="G281" s="65" t="s">
        <v>23</v>
      </c>
      <c r="H281" s="66">
        <v>166.23</v>
      </c>
      <c r="I281" s="66">
        <v>183.0</v>
      </c>
      <c r="J281" s="66">
        <v>213.041504</v>
      </c>
      <c r="K281" s="67">
        <v>180.0</v>
      </c>
      <c r="L281" s="67">
        <v>195.02</v>
      </c>
      <c r="M281" s="4"/>
      <c r="N281" s="59">
        <v>1.1444</v>
      </c>
      <c r="P281" s="68">
        <v>208.93918210415939</v>
      </c>
      <c r="Q281" s="68">
        <v>191.36665501572875</v>
      </c>
      <c r="R281" s="68">
        <v>173.89024816497727</v>
      </c>
      <c r="S281" s="68">
        <v>198.90772457182803</v>
      </c>
      <c r="T281" s="68">
        <v>256.0293603635092</v>
      </c>
      <c r="U281" s="68" t="s">
        <v>23</v>
      </c>
      <c r="V281" s="66">
        <v>145.25515554002095</v>
      </c>
      <c r="W281" s="66">
        <v>159.9091226843761</v>
      </c>
      <c r="X281" s="66">
        <v>186.16</v>
      </c>
      <c r="Y281" s="57">
        <v>157.28766165676336</v>
      </c>
      <c r="Z281" s="57">
        <v>170.41244320167772</v>
      </c>
    </row>
    <row r="282" ht="14.25" customHeight="1">
      <c r="A282" s="54">
        <v>44020.0</v>
      </c>
      <c r="B282" s="55">
        <v>219.18</v>
      </c>
      <c r="C282" s="55">
        <v>216.13</v>
      </c>
      <c r="D282" s="55">
        <v>187.0</v>
      </c>
      <c r="E282" s="55">
        <v>226.62</v>
      </c>
      <c r="F282" s="55" t="s">
        <v>23</v>
      </c>
      <c r="G282" s="55" t="s">
        <v>23</v>
      </c>
      <c r="H282" s="56">
        <v>171.35</v>
      </c>
      <c r="I282" s="56">
        <v>183.0</v>
      </c>
      <c r="J282" s="56">
        <v>200.507076</v>
      </c>
      <c r="K282" s="57">
        <v>175.0</v>
      </c>
      <c r="L282" s="57">
        <v>193.48</v>
      </c>
      <c r="M282" s="4"/>
      <c r="N282" s="59">
        <v>1.1286</v>
      </c>
      <c r="P282" s="61">
        <v>194.20520999468368</v>
      </c>
      <c r="Q282" s="61">
        <v>191.50274676590465</v>
      </c>
      <c r="R282" s="61">
        <v>165.69200779727095</v>
      </c>
      <c r="S282" s="61">
        <v>200.7974481658692</v>
      </c>
      <c r="T282" s="61" t="s">
        <v>23</v>
      </c>
      <c r="U282" s="61" t="s">
        <v>23</v>
      </c>
      <c r="V282" s="62">
        <v>151.82527024632287</v>
      </c>
      <c r="W282" s="62">
        <v>162.1477937267411</v>
      </c>
      <c r="X282" s="62">
        <v>177.66</v>
      </c>
      <c r="Y282" s="63">
        <v>155.05936558568138</v>
      </c>
      <c r="Z282" s="63">
        <v>171.4336345915293</v>
      </c>
    </row>
    <row r="283" ht="14.25" customHeight="1">
      <c r="A283" s="64">
        <v>44013.0</v>
      </c>
      <c r="B283" s="65">
        <v>212.65</v>
      </c>
      <c r="C283" s="65">
        <v>208.11</v>
      </c>
      <c r="D283" s="65">
        <v>186.0</v>
      </c>
      <c r="E283" s="65">
        <v>217.71</v>
      </c>
      <c r="F283" s="65" t="s">
        <v>23</v>
      </c>
      <c r="G283" s="65" t="s">
        <v>23</v>
      </c>
      <c r="H283" s="66">
        <v>172.14</v>
      </c>
      <c r="I283" s="66">
        <v>183.0</v>
      </c>
      <c r="J283" s="66">
        <v>195.3392</v>
      </c>
      <c r="K283" s="67">
        <v>175.0</v>
      </c>
      <c r="L283" s="67">
        <v>190.09</v>
      </c>
      <c r="M283" s="4"/>
      <c r="N283" s="59">
        <v>1.12</v>
      </c>
      <c r="P283" s="68">
        <v>189.86607142857142</v>
      </c>
      <c r="Q283" s="68">
        <v>185.8125</v>
      </c>
      <c r="R283" s="68">
        <v>166.07142857142856</v>
      </c>
      <c r="S283" s="68">
        <v>194.38392857142856</v>
      </c>
      <c r="T283" s="68" t="s">
        <v>23</v>
      </c>
      <c r="U283" s="68" t="s">
        <v>23</v>
      </c>
      <c r="V283" s="66">
        <v>153.69642857142856</v>
      </c>
      <c r="W283" s="66">
        <v>163.39285714285714</v>
      </c>
      <c r="X283" s="66">
        <v>174.41</v>
      </c>
      <c r="Y283" s="57">
        <v>156.24999999999997</v>
      </c>
      <c r="Z283" s="57">
        <v>169.72321428571428</v>
      </c>
    </row>
    <row r="284" ht="14.25" customHeight="1">
      <c r="A284" s="54">
        <v>44006.0</v>
      </c>
      <c r="B284" s="55">
        <v>204.39</v>
      </c>
      <c r="C284" s="55">
        <v>202.73</v>
      </c>
      <c r="D284" s="55">
        <v>188.0</v>
      </c>
      <c r="E284" s="55">
        <v>211.74</v>
      </c>
      <c r="F284" s="55" t="s">
        <v>23</v>
      </c>
      <c r="G284" s="55" t="s">
        <v>23</v>
      </c>
      <c r="H284" s="56">
        <v>161.51</v>
      </c>
      <c r="I284" s="56">
        <v>181.0</v>
      </c>
      <c r="J284" s="56">
        <v>191.45543999999998</v>
      </c>
      <c r="K284" s="57">
        <v>176.0</v>
      </c>
      <c r="L284" s="57">
        <v>183.56</v>
      </c>
      <c r="M284" s="4"/>
      <c r="N284" s="59">
        <v>1.128</v>
      </c>
      <c r="P284" s="61">
        <v>181.1968085106383</v>
      </c>
      <c r="Q284" s="61">
        <v>179.72517730496455</v>
      </c>
      <c r="R284" s="61">
        <v>166.66666666666669</v>
      </c>
      <c r="S284" s="61">
        <v>187.71276595744683</v>
      </c>
      <c r="T284" s="61" t="s">
        <v>23</v>
      </c>
      <c r="U284" s="61" t="s">
        <v>23</v>
      </c>
      <c r="V284" s="62">
        <v>143.18262411347519</v>
      </c>
      <c r="W284" s="62">
        <v>160.46099290780143</v>
      </c>
      <c r="X284" s="62">
        <v>169.73</v>
      </c>
      <c r="Y284" s="63">
        <v>156.02836879432627</v>
      </c>
      <c r="Z284" s="63">
        <v>162.7304964539007</v>
      </c>
    </row>
    <row r="285" ht="14.25" customHeight="1">
      <c r="A285" s="64">
        <v>43999.0</v>
      </c>
      <c r="B285" s="65">
        <v>207.14</v>
      </c>
      <c r="C285" s="65">
        <v>205.14</v>
      </c>
      <c r="D285" s="65">
        <v>190.0</v>
      </c>
      <c r="E285" s="65">
        <v>210.36</v>
      </c>
      <c r="F285" s="65" t="s">
        <v>23</v>
      </c>
      <c r="G285" s="65" t="s">
        <v>23</v>
      </c>
      <c r="H285" s="66">
        <v>161.51</v>
      </c>
      <c r="I285" s="66">
        <v>181.0</v>
      </c>
      <c r="J285" s="66">
        <v>191.20233599999997</v>
      </c>
      <c r="K285" s="67">
        <v>176.0</v>
      </c>
      <c r="L285" s="67">
        <v>183.26</v>
      </c>
      <c r="M285" s="4"/>
      <c r="N285" s="59">
        <v>1.1232</v>
      </c>
      <c r="P285" s="68">
        <v>184.41951566951568</v>
      </c>
      <c r="Q285" s="68">
        <v>182.63888888888889</v>
      </c>
      <c r="R285" s="68">
        <v>169.15954415954417</v>
      </c>
      <c r="S285" s="68">
        <v>187.2863247863248</v>
      </c>
      <c r="T285" s="68" t="s">
        <v>23</v>
      </c>
      <c r="U285" s="68" t="s">
        <v>23</v>
      </c>
      <c r="V285" s="66">
        <v>143.79451566951568</v>
      </c>
      <c r="W285" s="66">
        <v>161.14672364672364</v>
      </c>
      <c r="X285" s="66">
        <v>170.23</v>
      </c>
      <c r="Y285" s="57">
        <v>156.6951566951567</v>
      </c>
      <c r="Z285" s="57">
        <v>163.1588319088319</v>
      </c>
    </row>
    <row r="286" ht="14.25" customHeight="1">
      <c r="A286" s="54">
        <v>43992.0</v>
      </c>
      <c r="B286" s="55">
        <v>213.57</v>
      </c>
      <c r="C286" s="55">
        <v>210.92</v>
      </c>
      <c r="D286" s="55">
        <v>190.0</v>
      </c>
      <c r="E286" s="55">
        <v>221.38</v>
      </c>
      <c r="F286" s="55" t="s">
        <v>23</v>
      </c>
      <c r="G286" s="55" t="s">
        <v>23</v>
      </c>
      <c r="H286" s="56">
        <v>157.18</v>
      </c>
      <c r="I286" s="56">
        <v>181.0</v>
      </c>
      <c r="J286" s="56">
        <v>198.186625</v>
      </c>
      <c r="K286" s="57">
        <v>175.0</v>
      </c>
      <c r="L286" s="57">
        <v>189.35</v>
      </c>
      <c r="M286" s="4"/>
      <c r="N286" s="59">
        <v>1.1375</v>
      </c>
      <c r="P286" s="61">
        <v>187.75384615384615</v>
      </c>
      <c r="Q286" s="61">
        <v>185.42417582417582</v>
      </c>
      <c r="R286" s="61">
        <v>167.03296703296704</v>
      </c>
      <c r="S286" s="61">
        <v>194.6197802197802</v>
      </c>
      <c r="T286" s="61" t="s">
        <v>23</v>
      </c>
      <c r="U286" s="61" t="s">
        <v>23</v>
      </c>
      <c r="V286" s="62">
        <v>138.1802197802198</v>
      </c>
      <c r="W286" s="62">
        <v>159.12087912087912</v>
      </c>
      <c r="X286" s="62">
        <v>174.23</v>
      </c>
      <c r="Y286" s="63">
        <v>153.84615384615384</v>
      </c>
      <c r="Z286" s="63">
        <v>166.46153846153845</v>
      </c>
    </row>
    <row r="287" ht="14.25" customHeight="1">
      <c r="A287" s="64">
        <v>43985.0</v>
      </c>
      <c r="B287" s="65">
        <v>215.69</v>
      </c>
      <c r="C287" s="65">
        <v>223.3</v>
      </c>
      <c r="D287" s="65">
        <v>214.0</v>
      </c>
      <c r="E287" s="65">
        <v>223.31</v>
      </c>
      <c r="F287" s="65" t="s">
        <v>23</v>
      </c>
      <c r="G287" s="65" t="s">
        <v>23</v>
      </c>
      <c r="H287" s="66">
        <v>155.11</v>
      </c>
      <c r="I287" s="66">
        <v>179.0</v>
      </c>
      <c r="J287" s="66">
        <v>192.79426199999997</v>
      </c>
      <c r="K287" s="67">
        <v>176.0</v>
      </c>
      <c r="L287" s="67">
        <v>188.52</v>
      </c>
      <c r="M287" s="4"/>
      <c r="N287" s="59">
        <v>1.1194</v>
      </c>
      <c r="P287" s="68">
        <v>192.68358048954798</v>
      </c>
      <c r="Q287" s="68">
        <v>199.4818652849741</v>
      </c>
      <c r="R287" s="68">
        <v>191.17384313024834</v>
      </c>
      <c r="S287" s="68">
        <v>199.49079864212973</v>
      </c>
      <c r="T287" s="68" t="s">
        <v>23</v>
      </c>
      <c r="U287" s="68" t="s">
        <v>23</v>
      </c>
      <c r="V287" s="66">
        <v>138.5653028408076</v>
      </c>
      <c r="W287" s="66">
        <v>159.90709308558158</v>
      </c>
      <c r="X287" s="66">
        <v>172.23</v>
      </c>
      <c r="Y287" s="57">
        <v>157.22708593889584</v>
      </c>
      <c r="Z287" s="57">
        <v>168.41164909773093</v>
      </c>
    </row>
    <row r="288" ht="14.25" customHeight="1">
      <c r="A288" s="54">
        <v>43978.0</v>
      </c>
      <c r="B288" s="55">
        <v>212.93</v>
      </c>
      <c r="C288" s="55">
        <v>218.48</v>
      </c>
      <c r="D288" s="55">
        <v>213.0</v>
      </c>
      <c r="E288" s="55">
        <v>219.27</v>
      </c>
      <c r="F288" s="55" t="s">
        <v>23</v>
      </c>
      <c r="G288" s="55" t="s">
        <v>23</v>
      </c>
      <c r="H288" s="56">
        <v>153.34</v>
      </c>
      <c r="I288" s="56">
        <v>178.0</v>
      </c>
      <c r="J288" s="56">
        <v>189.92448000000002</v>
      </c>
      <c r="K288" s="57">
        <v>179.0</v>
      </c>
      <c r="L288" s="57">
        <v>183.36</v>
      </c>
      <c r="M288" s="4"/>
      <c r="N288" s="59">
        <v>1.0991</v>
      </c>
      <c r="P288" s="61">
        <v>193.731234646529</v>
      </c>
      <c r="Q288" s="61">
        <v>198.78082067145846</v>
      </c>
      <c r="R288" s="61">
        <v>193.79492311891548</v>
      </c>
      <c r="S288" s="61">
        <v>199.4995905741061</v>
      </c>
      <c r="T288" s="61" t="s">
        <v>23</v>
      </c>
      <c r="U288" s="61" t="s">
        <v>23</v>
      </c>
      <c r="V288" s="62">
        <v>139.514147939223</v>
      </c>
      <c r="W288" s="62">
        <v>161.95068692566645</v>
      </c>
      <c r="X288" s="62">
        <v>172.8</v>
      </c>
      <c r="Y288" s="63">
        <v>162.86052224547356</v>
      </c>
      <c r="Z288" s="63">
        <v>166.82740423983262</v>
      </c>
    </row>
    <row r="289" ht="14.25" customHeight="1">
      <c r="A289" s="64">
        <v>43971.0</v>
      </c>
      <c r="B289" s="65">
        <v>216.33</v>
      </c>
      <c r="C289" s="65">
        <v>221.61</v>
      </c>
      <c r="D289" s="65">
        <v>215.0</v>
      </c>
      <c r="E289" s="65">
        <v>219.82</v>
      </c>
      <c r="F289" s="65" t="s">
        <v>23</v>
      </c>
      <c r="G289" s="65" t="s">
        <v>23</v>
      </c>
      <c r="H289" s="66">
        <v>152.95</v>
      </c>
      <c r="I289" s="66">
        <v>176.0</v>
      </c>
      <c r="J289" s="66">
        <v>184.97104000000004</v>
      </c>
      <c r="K289" s="67">
        <v>181.0</v>
      </c>
      <c r="L289" s="67">
        <v>183.69</v>
      </c>
      <c r="M289" s="4"/>
      <c r="N289" s="59">
        <v>1.0958</v>
      </c>
      <c r="P289" s="68">
        <v>197.41741193648474</v>
      </c>
      <c r="Q289" s="68">
        <v>202.23580945427997</v>
      </c>
      <c r="R289" s="68">
        <v>196.20368680416132</v>
      </c>
      <c r="S289" s="68">
        <v>200.6022996897244</v>
      </c>
      <c r="T289" s="68" t="s">
        <v>23</v>
      </c>
      <c r="U289" s="68" t="s">
        <v>23</v>
      </c>
      <c r="V289" s="66">
        <v>139.5783902171929</v>
      </c>
      <c r="W289" s="66">
        <v>160.61325059317392</v>
      </c>
      <c r="X289" s="66">
        <v>168.8</v>
      </c>
      <c r="Y289" s="57">
        <v>165.17612703048</v>
      </c>
      <c r="Z289" s="57">
        <v>167.63095455375066</v>
      </c>
    </row>
    <row r="290" ht="14.25" customHeight="1">
      <c r="A290" s="54">
        <v>43964.0</v>
      </c>
      <c r="B290" s="55">
        <v>213.02</v>
      </c>
      <c r="C290" s="55">
        <v>219.05</v>
      </c>
      <c r="D290" s="55">
        <v>216.0</v>
      </c>
      <c r="E290" s="55">
        <v>221.29</v>
      </c>
      <c r="F290" s="55" t="s">
        <v>23</v>
      </c>
      <c r="G290" s="55" t="s">
        <v>23</v>
      </c>
      <c r="H290" s="56">
        <v>149.7</v>
      </c>
      <c r="I290" s="56">
        <v>171.0</v>
      </c>
      <c r="J290" s="56">
        <v>183.02625</v>
      </c>
      <c r="K290" s="57">
        <v>181.0</v>
      </c>
      <c r="L290" s="57">
        <v>181.12</v>
      </c>
      <c r="M290" s="4"/>
      <c r="N290" s="59">
        <v>1.0875</v>
      </c>
      <c r="P290" s="61">
        <v>195.88045977011498</v>
      </c>
      <c r="Q290" s="61">
        <v>201.42528735632186</v>
      </c>
      <c r="R290" s="61">
        <v>198.62068965517244</v>
      </c>
      <c r="S290" s="61">
        <v>203.48505747126438</v>
      </c>
      <c r="T290" s="61" t="s">
        <v>23</v>
      </c>
      <c r="U290" s="61" t="s">
        <v>23</v>
      </c>
      <c r="V290" s="62">
        <v>137.6551724137931</v>
      </c>
      <c r="W290" s="62">
        <v>157.24137931034485</v>
      </c>
      <c r="X290" s="62">
        <v>168.3</v>
      </c>
      <c r="Y290" s="63">
        <v>166.4367816091954</v>
      </c>
      <c r="Z290" s="63">
        <v>166.54712643678164</v>
      </c>
    </row>
    <row r="291" ht="14.25" customHeight="1">
      <c r="A291" s="64">
        <v>43957.0</v>
      </c>
      <c r="B291" s="65">
        <v>221.38</v>
      </c>
      <c r="C291" s="65">
        <v>220.39</v>
      </c>
      <c r="D291" s="65">
        <v>216.0</v>
      </c>
      <c r="E291" s="65">
        <v>228.73</v>
      </c>
      <c r="F291" s="65" t="s">
        <v>23</v>
      </c>
      <c r="G291" s="65" t="s">
        <v>23</v>
      </c>
      <c r="H291" s="66">
        <v>144.97</v>
      </c>
      <c r="I291" s="66">
        <v>170.0</v>
      </c>
      <c r="J291" s="66">
        <v>184.04321000000002</v>
      </c>
      <c r="K291" s="67">
        <v>181.0</v>
      </c>
      <c r="L291" s="67">
        <v>176.11</v>
      </c>
      <c r="M291" s="4"/>
      <c r="N291" s="59">
        <v>1.0807</v>
      </c>
      <c r="P291" s="68">
        <v>204.8487091699824</v>
      </c>
      <c r="Q291" s="68">
        <v>203.93263625427963</v>
      </c>
      <c r="R291" s="68">
        <v>199.87045433515314</v>
      </c>
      <c r="S291" s="68">
        <v>211.64985657444248</v>
      </c>
      <c r="T291" s="68" t="s">
        <v>23</v>
      </c>
      <c r="U291" s="68" t="s">
        <v>23</v>
      </c>
      <c r="V291" s="66">
        <v>134.144535948922</v>
      </c>
      <c r="W291" s="66">
        <v>157.30545017118536</v>
      </c>
      <c r="X291" s="66">
        <v>170.3</v>
      </c>
      <c r="Y291" s="57">
        <v>167.48403812343852</v>
      </c>
      <c r="Z291" s="57">
        <v>162.95919311557324</v>
      </c>
    </row>
    <row r="292" ht="14.25" customHeight="1">
      <c r="A292" s="54">
        <v>43950.0</v>
      </c>
      <c r="B292" s="55">
        <v>225.79</v>
      </c>
      <c r="C292" s="55">
        <v>218.33</v>
      </c>
      <c r="D292" s="55">
        <v>217.0</v>
      </c>
      <c r="E292" s="55">
        <v>226.98</v>
      </c>
      <c r="F292" s="55" t="s">
        <v>23</v>
      </c>
      <c r="G292" s="55">
        <v>316.98755400000005</v>
      </c>
      <c r="H292" s="56">
        <v>141.92</v>
      </c>
      <c r="I292" s="56">
        <v>168.5</v>
      </c>
      <c r="J292" s="56">
        <v>183.902004</v>
      </c>
      <c r="K292" s="57">
        <v>181.0</v>
      </c>
      <c r="L292" s="57">
        <v>174.92</v>
      </c>
      <c r="M292" s="4"/>
      <c r="N292" s="59">
        <v>1.0842</v>
      </c>
      <c r="P292" s="61">
        <v>208.2549345139273</v>
      </c>
      <c r="Q292" s="61">
        <v>201.37428518723482</v>
      </c>
      <c r="R292" s="61">
        <v>200.14757424829367</v>
      </c>
      <c r="S292" s="61">
        <v>209.35251798561148</v>
      </c>
      <c r="T292" s="61" t="s">
        <v>23</v>
      </c>
      <c r="U292" s="61">
        <v>292.37</v>
      </c>
      <c r="V292" s="62">
        <v>130.89835823648772</v>
      </c>
      <c r="W292" s="62">
        <v>155.41413023427413</v>
      </c>
      <c r="X292" s="62">
        <v>169.62</v>
      </c>
      <c r="Y292" s="63">
        <v>166.9433683822173</v>
      </c>
      <c r="Z292" s="63">
        <v>161.3355469470577</v>
      </c>
    </row>
    <row r="293" ht="14.25" customHeight="1">
      <c r="A293" s="64">
        <v>43943.0</v>
      </c>
      <c r="B293" s="65">
        <v>236.26</v>
      </c>
      <c r="C293" s="65">
        <v>227.56</v>
      </c>
      <c r="D293" s="65">
        <v>220.0</v>
      </c>
      <c r="E293" s="65">
        <v>235.16</v>
      </c>
      <c r="F293" s="65" t="s">
        <v>23</v>
      </c>
      <c r="G293" s="65">
        <v>313.37167900000003</v>
      </c>
      <c r="H293" s="66">
        <v>151.76</v>
      </c>
      <c r="I293" s="66">
        <v>175.0</v>
      </c>
      <c r="J293" s="66">
        <v>182.69600400000002</v>
      </c>
      <c r="K293" s="67">
        <v>182.0</v>
      </c>
      <c r="L293" s="67">
        <v>181.0</v>
      </c>
      <c r="M293" s="4"/>
      <c r="N293" s="59">
        <v>1.0867</v>
      </c>
      <c r="P293" s="68">
        <v>217.4105088800957</v>
      </c>
      <c r="Q293" s="68">
        <v>209.40461949019968</v>
      </c>
      <c r="R293" s="68">
        <v>202.44777767553143</v>
      </c>
      <c r="S293" s="68">
        <v>216.39826999171805</v>
      </c>
      <c r="T293" s="68" t="s">
        <v>23</v>
      </c>
      <c r="U293" s="68">
        <v>288.37</v>
      </c>
      <c r="V293" s="66">
        <v>139.65215790926658</v>
      </c>
      <c r="W293" s="66">
        <v>161.03800496917273</v>
      </c>
      <c r="X293" s="66">
        <v>168.12</v>
      </c>
      <c r="Y293" s="57">
        <v>167.47952516793964</v>
      </c>
      <c r="Z293" s="57">
        <v>166.5593079966872</v>
      </c>
    </row>
    <row r="294" ht="14.25" customHeight="1">
      <c r="A294" s="54">
        <v>43936.0</v>
      </c>
      <c r="B294" s="55">
        <v>235.25</v>
      </c>
      <c r="C294" s="55">
        <v>222.65</v>
      </c>
      <c r="D294" s="55">
        <v>220.0</v>
      </c>
      <c r="E294" s="55">
        <v>231.3</v>
      </c>
      <c r="F294" s="55" t="s">
        <v>23</v>
      </c>
      <c r="G294" s="55" t="s">
        <v>23</v>
      </c>
      <c r="H294" s="56">
        <v>152.45</v>
      </c>
      <c r="I294" s="56">
        <v>176.0</v>
      </c>
      <c r="J294" s="56" t="s">
        <v>23</v>
      </c>
      <c r="K294" s="57">
        <v>182.0</v>
      </c>
      <c r="L294" s="57">
        <v>182.3</v>
      </c>
      <c r="M294" s="4"/>
      <c r="N294" s="59">
        <v>1.0903</v>
      </c>
      <c r="P294" s="61">
        <v>215.76630285242592</v>
      </c>
      <c r="Q294" s="61">
        <v>204.20985049986243</v>
      </c>
      <c r="R294" s="61">
        <v>201.77932679079152</v>
      </c>
      <c r="S294" s="61">
        <v>212.1434467577731</v>
      </c>
      <c r="T294" s="61" t="s">
        <v>23</v>
      </c>
      <c r="U294" s="61" t="s">
        <v>23</v>
      </c>
      <c r="V294" s="62">
        <v>139.82390167843712</v>
      </c>
      <c r="W294" s="62">
        <v>161.42346143263322</v>
      </c>
      <c r="X294" s="62" t="s">
        <v>23</v>
      </c>
      <c r="Y294" s="63">
        <v>166.92653398147297</v>
      </c>
      <c r="Z294" s="63">
        <v>167.201687608915</v>
      </c>
    </row>
    <row r="295" ht="14.25" customHeight="1">
      <c r="A295" s="64">
        <v>43929.0</v>
      </c>
      <c r="B295" s="65">
        <v>240.03</v>
      </c>
      <c r="C295" s="65">
        <v>221.8</v>
      </c>
      <c r="D295" s="65">
        <v>216.0</v>
      </c>
      <c r="E295" s="65">
        <v>230.75</v>
      </c>
      <c r="F295" s="65" t="s">
        <v>23</v>
      </c>
      <c r="G295" s="65">
        <v>313.487027</v>
      </c>
      <c r="H295" s="66">
        <v>161.41</v>
      </c>
      <c r="I295" s="66">
        <v>178.5</v>
      </c>
      <c r="J295" s="66">
        <v>185.752777</v>
      </c>
      <c r="K295" s="67">
        <v>180.0</v>
      </c>
      <c r="L295" s="67">
        <v>183.78</v>
      </c>
      <c r="M295" s="4"/>
      <c r="N295" s="59">
        <v>1.0871</v>
      </c>
      <c r="O295" s="4"/>
      <c r="P295" s="68">
        <v>220.79845460399227</v>
      </c>
      <c r="Q295" s="68">
        <v>204.0290681630025</v>
      </c>
      <c r="R295" s="68">
        <v>198.6937724220403</v>
      </c>
      <c r="S295" s="68">
        <v>212.26198141845276</v>
      </c>
      <c r="T295" s="68" t="s">
        <v>23</v>
      </c>
      <c r="U295" s="68">
        <v>288.37</v>
      </c>
      <c r="V295" s="66">
        <v>148.4776009566737</v>
      </c>
      <c r="W295" s="66">
        <v>164.19832582099164</v>
      </c>
      <c r="X295" s="66">
        <v>170.87</v>
      </c>
      <c r="Y295" s="57">
        <v>165.57814368503358</v>
      </c>
      <c r="Z295" s="57">
        <v>169.0552847024193</v>
      </c>
    </row>
    <row r="296" ht="14.25" customHeight="1">
      <c r="A296" s="54">
        <v>43922.0</v>
      </c>
      <c r="B296" s="55">
        <v>242.6</v>
      </c>
      <c r="C296" s="55">
        <v>221.95</v>
      </c>
      <c r="D296" s="55">
        <v>216.0</v>
      </c>
      <c r="E296" s="55">
        <v>233.32</v>
      </c>
      <c r="F296" s="55" t="s">
        <v>23</v>
      </c>
      <c r="G296" s="55">
        <v>312.627432</v>
      </c>
      <c r="H296" s="56">
        <v>162.49</v>
      </c>
      <c r="I296" s="56">
        <v>180.0</v>
      </c>
      <c r="J296" s="56">
        <v>187.41023199999998</v>
      </c>
      <c r="K296" s="57">
        <v>180.0</v>
      </c>
      <c r="L296" s="57">
        <v>190.27</v>
      </c>
      <c r="M296" s="4"/>
      <c r="N296" s="59">
        <v>1.0936</v>
      </c>
      <c r="O296" s="4"/>
      <c r="P296" s="61">
        <v>221.83613752743236</v>
      </c>
      <c r="Q296" s="61">
        <v>202.95354791514265</v>
      </c>
      <c r="R296" s="61">
        <v>197.51280175566936</v>
      </c>
      <c r="S296" s="61">
        <v>213.3504023408925</v>
      </c>
      <c r="T296" s="61" t="s">
        <v>23</v>
      </c>
      <c r="U296" s="61">
        <v>285.87</v>
      </c>
      <c r="V296" s="62">
        <v>148.58266276517924</v>
      </c>
      <c r="W296" s="62">
        <v>164.5940014630578</v>
      </c>
      <c r="X296" s="62">
        <v>171.37</v>
      </c>
      <c r="Y296" s="63">
        <v>164.5940014630578</v>
      </c>
      <c r="Z296" s="63">
        <v>173.9850036576445</v>
      </c>
    </row>
    <row r="297" ht="14.25" customHeight="1">
      <c r="A297" s="64">
        <v>43915.0</v>
      </c>
      <c r="B297" s="65">
        <v>255.37</v>
      </c>
      <c r="C297" s="65">
        <v>221.8</v>
      </c>
      <c r="D297" s="65">
        <v>209.0</v>
      </c>
      <c r="E297" s="65">
        <v>242.88</v>
      </c>
      <c r="F297" s="65" t="s">
        <v>23</v>
      </c>
      <c r="G297" s="65">
        <v>305.256438</v>
      </c>
      <c r="H297" s="66">
        <v>167.91</v>
      </c>
      <c r="I297" s="66">
        <v>176.0</v>
      </c>
      <c r="J297" s="66" t="s">
        <v>23</v>
      </c>
      <c r="K297" s="67">
        <v>180.0</v>
      </c>
      <c r="L297" s="67">
        <v>194.17</v>
      </c>
      <c r="M297" s="4"/>
      <c r="N297" s="59">
        <v>1.0827</v>
      </c>
      <c r="O297" s="4"/>
      <c r="P297" s="68">
        <v>235.86404359471692</v>
      </c>
      <c r="Q297" s="68">
        <v>204.85822480834952</v>
      </c>
      <c r="R297" s="68">
        <v>193.03592869677658</v>
      </c>
      <c r="S297" s="68">
        <v>224.32806871709616</v>
      </c>
      <c r="T297" s="68" t="s">
        <v>23</v>
      </c>
      <c r="U297" s="68">
        <v>281.94</v>
      </c>
      <c r="V297" s="66">
        <v>155.08451094486006</v>
      </c>
      <c r="W297" s="66">
        <v>162.55657153412764</v>
      </c>
      <c r="X297" s="66" t="s">
        <v>23</v>
      </c>
      <c r="Y297" s="57">
        <v>166.25103906899417</v>
      </c>
      <c r="Z297" s="57">
        <v>179.3386903112589</v>
      </c>
    </row>
    <row r="298" ht="14.25" customHeight="1">
      <c r="A298" s="54">
        <v>43908.0</v>
      </c>
      <c r="B298" s="55">
        <v>230.84</v>
      </c>
      <c r="C298" s="55">
        <v>206.09</v>
      </c>
      <c r="D298" s="55">
        <v>199.0</v>
      </c>
      <c r="E298" s="55">
        <v>221.01</v>
      </c>
      <c r="F298" s="55" t="s">
        <v>23</v>
      </c>
      <c r="G298" s="55">
        <v>303.352896</v>
      </c>
      <c r="H298" s="56">
        <v>160.33</v>
      </c>
      <c r="I298" s="56">
        <v>169.0</v>
      </c>
      <c r="J298" s="56">
        <v>183.078896</v>
      </c>
      <c r="K298" s="57">
        <v>180.0</v>
      </c>
      <c r="L298" s="57">
        <v>179.01</v>
      </c>
      <c r="M298" s="4"/>
      <c r="N298" s="59">
        <v>1.0934</v>
      </c>
      <c r="O298" s="4"/>
      <c r="P298" s="61">
        <v>211.1212730931041</v>
      </c>
      <c r="Q298" s="61">
        <v>188.48545820376808</v>
      </c>
      <c r="R298" s="61">
        <v>182.00109749405524</v>
      </c>
      <c r="S298" s="61">
        <v>202.1309676239254</v>
      </c>
      <c r="T298" s="61" t="s">
        <v>23</v>
      </c>
      <c r="U298" s="61">
        <v>277.44</v>
      </c>
      <c r="V298" s="62">
        <v>146.63435156392904</v>
      </c>
      <c r="W298" s="62">
        <v>154.5637461130419</v>
      </c>
      <c r="X298" s="62">
        <v>167.44</v>
      </c>
      <c r="Y298" s="63">
        <v>164.62410828608012</v>
      </c>
      <c r="Z298" s="63">
        <v>163.71867569050667</v>
      </c>
    </row>
    <row r="299" ht="14.25" customHeight="1">
      <c r="A299" s="64">
        <v>43901.0</v>
      </c>
      <c r="B299" s="65">
        <v>234.33</v>
      </c>
      <c r="C299" s="65">
        <v>204.96</v>
      </c>
      <c r="D299" s="65">
        <v>202.5</v>
      </c>
      <c r="E299" s="65">
        <v>215.13</v>
      </c>
      <c r="F299" s="65" t="s">
        <v>23</v>
      </c>
      <c r="G299" s="65" t="s">
        <v>23</v>
      </c>
      <c r="H299" s="66">
        <v>174.6</v>
      </c>
      <c r="I299" s="66">
        <v>176.0</v>
      </c>
      <c r="J299" s="66">
        <v>191.793784</v>
      </c>
      <c r="K299" s="67">
        <v>181.0</v>
      </c>
      <c r="L299" s="67">
        <v>179.59</v>
      </c>
      <c r="M299" s="4"/>
      <c r="N299" s="59">
        <v>1.1336</v>
      </c>
      <c r="O299" s="4"/>
      <c r="P299" s="68">
        <v>206.7131263232181</v>
      </c>
      <c r="Q299" s="68">
        <v>180.8045165843331</v>
      </c>
      <c r="R299" s="68">
        <v>178.63443895553988</v>
      </c>
      <c r="S299" s="68">
        <v>189.7759350741002</v>
      </c>
      <c r="T299" s="68" t="s">
        <v>23</v>
      </c>
      <c r="U299" s="68" t="s">
        <v>23</v>
      </c>
      <c r="V299" s="66">
        <v>154.0225829216655</v>
      </c>
      <c r="W299" s="66">
        <v>155.257586450247</v>
      </c>
      <c r="X299" s="66">
        <v>169.19</v>
      </c>
      <c r="Y299" s="57">
        <v>159.6683133380381</v>
      </c>
      <c r="Z299" s="57">
        <v>158.42448835568104</v>
      </c>
    </row>
    <row r="300" ht="14.25" customHeight="1">
      <c r="A300" s="54">
        <v>43894.0</v>
      </c>
      <c r="B300" s="55">
        <v>236.35</v>
      </c>
      <c r="C300" s="55">
        <v>213.06</v>
      </c>
      <c r="D300" s="55">
        <v>206.0</v>
      </c>
      <c r="E300" s="55">
        <v>221.66</v>
      </c>
      <c r="F300" s="55" t="s">
        <v>23</v>
      </c>
      <c r="G300" s="55">
        <v>305.64825</v>
      </c>
      <c r="H300" s="56">
        <v>178.34</v>
      </c>
      <c r="I300" s="56">
        <v>178.0</v>
      </c>
      <c r="J300" s="56">
        <v>192.39575</v>
      </c>
      <c r="K300" s="57">
        <v>184.0</v>
      </c>
      <c r="L300" s="57">
        <v>183.53</v>
      </c>
      <c r="M300" s="4"/>
      <c r="N300" s="59">
        <v>1.1125</v>
      </c>
      <c r="O300" s="4"/>
      <c r="P300" s="61">
        <v>212.44943820224717</v>
      </c>
      <c r="Q300" s="61">
        <v>191.51460674157303</v>
      </c>
      <c r="R300" s="61">
        <v>185.1685393258427</v>
      </c>
      <c r="S300" s="61">
        <v>199.2449438202247</v>
      </c>
      <c r="T300" s="61" t="s">
        <v>23</v>
      </c>
      <c r="U300" s="61">
        <v>274.74</v>
      </c>
      <c r="V300" s="62">
        <v>160.30561797752807</v>
      </c>
      <c r="W300" s="62">
        <v>160.0</v>
      </c>
      <c r="X300" s="62">
        <v>172.94</v>
      </c>
      <c r="Y300" s="63">
        <v>165.3932584269663</v>
      </c>
      <c r="Z300" s="63">
        <v>164.97078651685393</v>
      </c>
    </row>
    <row r="301" ht="14.25" customHeight="1">
      <c r="A301" s="64">
        <v>43887.0</v>
      </c>
      <c r="B301" s="65">
        <v>248.11</v>
      </c>
      <c r="C301" s="65">
        <v>212.77</v>
      </c>
      <c r="D301" s="65">
        <v>210.0</v>
      </c>
      <c r="E301" s="65">
        <v>224.96</v>
      </c>
      <c r="F301" s="65" t="s">
        <v>23</v>
      </c>
      <c r="G301" s="65">
        <v>300.70462499999996</v>
      </c>
      <c r="H301" s="66">
        <v>173.81</v>
      </c>
      <c r="I301" s="66">
        <v>176.0</v>
      </c>
      <c r="J301" s="66">
        <v>187.87649999999996</v>
      </c>
      <c r="K301" s="67">
        <v>187.0</v>
      </c>
      <c r="L301" s="67">
        <v>183.43</v>
      </c>
      <c r="M301" s="4"/>
      <c r="N301" s="59">
        <v>1.0875</v>
      </c>
      <c r="O301" s="4"/>
      <c r="P301" s="68">
        <v>228.14712643678163</v>
      </c>
      <c r="Q301" s="68">
        <v>195.6505747126437</v>
      </c>
      <c r="R301" s="68">
        <v>193.1034482758621</v>
      </c>
      <c r="S301" s="68">
        <v>206.85977011494256</v>
      </c>
      <c r="T301" s="68" t="s">
        <v>23</v>
      </c>
      <c r="U301" s="68">
        <v>276.51</v>
      </c>
      <c r="V301" s="66">
        <v>159.82528735632187</v>
      </c>
      <c r="W301" s="66">
        <v>161.83908045977012</v>
      </c>
      <c r="X301" s="66">
        <v>172.76</v>
      </c>
      <c r="Y301" s="57">
        <v>171.95402298850576</v>
      </c>
      <c r="Z301" s="57">
        <v>168.67126436781612</v>
      </c>
    </row>
    <row r="302" ht="14.25" customHeight="1">
      <c r="A302" s="54">
        <v>43880.0</v>
      </c>
      <c r="B302" s="55">
        <v>256.56</v>
      </c>
      <c r="C302" s="55">
        <v>216.72</v>
      </c>
      <c r="D302" s="55">
        <v>214.0</v>
      </c>
      <c r="E302" s="55">
        <v>233.23</v>
      </c>
      <c r="F302" s="55" t="s">
        <v>23</v>
      </c>
      <c r="G302" s="55">
        <v>291.0708</v>
      </c>
      <c r="H302" s="56">
        <v>176.96</v>
      </c>
      <c r="I302" s="56">
        <v>181.0</v>
      </c>
      <c r="J302" s="56">
        <v>188.4708</v>
      </c>
      <c r="K302" s="57">
        <v>192.0</v>
      </c>
      <c r="L302" s="57">
        <v>189.2</v>
      </c>
      <c r="M302" s="4"/>
      <c r="N302" s="59">
        <v>1.08</v>
      </c>
      <c r="O302" s="4"/>
      <c r="P302" s="61">
        <v>237.55555555555554</v>
      </c>
      <c r="Q302" s="61">
        <v>200.66666666666666</v>
      </c>
      <c r="R302" s="61">
        <v>198.14814814814812</v>
      </c>
      <c r="S302" s="61">
        <v>215.95370370370367</v>
      </c>
      <c r="T302" s="61" t="s">
        <v>23</v>
      </c>
      <c r="U302" s="61">
        <v>269.51</v>
      </c>
      <c r="V302" s="62">
        <v>163.85185185185185</v>
      </c>
      <c r="W302" s="62">
        <v>167.59259259259258</v>
      </c>
      <c r="X302" s="62">
        <v>174.51</v>
      </c>
      <c r="Y302" s="63">
        <v>177.77777777777777</v>
      </c>
      <c r="Z302" s="63">
        <v>175.18518518518516</v>
      </c>
    </row>
    <row r="303" ht="14.25" customHeight="1">
      <c r="A303" s="64">
        <v>43873.0</v>
      </c>
      <c r="B303" s="65">
        <v>250.04</v>
      </c>
      <c r="C303" s="65">
        <v>216.07</v>
      </c>
      <c r="D303" s="65">
        <v>217.0</v>
      </c>
      <c r="E303" s="65">
        <v>231.49</v>
      </c>
      <c r="F303" s="65" t="s">
        <v>23</v>
      </c>
      <c r="G303" s="65" t="s">
        <v>23</v>
      </c>
      <c r="H303" s="66">
        <v>177.16</v>
      </c>
      <c r="I303" s="66">
        <v>180.0</v>
      </c>
      <c r="J303" s="66">
        <v>189.64166399999996</v>
      </c>
      <c r="K303" s="67">
        <v>193.0</v>
      </c>
      <c r="L303" s="67">
        <v>188.83</v>
      </c>
      <c r="M303" s="4"/>
      <c r="N303" s="59">
        <v>1.0914</v>
      </c>
      <c r="O303" s="4"/>
      <c r="P303" s="68">
        <v>229.10023822613158</v>
      </c>
      <c r="Q303" s="68">
        <v>197.97507788161994</v>
      </c>
      <c r="R303" s="68">
        <v>198.82719442917355</v>
      </c>
      <c r="S303" s="68">
        <v>212.10371999267</v>
      </c>
      <c r="T303" s="68" t="s">
        <v>23</v>
      </c>
      <c r="U303" s="68" t="s">
        <v>23</v>
      </c>
      <c r="V303" s="66">
        <v>162.32362103719993</v>
      </c>
      <c r="W303" s="66">
        <v>164.92578339747115</v>
      </c>
      <c r="X303" s="66">
        <v>173.76</v>
      </c>
      <c r="Y303" s="57">
        <v>176.8370899761774</v>
      </c>
      <c r="Z303" s="57">
        <v>173.01630932746932</v>
      </c>
    </row>
    <row r="304" ht="14.25" customHeight="1">
      <c r="A304" s="54">
        <v>43866.0</v>
      </c>
      <c r="B304" s="55">
        <v>255.37</v>
      </c>
      <c r="C304" s="55">
        <v>218.74</v>
      </c>
      <c r="D304" s="55">
        <v>221.0</v>
      </c>
      <c r="E304" s="55">
        <v>232.5</v>
      </c>
      <c r="F304" s="55" t="s">
        <v>23</v>
      </c>
      <c r="G304" s="55" t="s">
        <v>23</v>
      </c>
      <c r="H304" s="56">
        <v>176.66</v>
      </c>
      <c r="I304" s="56">
        <v>183.5</v>
      </c>
      <c r="J304" s="56">
        <v>192.913523</v>
      </c>
      <c r="K304" s="57">
        <v>194.0</v>
      </c>
      <c r="L304" s="57">
        <v>193.43</v>
      </c>
      <c r="M304" s="4"/>
      <c r="N304" s="59">
        <v>1.1023</v>
      </c>
      <c r="O304" s="4"/>
      <c r="P304" s="61">
        <v>231.67014424385374</v>
      </c>
      <c r="Q304" s="61">
        <v>198.43962623605188</v>
      </c>
      <c r="R304" s="61">
        <v>200.4898847863558</v>
      </c>
      <c r="S304" s="61">
        <v>210.92261634763676</v>
      </c>
      <c r="T304" s="61" t="s">
        <v>23</v>
      </c>
      <c r="U304" s="61" t="s">
        <v>23</v>
      </c>
      <c r="V304" s="62">
        <v>160.26490066225165</v>
      </c>
      <c r="W304" s="62">
        <v>166.4701079560918</v>
      </c>
      <c r="X304" s="62">
        <v>175.01</v>
      </c>
      <c r="Y304" s="63">
        <v>175.99564546856573</v>
      </c>
      <c r="Z304" s="63">
        <v>175.4785448607457</v>
      </c>
    </row>
    <row r="305" ht="14.25" customHeight="1">
      <c r="A305" s="64">
        <v>43859.0</v>
      </c>
      <c r="B305" s="65">
        <v>258.03</v>
      </c>
      <c r="C305" s="65">
        <v>216.54</v>
      </c>
      <c r="D305" s="65">
        <v>223.0</v>
      </c>
      <c r="E305" s="65">
        <v>232.22</v>
      </c>
      <c r="F305" s="65" t="s">
        <v>23</v>
      </c>
      <c r="G305" s="65">
        <v>297.665058</v>
      </c>
      <c r="H305" s="66">
        <v>177.65</v>
      </c>
      <c r="I305" s="66">
        <v>185.0</v>
      </c>
      <c r="J305" s="66">
        <v>191.61541800000003</v>
      </c>
      <c r="K305" s="67">
        <v>192.0</v>
      </c>
      <c r="L305" s="67">
        <v>188.5</v>
      </c>
      <c r="M305" s="4"/>
      <c r="N305" s="59">
        <v>1.1001</v>
      </c>
      <c r="O305" s="4"/>
      <c r="P305" s="68">
        <v>234.55140441778016</v>
      </c>
      <c r="Q305" s="68">
        <v>196.836651213526</v>
      </c>
      <c r="R305" s="68">
        <v>202.7088446504863</v>
      </c>
      <c r="S305" s="68">
        <v>211.08990091809835</v>
      </c>
      <c r="T305" s="68" t="s">
        <v>23</v>
      </c>
      <c r="U305" s="68">
        <v>270.58</v>
      </c>
      <c r="V305" s="66">
        <v>161.4853195164076</v>
      </c>
      <c r="W305" s="66">
        <v>168.16653031542586</v>
      </c>
      <c r="X305" s="66">
        <v>174.18</v>
      </c>
      <c r="Y305" s="57">
        <v>174.5295882192528</v>
      </c>
      <c r="Z305" s="57">
        <v>171.34805926733932</v>
      </c>
    </row>
    <row r="306" ht="14.25" customHeight="1">
      <c r="A306" s="54">
        <v>43852.0</v>
      </c>
      <c r="B306" s="55">
        <v>263.73</v>
      </c>
      <c r="C306" s="55">
        <v>224.14</v>
      </c>
      <c r="D306" s="55">
        <v>223.0</v>
      </c>
      <c r="E306" s="55">
        <v>236.08</v>
      </c>
      <c r="F306" s="55" t="s">
        <v>23</v>
      </c>
      <c r="G306" s="55">
        <v>294.475104</v>
      </c>
      <c r="H306" s="56">
        <v>179.42</v>
      </c>
      <c r="I306" s="56">
        <v>182.0</v>
      </c>
      <c r="J306" s="56">
        <v>195.237504</v>
      </c>
      <c r="K306" s="57">
        <v>187.0</v>
      </c>
      <c r="L306" s="57">
        <v>187.6</v>
      </c>
      <c r="M306" s="4"/>
      <c r="N306" s="59">
        <v>1.1088</v>
      </c>
      <c r="O306" s="4"/>
      <c r="P306" s="61">
        <v>237.85173160173161</v>
      </c>
      <c r="Q306" s="61">
        <v>202.14646464646464</v>
      </c>
      <c r="R306" s="61">
        <v>201.1183261183261</v>
      </c>
      <c r="S306" s="61">
        <v>212.91486291486294</v>
      </c>
      <c r="T306" s="61" t="s">
        <v>23</v>
      </c>
      <c r="U306" s="61">
        <v>265.58</v>
      </c>
      <c r="V306" s="62">
        <v>161.81457431457432</v>
      </c>
      <c r="W306" s="62">
        <v>164.14141414141415</v>
      </c>
      <c r="X306" s="62">
        <v>176.08</v>
      </c>
      <c r="Y306" s="63">
        <v>168.65079365079364</v>
      </c>
      <c r="Z306" s="63">
        <v>169.1919191919192</v>
      </c>
    </row>
    <row r="307" ht="14.25" customHeight="1">
      <c r="A307" s="64">
        <v>43845.0</v>
      </c>
      <c r="B307" s="65">
        <v>257.67</v>
      </c>
      <c r="C307" s="65">
        <v>225.14</v>
      </c>
      <c r="D307" s="65">
        <v>217.0</v>
      </c>
      <c r="E307" s="65">
        <v>239.39</v>
      </c>
      <c r="F307" s="65" t="s">
        <v>23</v>
      </c>
      <c r="G307" s="65" t="s">
        <v>23</v>
      </c>
      <c r="H307" s="66">
        <v>177.75</v>
      </c>
      <c r="I307" s="66">
        <v>180.0</v>
      </c>
      <c r="J307" s="66">
        <v>197.02398600000004</v>
      </c>
      <c r="K307" s="67">
        <v>186.0</v>
      </c>
      <c r="L307" s="67">
        <v>195.03</v>
      </c>
      <c r="M307" s="4"/>
      <c r="N307" s="59">
        <v>1.1142</v>
      </c>
      <c r="P307" s="68">
        <v>231.2600969305331</v>
      </c>
      <c r="Q307" s="68">
        <v>202.06426135343742</v>
      </c>
      <c r="R307" s="68">
        <v>194.75857117214144</v>
      </c>
      <c r="S307" s="68">
        <v>214.8537066953868</v>
      </c>
      <c r="T307" s="68" t="s">
        <v>23</v>
      </c>
      <c r="U307" s="68" t="s">
        <v>23</v>
      </c>
      <c r="V307" s="66">
        <v>159.5315024232633</v>
      </c>
      <c r="W307" s="66">
        <v>161.5508885298869</v>
      </c>
      <c r="X307" s="66">
        <v>176.83</v>
      </c>
      <c r="Y307" s="57">
        <v>166.9359181475498</v>
      </c>
      <c r="Z307" s="57">
        <v>175.04038772213246</v>
      </c>
    </row>
    <row r="308" ht="14.25" customHeight="1">
      <c r="A308" s="54">
        <v>43838.0</v>
      </c>
      <c r="B308" s="55">
        <v>250.87</v>
      </c>
      <c r="C308" s="55">
        <v>217.81</v>
      </c>
      <c r="D308" s="55">
        <v>211.0</v>
      </c>
      <c r="E308" s="55">
        <v>234.79</v>
      </c>
      <c r="F308" s="55" t="s">
        <v>23</v>
      </c>
      <c r="G308" s="55">
        <v>289.63466999999997</v>
      </c>
      <c r="H308" s="56">
        <v>175.29</v>
      </c>
      <c r="I308" s="56">
        <v>177.0</v>
      </c>
      <c r="J308" s="56">
        <v>193.767795</v>
      </c>
      <c r="K308" s="57">
        <v>186.0</v>
      </c>
      <c r="L308" s="57">
        <v>190.57</v>
      </c>
      <c r="M308" s="4"/>
      <c r="N308" s="59">
        <v>1.1115</v>
      </c>
      <c r="P308" s="61">
        <v>225.70400359874046</v>
      </c>
      <c r="Q308" s="61">
        <v>195.9604138551507</v>
      </c>
      <c r="R308" s="61">
        <v>189.8335582546109</v>
      </c>
      <c r="S308" s="61">
        <v>211.23706702654073</v>
      </c>
      <c r="T308" s="61" t="s">
        <v>23</v>
      </c>
      <c r="U308" s="61">
        <v>260.58</v>
      </c>
      <c r="V308" s="62">
        <v>157.70580296896085</v>
      </c>
      <c r="W308" s="62">
        <v>159.2442645074224</v>
      </c>
      <c r="X308" s="62">
        <v>174.33</v>
      </c>
      <c r="Y308" s="63">
        <v>167.34143049932524</v>
      </c>
      <c r="Z308" s="63">
        <v>171.45299145299145</v>
      </c>
    </row>
    <row r="309" ht="14.25" customHeight="1">
      <c r="A309" s="64">
        <v>43831.0</v>
      </c>
      <c r="B309" s="65">
        <v>251.24</v>
      </c>
      <c r="C309" s="65">
        <v>218.18</v>
      </c>
      <c r="D309" s="65">
        <v>206.0</v>
      </c>
      <c r="E309" s="65">
        <v>237.36</v>
      </c>
      <c r="F309" s="65" t="s">
        <v>23</v>
      </c>
      <c r="G309" s="65" t="s">
        <v>23</v>
      </c>
      <c r="H309" s="66">
        <v>175.48</v>
      </c>
      <c r="I309" s="66">
        <v>175.0</v>
      </c>
      <c r="J309" s="66" t="s">
        <v>23</v>
      </c>
      <c r="K309" s="67">
        <v>185.0</v>
      </c>
      <c r="L309" s="67">
        <v>193.49</v>
      </c>
      <c r="M309" s="4"/>
      <c r="N309" s="59">
        <v>1.1234</v>
      </c>
      <c r="P309" s="68">
        <v>223.64251379740077</v>
      </c>
      <c r="Q309" s="68">
        <v>194.21399323482288</v>
      </c>
      <c r="R309" s="68">
        <v>183.37190671176785</v>
      </c>
      <c r="S309" s="68">
        <v>211.2871639665302</v>
      </c>
      <c r="T309" s="68" t="s">
        <v>23</v>
      </c>
      <c r="U309" s="68" t="s">
        <v>23</v>
      </c>
      <c r="V309" s="66">
        <v>156.20437956204378</v>
      </c>
      <c r="W309" s="66">
        <v>155.77710521630763</v>
      </c>
      <c r="X309" s="66" t="s">
        <v>23</v>
      </c>
      <c r="Y309" s="57">
        <v>164.67865408581093</v>
      </c>
      <c r="Z309" s="57">
        <v>172.23606907601925</v>
      </c>
    </row>
    <row r="310" ht="14.25" customHeight="1">
      <c r="A310" s="54">
        <v>43824.0</v>
      </c>
      <c r="B310" s="55">
        <v>244.71</v>
      </c>
      <c r="C310" s="55">
        <v>212.32</v>
      </c>
      <c r="D310" s="55">
        <v>206.0</v>
      </c>
      <c r="E310" s="55">
        <v>227.99</v>
      </c>
      <c r="F310" s="55" t="s">
        <v>23</v>
      </c>
      <c r="G310" s="55" t="s">
        <v>23</v>
      </c>
      <c r="H310" s="56">
        <v>175.39</v>
      </c>
      <c r="I310" s="56">
        <v>175.0</v>
      </c>
      <c r="J310" s="56" t="s">
        <v>23</v>
      </c>
      <c r="K310" s="57">
        <v>185.0</v>
      </c>
      <c r="L310" s="57">
        <v>187.92</v>
      </c>
      <c r="M310" s="4"/>
      <c r="N310" s="59">
        <v>1.108</v>
      </c>
      <c r="P310" s="61">
        <v>220.85740072202165</v>
      </c>
      <c r="Q310" s="61">
        <v>191.62454873646206</v>
      </c>
      <c r="R310" s="61">
        <v>185.9205776173285</v>
      </c>
      <c r="S310" s="61">
        <v>205.76714801444044</v>
      </c>
      <c r="T310" s="61" t="s">
        <v>23</v>
      </c>
      <c r="U310" s="61" t="s">
        <v>23</v>
      </c>
      <c r="V310" s="62">
        <v>158.29422382671478</v>
      </c>
      <c r="W310" s="62">
        <v>157.942238267148</v>
      </c>
      <c r="X310" s="62" t="s">
        <v>23</v>
      </c>
      <c r="Y310" s="63">
        <v>166.96750902527074</v>
      </c>
      <c r="Z310" s="63">
        <v>169.60288808664257</v>
      </c>
    </row>
    <row r="311" ht="14.25" customHeight="1">
      <c r="A311" s="64">
        <v>43817.0</v>
      </c>
      <c r="B311" s="65">
        <v>247.38</v>
      </c>
      <c r="C311" s="65">
        <v>211.34</v>
      </c>
      <c r="D311" s="65">
        <v>205.0</v>
      </c>
      <c r="E311" s="65">
        <v>228.64</v>
      </c>
      <c r="F311" s="65" t="s">
        <v>23</v>
      </c>
      <c r="G311" s="65">
        <v>289.43459999999993</v>
      </c>
      <c r="H311" s="66">
        <v>174.79</v>
      </c>
      <c r="I311" s="66">
        <v>173.0</v>
      </c>
      <c r="J311" s="66">
        <v>190.233225</v>
      </c>
      <c r="K311" s="67">
        <v>185.0</v>
      </c>
      <c r="L311" s="67">
        <v>188.53</v>
      </c>
      <c r="M311" s="4"/>
      <c r="N311" s="59">
        <v>1.1115</v>
      </c>
      <c r="P311" s="68">
        <v>222.56410256410257</v>
      </c>
      <c r="Q311" s="68">
        <v>190.1394511920828</v>
      </c>
      <c r="R311" s="68">
        <v>184.43544759334233</v>
      </c>
      <c r="S311" s="68">
        <v>205.70400359874043</v>
      </c>
      <c r="T311" s="68" t="s">
        <v>23</v>
      </c>
      <c r="U311" s="68">
        <v>260.4</v>
      </c>
      <c r="V311" s="66">
        <v>157.25596041385515</v>
      </c>
      <c r="W311" s="66">
        <v>155.6455240665767</v>
      </c>
      <c r="X311" s="66">
        <v>171.15</v>
      </c>
      <c r="Y311" s="57">
        <v>166.44174538911383</v>
      </c>
      <c r="Z311" s="57">
        <v>169.61763382816017</v>
      </c>
    </row>
    <row r="312" ht="14.25" customHeight="1">
      <c r="A312" s="54">
        <v>43810.0</v>
      </c>
      <c r="B312" s="55">
        <v>236.35</v>
      </c>
      <c r="C312" s="55">
        <v>207.24</v>
      </c>
      <c r="D312" s="55">
        <v>203.0</v>
      </c>
      <c r="E312" s="55">
        <v>215.23</v>
      </c>
      <c r="F312" s="55" t="s">
        <v>23</v>
      </c>
      <c r="G312" s="55">
        <v>289.77737499999995</v>
      </c>
      <c r="H312" s="56">
        <v>167.41</v>
      </c>
      <c r="I312" s="56">
        <v>168.5</v>
      </c>
      <c r="J312" s="56">
        <v>188.441125</v>
      </c>
      <c r="K312" s="57">
        <v>187.0</v>
      </c>
      <c r="L312" s="57">
        <v>187.84</v>
      </c>
      <c r="M312" s="4"/>
      <c r="N312" s="59">
        <v>1.1075</v>
      </c>
      <c r="P312" s="61">
        <v>213.40857787810384</v>
      </c>
      <c r="Q312" s="61">
        <v>187.12415349887135</v>
      </c>
      <c r="R312" s="61">
        <v>183.2957110609481</v>
      </c>
      <c r="S312" s="61">
        <v>194.33860045146727</v>
      </c>
      <c r="T312" s="61" t="s">
        <v>23</v>
      </c>
      <c r="U312" s="61">
        <v>261.65</v>
      </c>
      <c r="V312" s="62">
        <v>151.16027088036117</v>
      </c>
      <c r="W312" s="62">
        <v>152.14446952595938</v>
      </c>
      <c r="X312" s="62">
        <v>170.15</v>
      </c>
      <c r="Y312" s="63">
        <v>168.8487584650113</v>
      </c>
      <c r="Z312" s="63">
        <v>169.60722347629797</v>
      </c>
    </row>
    <row r="313" ht="14.25" customHeight="1">
      <c r="A313" s="64">
        <v>43803.0</v>
      </c>
      <c r="B313" s="65">
        <v>239.75</v>
      </c>
      <c r="C313" s="65">
        <v>208.95</v>
      </c>
      <c r="D313" s="65">
        <v>202.0</v>
      </c>
      <c r="E313" s="65">
        <v>218.44</v>
      </c>
      <c r="F313" s="65" t="s">
        <v>23</v>
      </c>
      <c r="G313" s="65">
        <v>291.042465</v>
      </c>
      <c r="H313" s="66">
        <v>170.27</v>
      </c>
      <c r="I313" s="66">
        <v>169.0</v>
      </c>
      <c r="J313" s="66">
        <v>187.989165</v>
      </c>
      <c r="K313" s="67">
        <v>187.0</v>
      </c>
      <c r="L313" s="67">
        <v>190.1</v>
      </c>
      <c r="M313" s="4"/>
      <c r="N313" s="59">
        <v>1.1081</v>
      </c>
      <c r="P313" s="68">
        <v>216.36133922931143</v>
      </c>
      <c r="Q313" s="68">
        <v>188.56601389766263</v>
      </c>
      <c r="R313" s="68">
        <v>182.29401678548865</v>
      </c>
      <c r="S313" s="68">
        <v>197.13022290407002</v>
      </c>
      <c r="T313" s="68" t="s">
        <v>23</v>
      </c>
      <c r="U313" s="68">
        <v>262.65</v>
      </c>
      <c r="V313" s="66">
        <v>153.65941702012452</v>
      </c>
      <c r="W313" s="66">
        <v>152.51331107300783</v>
      </c>
      <c r="X313" s="66">
        <v>169.65</v>
      </c>
      <c r="Y313" s="57">
        <v>168.75733237072464</v>
      </c>
      <c r="Z313" s="57">
        <v>171.55491381644254</v>
      </c>
    </row>
    <row r="314" ht="14.25" customHeight="1">
      <c r="A314" s="54">
        <v>43796.0</v>
      </c>
      <c r="B314" s="55">
        <v>238.28</v>
      </c>
      <c r="C314" s="55">
        <v>205.17</v>
      </c>
      <c r="D314" s="55">
        <v>200.0</v>
      </c>
      <c r="E314" s="55">
        <v>218.53</v>
      </c>
      <c r="F314" s="55" t="s">
        <v>23</v>
      </c>
      <c r="G314" s="55">
        <v>293.08159800000004</v>
      </c>
      <c r="H314" s="56">
        <v>168.4</v>
      </c>
      <c r="I314" s="56">
        <v>168.0</v>
      </c>
      <c r="J314" s="56">
        <v>186.019073</v>
      </c>
      <c r="K314" s="57">
        <v>187.0</v>
      </c>
      <c r="L314" s="57">
        <v>187.02</v>
      </c>
      <c r="M314" s="4"/>
      <c r="N314" s="59">
        <v>1.1009</v>
      </c>
      <c r="P314" s="61">
        <v>216.44109365064946</v>
      </c>
      <c r="Q314" s="61">
        <v>186.3657007902625</v>
      </c>
      <c r="R314" s="61">
        <v>181.6695431010991</v>
      </c>
      <c r="S314" s="61">
        <v>198.50122626941592</v>
      </c>
      <c r="T314" s="61" t="s">
        <v>23</v>
      </c>
      <c r="U314" s="61">
        <v>266.22</v>
      </c>
      <c r="V314" s="62">
        <v>152.96575529112545</v>
      </c>
      <c r="W314" s="62">
        <v>152.60241620492326</v>
      </c>
      <c r="X314" s="62">
        <v>168.97</v>
      </c>
      <c r="Y314" s="63">
        <v>169.86102279952766</v>
      </c>
      <c r="Z314" s="63">
        <v>169.87918975383778</v>
      </c>
    </row>
    <row r="315" ht="14.25" customHeight="1">
      <c r="A315" s="64">
        <v>43789.0</v>
      </c>
      <c r="B315" s="65">
        <v>229.83</v>
      </c>
      <c r="C315" s="65">
        <v>204.18</v>
      </c>
      <c r="D315" s="65">
        <v>198.0</v>
      </c>
      <c r="E315" s="65">
        <v>218.99</v>
      </c>
      <c r="F315" s="65" t="s">
        <v>23</v>
      </c>
      <c r="G315" s="65">
        <v>293.8597480000001</v>
      </c>
      <c r="H315" s="66">
        <v>169.97</v>
      </c>
      <c r="I315" s="66">
        <v>168.0</v>
      </c>
      <c r="J315" s="66">
        <v>184.375648</v>
      </c>
      <c r="K315" s="67">
        <v>187.0</v>
      </c>
      <c r="L315" s="67">
        <v>188.14</v>
      </c>
      <c r="M315" s="4"/>
      <c r="N315" s="59">
        <v>1.1059</v>
      </c>
      <c r="P315" s="68">
        <v>207.82168369653675</v>
      </c>
      <c r="Q315" s="68">
        <v>184.6279048738584</v>
      </c>
      <c r="R315" s="68">
        <v>179.039696175061</v>
      </c>
      <c r="S315" s="68">
        <v>198.01971245139706</v>
      </c>
      <c r="T315" s="68" t="s">
        <v>23</v>
      </c>
      <c r="U315" s="68">
        <v>265.72</v>
      </c>
      <c r="V315" s="66">
        <v>153.69382403472284</v>
      </c>
      <c r="W315" s="66">
        <v>151.91246948186995</v>
      </c>
      <c r="X315" s="66">
        <v>166.72</v>
      </c>
      <c r="Y315" s="57">
        <v>169.09304638755762</v>
      </c>
      <c r="Z315" s="57">
        <v>170.12388100189887</v>
      </c>
    </row>
    <row r="316" ht="14.25" customHeight="1">
      <c r="A316" s="54">
        <v>43782.0</v>
      </c>
      <c r="B316" s="55">
        <v>225.61</v>
      </c>
      <c r="C316" s="55">
        <v>199.85</v>
      </c>
      <c r="D316" s="55">
        <v>197.0</v>
      </c>
      <c r="E316" s="55">
        <v>218.17</v>
      </c>
      <c r="F316" s="55" t="s">
        <v>23</v>
      </c>
      <c r="G316" s="55" t="s">
        <v>23</v>
      </c>
      <c r="H316" s="56">
        <v>172.53</v>
      </c>
      <c r="I316" s="56">
        <v>165.0</v>
      </c>
      <c r="J316" s="56">
        <v>182.391432</v>
      </c>
      <c r="K316" s="57">
        <v>187.0</v>
      </c>
      <c r="L316" s="57">
        <v>184.43</v>
      </c>
      <c r="M316" s="4"/>
      <c r="N316" s="59">
        <v>1.1006</v>
      </c>
      <c r="P316" s="61">
        <v>204.9881882609486</v>
      </c>
      <c r="Q316" s="61">
        <v>181.58277303289114</v>
      </c>
      <c r="R316" s="61">
        <v>178.9932763946938</v>
      </c>
      <c r="S316" s="61">
        <v>198.22823914228601</v>
      </c>
      <c r="T316" s="61" t="s">
        <v>23</v>
      </c>
      <c r="U316" s="61" t="s">
        <v>23</v>
      </c>
      <c r="V316" s="62">
        <v>156.75994911866255</v>
      </c>
      <c r="W316" s="62">
        <v>149.91822642195166</v>
      </c>
      <c r="X316" s="62">
        <v>165.72</v>
      </c>
      <c r="Y316" s="63">
        <v>169.9073232782119</v>
      </c>
      <c r="Z316" s="63">
        <v>167.57223332727602</v>
      </c>
    </row>
    <row r="317" ht="14.25" customHeight="1">
      <c r="A317" s="64">
        <v>43775.0</v>
      </c>
      <c r="B317" s="65">
        <v>228.45</v>
      </c>
      <c r="C317" s="65">
        <v>201.57</v>
      </c>
      <c r="D317" s="65">
        <v>197.0</v>
      </c>
      <c r="E317" s="65">
        <v>217.8</v>
      </c>
      <c r="F317" s="65" t="s">
        <v>23</v>
      </c>
      <c r="G317" s="65" t="s">
        <v>23</v>
      </c>
      <c r="H317" s="66">
        <v>173.12</v>
      </c>
      <c r="I317" s="66">
        <v>166.0</v>
      </c>
      <c r="J317" s="66">
        <v>187.11048</v>
      </c>
      <c r="K317" s="67">
        <v>186.0</v>
      </c>
      <c r="L317" s="67">
        <v>186.62</v>
      </c>
      <c r="M317" s="4"/>
      <c r="N317" s="59">
        <v>1.109</v>
      </c>
      <c r="P317" s="68">
        <v>205.99639314697924</v>
      </c>
      <c r="Q317" s="68">
        <v>181.75834084761047</v>
      </c>
      <c r="R317" s="68">
        <v>177.6375112714157</v>
      </c>
      <c r="S317" s="68">
        <v>196.39314697926062</v>
      </c>
      <c r="T317" s="68" t="s">
        <v>23</v>
      </c>
      <c r="U317" s="68" t="s">
        <v>23</v>
      </c>
      <c r="V317" s="66">
        <v>156.10459873760144</v>
      </c>
      <c r="W317" s="66">
        <v>149.68440036068532</v>
      </c>
      <c r="X317" s="66">
        <v>168.72</v>
      </c>
      <c r="Y317" s="57">
        <v>167.71866546438233</v>
      </c>
      <c r="Z317" s="57">
        <v>168.27772768259695</v>
      </c>
    </row>
    <row r="318" ht="14.25" customHeight="1">
      <c r="A318" s="54">
        <v>43768.0</v>
      </c>
      <c r="B318" s="55">
        <v>225.7</v>
      </c>
      <c r="C318" s="55">
        <v>200.88</v>
      </c>
      <c r="D318" s="55">
        <v>200.0</v>
      </c>
      <c r="E318" s="55">
        <v>214.31</v>
      </c>
      <c r="F318" s="55" t="s">
        <v>23</v>
      </c>
      <c r="G318" s="55">
        <v>297.774072</v>
      </c>
      <c r="H318" s="56">
        <v>177.06</v>
      </c>
      <c r="I318" s="56">
        <v>166.0</v>
      </c>
      <c r="J318" s="56">
        <v>187.102782</v>
      </c>
      <c r="K318" s="57">
        <v>186.0</v>
      </c>
      <c r="L318" s="57">
        <v>188.64</v>
      </c>
      <c r="M318" s="4"/>
      <c r="N318" s="59">
        <v>1.1106</v>
      </c>
      <c r="P318" s="61">
        <v>203.22348280208894</v>
      </c>
      <c r="Q318" s="61">
        <v>180.87520259319285</v>
      </c>
      <c r="R318" s="61">
        <v>180.08283810552854</v>
      </c>
      <c r="S318" s="61">
        <v>192.9677651719791</v>
      </c>
      <c r="T318" s="61" t="s">
        <v>23</v>
      </c>
      <c r="U318" s="61">
        <v>268.12</v>
      </c>
      <c r="V318" s="62">
        <v>159.4273365748244</v>
      </c>
      <c r="W318" s="62">
        <v>149.46875562758868</v>
      </c>
      <c r="X318" s="62">
        <v>168.47</v>
      </c>
      <c r="Y318" s="63">
        <v>167.47703943814153</v>
      </c>
      <c r="Z318" s="63">
        <v>169.8541329011345</v>
      </c>
    </row>
    <row r="319" ht="14.25" customHeight="1">
      <c r="A319" s="64">
        <v>43761.0</v>
      </c>
      <c r="B319" s="65">
        <v>228.09</v>
      </c>
      <c r="C319" s="65">
        <v>201.3</v>
      </c>
      <c r="D319" s="65">
        <v>201.0</v>
      </c>
      <c r="E319" s="65">
        <v>214.31</v>
      </c>
      <c r="F319" s="65" t="s">
        <v>23</v>
      </c>
      <c r="G319" s="65" t="s">
        <v>23</v>
      </c>
      <c r="H319" s="66">
        <v>174.3</v>
      </c>
      <c r="I319" s="66">
        <v>165.0</v>
      </c>
      <c r="J319" s="66">
        <v>186.35474200000002</v>
      </c>
      <c r="K319" s="67">
        <v>186.0</v>
      </c>
      <c r="L319" s="67">
        <v>190.74</v>
      </c>
      <c r="M319" s="4"/>
      <c r="N319" s="59">
        <v>1.1123</v>
      </c>
      <c r="P319" s="68">
        <v>205.06158410500763</v>
      </c>
      <c r="Q319" s="68">
        <v>180.97635529982918</v>
      </c>
      <c r="R319" s="68">
        <v>180.70664389103658</v>
      </c>
      <c r="S319" s="68">
        <v>192.67284006113456</v>
      </c>
      <c r="T319" s="68" t="s">
        <v>23</v>
      </c>
      <c r="U319" s="68" t="s">
        <v>23</v>
      </c>
      <c r="V319" s="66">
        <v>156.70232850849592</v>
      </c>
      <c r="W319" s="66">
        <v>148.34127483592556</v>
      </c>
      <c r="X319" s="66">
        <v>167.54</v>
      </c>
      <c r="Y319" s="57">
        <v>167.221073451407</v>
      </c>
      <c r="Z319" s="57">
        <v>171.48251371032995</v>
      </c>
    </row>
    <row r="320" ht="14.25" customHeight="1">
      <c r="A320" s="54">
        <v>43754.0</v>
      </c>
      <c r="B320" s="55">
        <v>225.33</v>
      </c>
      <c r="C320" s="55">
        <v>199.57</v>
      </c>
      <c r="D320" s="55">
        <v>196.0</v>
      </c>
      <c r="E320" s="55">
        <v>216.79</v>
      </c>
      <c r="F320" s="55" t="s">
        <v>23</v>
      </c>
      <c r="G320" s="55">
        <v>306.263475</v>
      </c>
      <c r="H320" s="56">
        <v>172.33</v>
      </c>
      <c r="I320" s="56">
        <v>166.0</v>
      </c>
      <c r="J320" s="56">
        <v>184.988475</v>
      </c>
      <c r="K320" s="57">
        <v>182.0</v>
      </c>
      <c r="L320" s="57">
        <v>189.62</v>
      </c>
      <c r="M320" s="4"/>
      <c r="N320" s="59">
        <v>1.1025</v>
      </c>
      <c r="P320" s="61">
        <v>204.38095238095238</v>
      </c>
      <c r="Q320" s="61">
        <v>181.015873015873</v>
      </c>
      <c r="R320" s="61">
        <v>177.77777777777777</v>
      </c>
      <c r="S320" s="61">
        <v>196.63492063492063</v>
      </c>
      <c r="T320" s="61" t="s">
        <v>23</v>
      </c>
      <c r="U320" s="61">
        <v>277.79</v>
      </c>
      <c r="V320" s="62">
        <v>156.30839002267575</v>
      </c>
      <c r="W320" s="62">
        <v>150.56689342403627</v>
      </c>
      <c r="X320" s="62">
        <v>167.79</v>
      </c>
      <c r="Y320" s="63">
        <v>165.07936507936506</v>
      </c>
      <c r="Z320" s="63">
        <v>171.99092970521542</v>
      </c>
    </row>
    <row r="321" ht="14.25" customHeight="1">
      <c r="A321" s="64">
        <v>43747.0</v>
      </c>
      <c r="B321" s="65">
        <v>218.72</v>
      </c>
      <c r="C321" s="65">
        <v>196.08</v>
      </c>
      <c r="D321" s="65">
        <v>189.0</v>
      </c>
      <c r="E321" s="65">
        <v>210.63</v>
      </c>
      <c r="F321" s="65" t="s">
        <v>23</v>
      </c>
      <c r="G321" s="65">
        <v>299.55069900000007</v>
      </c>
      <c r="H321" s="66">
        <v>170.17</v>
      </c>
      <c r="I321" s="66">
        <v>165.0</v>
      </c>
      <c r="J321" s="66">
        <v>182.603049</v>
      </c>
      <c r="K321" s="67">
        <v>180.0</v>
      </c>
      <c r="L321" s="67">
        <v>184.55</v>
      </c>
      <c r="M321" s="4"/>
      <c r="N321" s="59">
        <v>1.0981</v>
      </c>
      <c r="P321" s="68">
        <v>199.18040251343228</v>
      </c>
      <c r="Q321" s="68">
        <v>178.56297240688463</v>
      </c>
      <c r="R321" s="68">
        <v>172.11547217921864</v>
      </c>
      <c r="S321" s="68">
        <v>191.81313177306254</v>
      </c>
      <c r="T321" s="68" t="s">
        <v>23</v>
      </c>
      <c r="U321" s="68">
        <v>272.79</v>
      </c>
      <c r="V321" s="66">
        <v>154.96767143247425</v>
      </c>
      <c r="W321" s="66">
        <v>150.25953920407977</v>
      </c>
      <c r="X321" s="66">
        <v>166.29</v>
      </c>
      <c r="Y321" s="57">
        <v>163.91949731354157</v>
      </c>
      <c r="Z321" s="57">
        <v>168.0630179400783</v>
      </c>
    </row>
    <row r="322" ht="14.25" customHeight="1">
      <c r="A322" s="54">
        <v>43740.0</v>
      </c>
      <c r="B322" s="55">
        <v>214.58</v>
      </c>
      <c r="C322" s="55">
        <v>190.01</v>
      </c>
      <c r="D322" s="55">
        <v>187.0</v>
      </c>
      <c r="E322" s="55">
        <v>206.04</v>
      </c>
      <c r="F322" s="55" t="s">
        <v>23</v>
      </c>
      <c r="G322" s="55">
        <v>276.173075</v>
      </c>
      <c r="H322" s="56">
        <v>168.4</v>
      </c>
      <c r="I322" s="56">
        <v>162.0</v>
      </c>
      <c r="J322" s="56">
        <v>183.03745</v>
      </c>
      <c r="K322" s="57">
        <v>180.0</v>
      </c>
      <c r="L322" s="57">
        <v>178.51</v>
      </c>
      <c r="M322" s="4"/>
      <c r="N322" s="59">
        <v>1.0925</v>
      </c>
      <c r="P322" s="61">
        <v>196.41189931350115</v>
      </c>
      <c r="Q322" s="61">
        <v>173.92219679633865</v>
      </c>
      <c r="R322" s="61">
        <v>171.16704805491992</v>
      </c>
      <c r="S322" s="61">
        <v>188.5949656750572</v>
      </c>
      <c r="T322" s="61" t="s">
        <v>23</v>
      </c>
      <c r="U322" s="61">
        <v>252.79</v>
      </c>
      <c r="V322" s="62">
        <v>154.14187643020594</v>
      </c>
      <c r="W322" s="62">
        <v>148.2837528604119</v>
      </c>
      <c r="X322" s="62">
        <v>167.54</v>
      </c>
      <c r="Y322" s="63">
        <v>164.75972540045765</v>
      </c>
      <c r="Z322" s="63">
        <v>163.39588100686498</v>
      </c>
    </row>
    <row r="323" ht="14.25" customHeight="1">
      <c r="A323" s="64">
        <v>43733.0</v>
      </c>
      <c r="B323" s="65">
        <v>211.0</v>
      </c>
      <c r="C323" s="65">
        <v>183.72</v>
      </c>
      <c r="D323" s="65">
        <v>182.0</v>
      </c>
      <c r="E323" s="65">
        <v>205.4</v>
      </c>
      <c r="F323" s="65" t="s">
        <v>23</v>
      </c>
      <c r="G323" s="65">
        <v>273.84715200000005</v>
      </c>
      <c r="H323" s="66">
        <v>165.05</v>
      </c>
      <c r="I323" s="66">
        <v>159.0</v>
      </c>
      <c r="J323" s="66">
        <v>182.070578</v>
      </c>
      <c r="K323" s="67">
        <v>175.0</v>
      </c>
      <c r="L323" s="67">
        <v>170.57</v>
      </c>
      <c r="M323" s="4"/>
      <c r="N323" s="59">
        <v>1.0982</v>
      </c>
      <c r="P323" s="68">
        <v>192.13258058641412</v>
      </c>
      <c r="Q323" s="68">
        <v>167.29193225277726</v>
      </c>
      <c r="R323" s="68">
        <v>165.72573301766525</v>
      </c>
      <c r="S323" s="68">
        <v>187.03332726279365</v>
      </c>
      <c r="T323" s="68" t="s">
        <v>23</v>
      </c>
      <c r="U323" s="68">
        <v>249.36000000000004</v>
      </c>
      <c r="V323" s="66">
        <v>150.2913859042069</v>
      </c>
      <c r="W323" s="66">
        <v>144.78237115279546</v>
      </c>
      <c r="X323" s="66">
        <v>165.79</v>
      </c>
      <c r="Y323" s="57">
        <v>159.35166636313969</v>
      </c>
      <c r="Z323" s="57">
        <v>155.3177927517756</v>
      </c>
    </row>
    <row r="324" ht="14.25" customHeight="1">
      <c r="A324" s="54">
        <v>43726.0</v>
      </c>
      <c r="B324" s="55">
        <v>216.6</v>
      </c>
      <c r="C324" s="55">
        <v>185.98</v>
      </c>
      <c r="D324" s="55">
        <v>180.0</v>
      </c>
      <c r="E324" s="55">
        <v>205.67</v>
      </c>
      <c r="F324" s="55" t="s">
        <v>23</v>
      </c>
      <c r="G324" s="55">
        <v>265.117258</v>
      </c>
      <c r="H324" s="56">
        <v>162.69</v>
      </c>
      <c r="I324" s="56">
        <v>158.0</v>
      </c>
      <c r="J324" s="56">
        <v>183.24768699999998</v>
      </c>
      <c r="K324" s="57">
        <v>175.0</v>
      </c>
      <c r="L324" s="57">
        <v>172.71</v>
      </c>
      <c r="M324" s="4"/>
      <c r="N324" s="59">
        <v>1.1053</v>
      </c>
      <c r="P324" s="61">
        <v>195.96489640821497</v>
      </c>
      <c r="Q324" s="61">
        <v>168.26201031394191</v>
      </c>
      <c r="R324" s="61">
        <v>162.85171446666064</v>
      </c>
      <c r="S324" s="61">
        <v>186.0761784131005</v>
      </c>
      <c r="T324" s="61" t="s">
        <v>23</v>
      </c>
      <c r="U324" s="61">
        <v>239.86</v>
      </c>
      <c r="V324" s="62">
        <v>147.19080792545012</v>
      </c>
      <c r="W324" s="62">
        <v>142.94761603184656</v>
      </c>
      <c r="X324" s="62">
        <v>165.79</v>
      </c>
      <c r="Y324" s="63">
        <v>158.32805573147562</v>
      </c>
      <c r="Z324" s="63">
        <v>156.2562200307609</v>
      </c>
    </row>
    <row r="325" ht="14.25" customHeight="1">
      <c r="A325" s="64">
        <v>43719.0</v>
      </c>
      <c r="B325" s="65">
        <v>211.46</v>
      </c>
      <c r="C325" s="65">
        <v>185.48</v>
      </c>
      <c r="D325" s="65">
        <v>178.0</v>
      </c>
      <c r="E325" s="65">
        <v>201.54</v>
      </c>
      <c r="F325" s="65" t="s">
        <v>23</v>
      </c>
      <c r="G325" s="65">
        <v>255.11555800000002</v>
      </c>
      <c r="H325" s="66">
        <v>158.26</v>
      </c>
      <c r="I325" s="66">
        <v>156.0</v>
      </c>
      <c r="J325" s="66">
        <v>182.418737</v>
      </c>
      <c r="K325" s="67">
        <v>175.0</v>
      </c>
      <c r="L325" s="67">
        <v>171.19</v>
      </c>
      <c r="M325" s="4"/>
      <c r="N325" s="59">
        <v>1.1003</v>
      </c>
      <c r="P325" s="68">
        <v>192.18394983186403</v>
      </c>
      <c r="Q325" s="68">
        <v>168.57220757975097</v>
      </c>
      <c r="R325" s="68">
        <v>161.7740616195583</v>
      </c>
      <c r="S325" s="68">
        <v>183.16822684722348</v>
      </c>
      <c r="T325" s="68" t="s">
        <v>23</v>
      </c>
      <c r="U325" s="68">
        <v>231.86</v>
      </c>
      <c r="V325" s="66">
        <v>143.83349995455782</v>
      </c>
      <c r="W325" s="66">
        <v>141.77951467781514</v>
      </c>
      <c r="X325" s="66">
        <v>165.79</v>
      </c>
      <c r="Y325" s="57">
        <v>159.04753249113878</v>
      </c>
      <c r="Z325" s="57">
        <v>155.58484049804596</v>
      </c>
    </row>
    <row r="326" ht="14.25" customHeight="1">
      <c r="A326" s="54">
        <v>43712.0</v>
      </c>
      <c r="B326" s="55">
        <v>202.55</v>
      </c>
      <c r="C326" s="55">
        <v>182.16</v>
      </c>
      <c r="D326" s="55">
        <v>178.0</v>
      </c>
      <c r="E326" s="55">
        <v>194.74</v>
      </c>
      <c r="F326" s="55" t="s">
        <v>23</v>
      </c>
      <c r="G326" s="55" t="s">
        <v>23</v>
      </c>
      <c r="H326" s="56">
        <v>156.88</v>
      </c>
      <c r="I326" s="56">
        <v>158.0</v>
      </c>
      <c r="J326" s="56">
        <v>180.46382199999996</v>
      </c>
      <c r="K326" s="57">
        <v>177.0</v>
      </c>
      <c r="L326" s="57">
        <v>168.92</v>
      </c>
      <c r="M326" s="4"/>
      <c r="N326" s="59">
        <v>1.1018</v>
      </c>
      <c r="P326" s="61">
        <v>183.83554184062447</v>
      </c>
      <c r="Q326" s="61">
        <v>165.3294608821928</v>
      </c>
      <c r="R326" s="61">
        <v>161.55382102014886</v>
      </c>
      <c r="S326" s="61">
        <v>176.7471410419314</v>
      </c>
      <c r="T326" s="61" t="s">
        <v>23</v>
      </c>
      <c r="U326" s="61" t="s">
        <v>23</v>
      </c>
      <c r="V326" s="62">
        <v>142.38518787438738</v>
      </c>
      <c r="W326" s="62">
        <v>143.40170629878384</v>
      </c>
      <c r="X326" s="62">
        <v>163.79</v>
      </c>
      <c r="Y326" s="63">
        <v>160.64621528408063</v>
      </c>
      <c r="Z326" s="63">
        <v>153.3127609366491</v>
      </c>
    </row>
    <row r="327" ht="14.25" customHeight="1">
      <c r="A327" s="64">
        <v>43705.0</v>
      </c>
      <c r="B327" s="65">
        <v>208.43</v>
      </c>
      <c r="C327" s="65">
        <v>185.77</v>
      </c>
      <c r="D327" s="65">
        <v>178.0</v>
      </c>
      <c r="E327" s="65">
        <v>202.92</v>
      </c>
      <c r="F327" s="65" t="s">
        <v>23</v>
      </c>
      <c r="G327" s="65" t="s">
        <v>23</v>
      </c>
      <c r="H327" s="66">
        <v>162.89</v>
      </c>
      <c r="I327" s="66">
        <v>160.0</v>
      </c>
      <c r="J327" s="66" t="s">
        <v>23</v>
      </c>
      <c r="K327" s="67">
        <v>178.0</v>
      </c>
      <c r="L327" s="67">
        <v>173.59</v>
      </c>
      <c r="M327" s="4"/>
      <c r="N327" s="59">
        <v>1.1083</v>
      </c>
      <c r="P327" s="68">
        <v>188.06279888116936</v>
      </c>
      <c r="Q327" s="68">
        <v>167.61707119011098</v>
      </c>
      <c r="R327" s="68">
        <v>160.60633402508344</v>
      </c>
      <c r="S327" s="68">
        <v>183.09122078859514</v>
      </c>
      <c r="T327" s="68" t="s">
        <v>23</v>
      </c>
      <c r="U327" s="68" t="s">
        <v>23</v>
      </c>
      <c r="V327" s="66">
        <v>146.9728412884598</v>
      </c>
      <c r="W327" s="66">
        <v>144.36524406749075</v>
      </c>
      <c r="X327" s="66" t="s">
        <v>23</v>
      </c>
      <c r="Y327" s="57">
        <v>160.60633402508344</v>
      </c>
      <c r="Z327" s="57">
        <v>156.62726698547326</v>
      </c>
    </row>
    <row r="328" ht="14.25" customHeight="1">
      <c r="A328" s="54">
        <v>43698.0</v>
      </c>
      <c r="B328" s="55">
        <v>204.11</v>
      </c>
      <c r="C328" s="55">
        <v>183.86</v>
      </c>
      <c r="D328" s="55">
        <v>181.0</v>
      </c>
      <c r="E328" s="55">
        <v>200.71</v>
      </c>
      <c r="F328" s="55" t="s">
        <v>23</v>
      </c>
      <c r="G328" s="55">
        <v>263.36467200000004</v>
      </c>
      <c r="H328" s="56">
        <v>164.36</v>
      </c>
      <c r="I328" s="56">
        <v>162.0</v>
      </c>
      <c r="J328" s="56">
        <v>186.314016</v>
      </c>
      <c r="K328" s="57">
        <v>178.0</v>
      </c>
      <c r="L328" s="57">
        <v>171.66</v>
      </c>
      <c r="M328" s="4"/>
      <c r="N328" s="59">
        <v>1.1104</v>
      </c>
      <c r="P328" s="61">
        <v>183.81664265129683</v>
      </c>
      <c r="Q328" s="61">
        <v>165.5799711815562</v>
      </c>
      <c r="R328" s="61">
        <v>163.0043227665706</v>
      </c>
      <c r="S328" s="61">
        <v>180.75468299711815</v>
      </c>
      <c r="T328" s="61" t="s">
        <v>23</v>
      </c>
      <c r="U328" s="61">
        <v>237.18000000000004</v>
      </c>
      <c r="V328" s="62">
        <v>148.01873198847264</v>
      </c>
      <c r="W328" s="62">
        <v>145.89337175792505</v>
      </c>
      <c r="X328" s="62">
        <v>167.79</v>
      </c>
      <c r="Y328" s="63">
        <v>160.30259365994235</v>
      </c>
      <c r="Z328" s="63">
        <v>154.592939481268</v>
      </c>
    </row>
    <row r="329" ht="14.25" customHeight="1">
      <c r="A329" s="64">
        <v>43691.0</v>
      </c>
      <c r="B329" s="65">
        <v>210.82</v>
      </c>
      <c r="C329" s="65">
        <v>187.01</v>
      </c>
      <c r="D329" s="65">
        <v>185.0</v>
      </c>
      <c r="E329" s="65">
        <v>198.32</v>
      </c>
      <c r="F329" s="65" t="s">
        <v>23</v>
      </c>
      <c r="G329" s="65">
        <v>269.552484</v>
      </c>
      <c r="H329" s="66">
        <v>162.98</v>
      </c>
      <c r="I329" s="66">
        <v>165.0</v>
      </c>
      <c r="J329" s="66">
        <v>192.19865199999998</v>
      </c>
      <c r="K329" s="67">
        <v>178.0</v>
      </c>
      <c r="L329" s="67">
        <v>174.75</v>
      </c>
      <c r="M329" s="4"/>
      <c r="N329" s="59">
        <v>1.1188</v>
      </c>
      <c r="P329" s="68">
        <v>188.4340364676439</v>
      </c>
      <c r="Q329" s="68">
        <v>167.15230604218806</v>
      </c>
      <c r="R329" s="68">
        <v>165.35573829102609</v>
      </c>
      <c r="S329" s="68">
        <v>177.26135144797996</v>
      </c>
      <c r="T329" s="68" t="s">
        <v>23</v>
      </c>
      <c r="U329" s="68">
        <v>240.92999999999998</v>
      </c>
      <c r="V329" s="66">
        <v>145.6739363603861</v>
      </c>
      <c r="W329" s="66">
        <v>147.47944225956383</v>
      </c>
      <c r="X329" s="66">
        <v>171.79</v>
      </c>
      <c r="Y329" s="57">
        <v>159.09903468001428</v>
      </c>
      <c r="Z329" s="57">
        <v>156.19413657490168</v>
      </c>
    </row>
    <row r="330" ht="14.25" customHeight="1">
      <c r="A330" s="54">
        <v>43684.0</v>
      </c>
      <c r="B330" s="55">
        <v>213.57</v>
      </c>
      <c r="C330" s="55">
        <v>190.37</v>
      </c>
      <c r="D330" s="55">
        <v>186.0</v>
      </c>
      <c r="E330" s="55">
        <v>208.98</v>
      </c>
      <c r="F330" s="55" t="s">
        <v>23</v>
      </c>
      <c r="G330" s="55">
        <v>267.089286</v>
      </c>
      <c r="H330" s="56">
        <v>185.23</v>
      </c>
      <c r="I330" s="56">
        <v>187.0</v>
      </c>
      <c r="J330" s="56">
        <v>194.119458</v>
      </c>
      <c r="K330" s="57">
        <v>178.0</v>
      </c>
      <c r="L330" s="57">
        <v>177.47</v>
      </c>
      <c r="M330" s="4"/>
      <c r="N330" s="59">
        <v>1.1202</v>
      </c>
      <c r="P330" s="61">
        <v>190.65345474022493</v>
      </c>
      <c r="Q330" s="61">
        <v>169.94286734511692</v>
      </c>
      <c r="R330" s="61">
        <v>166.04177825388322</v>
      </c>
      <c r="S330" s="61">
        <v>186.55597214783072</v>
      </c>
      <c r="T330" s="61" t="s">
        <v>23</v>
      </c>
      <c r="U330" s="61">
        <v>238.43</v>
      </c>
      <c r="V330" s="62">
        <v>165.35440099982145</v>
      </c>
      <c r="W330" s="62">
        <v>166.93447598643098</v>
      </c>
      <c r="X330" s="62">
        <v>173.29</v>
      </c>
      <c r="Y330" s="63">
        <v>158.90019639350115</v>
      </c>
      <c r="Z330" s="63">
        <v>158.42706659525084</v>
      </c>
    </row>
    <row r="331" ht="14.25" customHeight="1">
      <c r="A331" s="64">
        <v>43677.0</v>
      </c>
      <c r="B331" s="65">
        <v>212.47</v>
      </c>
      <c r="C331" s="65">
        <v>192.41</v>
      </c>
      <c r="D331" s="65">
        <v>186.0</v>
      </c>
      <c r="E331" s="65">
        <v>212.29</v>
      </c>
      <c r="F331" s="65" t="s">
        <v>23</v>
      </c>
      <c r="G331" s="65" t="s">
        <v>23</v>
      </c>
      <c r="H331" s="66">
        <v>185.92</v>
      </c>
      <c r="I331" s="66">
        <v>188.0</v>
      </c>
      <c r="J331" s="66">
        <v>199.22376599999998</v>
      </c>
      <c r="K331" s="67">
        <v>178.0</v>
      </c>
      <c r="L331" s="67">
        <v>179.6</v>
      </c>
      <c r="M331" s="4"/>
      <c r="N331" s="59">
        <v>1.1151</v>
      </c>
      <c r="P331" s="68">
        <v>190.5389651152363</v>
      </c>
      <c r="Q331" s="68">
        <v>172.54954712581832</v>
      </c>
      <c r="R331" s="68">
        <v>166.8011837503363</v>
      </c>
      <c r="S331" s="68">
        <v>190.37754461483274</v>
      </c>
      <c r="T331" s="68" t="s">
        <v>23</v>
      </c>
      <c r="U331" s="68" t="s">
        <v>23</v>
      </c>
      <c r="V331" s="66">
        <v>166.72944130571247</v>
      </c>
      <c r="W331" s="66">
        <v>168.59474486593132</v>
      </c>
      <c r="X331" s="66">
        <v>178.66</v>
      </c>
      <c r="Y331" s="57">
        <v>159.62693928795625</v>
      </c>
      <c r="Z331" s="57">
        <v>161.06178818043225</v>
      </c>
    </row>
    <row r="332" ht="14.25" customHeight="1">
      <c r="A332" s="54">
        <v>43670.0</v>
      </c>
      <c r="B332" s="55">
        <v>215.96</v>
      </c>
      <c r="C332" s="55">
        <v>193.11</v>
      </c>
      <c r="D332" s="55">
        <v>185.0</v>
      </c>
      <c r="E332" s="55">
        <v>214.77</v>
      </c>
      <c r="F332" s="55" t="s">
        <v>23</v>
      </c>
      <c r="G332" s="55">
        <v>258.95849999999996</v>
      </c>
      <c r="H332" s="56">
        <v>197.63</v>
      </c>
      <c r="I332" s="56">
        <v>196.0</v>
      </c>
      <c r="J332" s="56">
        <v>206.23120799999998</v>
      </c>
      <c r="K332" s="57">
        <v>176.0</v>
      </c>
      <c r="L332" s="57">
        <v>178.63</v>
      </c>
      <c r="M332" s="4"/>
      <c r="N332" s="59">
        <v>1.114</v>
      </c>
      <c r="P332" s="61">
        <v>193.85996409335726</v>
      </c>
      <c r="Q332" s="61">
        <v>173.34829443447038</v>
      </c>
      <c r="R332" s="61">
        <v>166.0682226211849</v>
      </c>
      <c r="S332" s="61">
        <v>192.79174147217233</v>
      </c>
      <c r="T332" s="61" t="s">
        <v>23</v>
      </c>
      <c r="U332" s="61">
        <v>232.45825852782758</v>
      </c>
      <c r="V332" s="62">
        <v>177.40574506283662</v>
      </c>
      <c r="W332" s="62">
        <v>175.94254937163373</v>
      </c>
      <c r="X332" s="62">
        <v>185.12675763016153</v>
      </c>
      <c r="Y332" s="63">
        <v>157.9892280071813</v>
      </c>
      <c r="Z332" s="63">
        <v>160.3500897666068</v>
      </c>
    </row>
    <row r="333" ht="14.25" customHeight="1">
      <c r="A333" s="64">
        <v>43663.0</v>
      </c>
      <c r="B333" s="65">
        <v>218.81</v>
      </c>
      <c r="C333" s="65">
        <v>196.79</v>
      </c>
      <c r="D333" s="65">
        <v>184.0</v>
      </c>
      <c r="E333" s="65">
        <v>217.43</v>
      </c>
      <c r="F333" s="65" t="s">
        <v>23</v>
      </c>
      <c r="G333" s="65">
        <v>261.3095</v>
      </c>
      <c r="H333" s="66">
        <v>200.38</v>
      </c>
      <c r="I333" s="66">
        <v>196.0</v>
      </c>
      <c r="J333" s="66">
        <v>204.29244</v>
      </c>
      <c r="K333" s="67">
        <v>174.0</v>
      </c>
      <c r="L333" s="67">
        <v>185.0</v>
      </c>
      <c r="M333" s="4"/>
      <c r="N333" s="59">
        <v>1.1215</v>
      </c>
      <c r="P333" s="68">
        <v>195.10477039679003</v>
      </c>
      <c r="Q333" s="68">
        <v>175.4703522068658</v>
      </c>
      <c r="R333" s="68">
        <v>164.06598305840393</v>
      </c>
      <c r="S333" s="68">
        <v>193.874275523852</v>
      </c>
      <c r="T333" s="68" t="s">
        <v>23</v>
      </c>
      <c r="U333" s="68">
        <v>233.00000000000003</v>
      </c>
      <c r="V333" s="66">
        <v>178.67142220240748</v>
      </c>
      <c r="W333" s="66">
        <v>174.76593847525635</v>
      </c>
      <c r="X333" s="66">
        <v>182.16</v>
      </c>
      <c r="Y333" s="57">
        <v>155.14935354436025</v>
      </c>
      <c r="Z333" s="57">
        <v>164.95764600980831</v>
      </c>
    </row>
    <row r="334" ht="14.25" customHeight="1">
      <c r="A334" s="54">
        <v>43656.0</v>
      </c>
      <c r="B334" s="55">
        <v>222.21</v>
      </c>
      <c r="C334" s="55">
        <v>194.42</v>
      </c>
      <c r="D334" s="55">
        <v>181.0</v>
      </c>
      <c r="E334" s="55">
        <v>220.28</v>
      </c>
      <c r="F334" s="55" t="s">
        <v>23</v>
      </c>
      <c r="G334" s="55">
        <v>254.69400000000002</v>
      </c>
      <c r="H334" s="56">
        <v>200.88</v>
      </c>
      <c r="I334" s="56">
        <v>195.0</v>
      </c>
      <c r="J334" s="56">
        <v>204.94452</v>
      </c>
      <c r="K334" s="57">
        <v>173.0</v>
      </c>
      <c r="L334" s="57">
        <v>176.42</v>
      </c>
      <c r="M334" s="4"/>
      <c r="N334" s="59">
        <v>1.122</v>
      </c>
      <c r="P334" s="61">
        <v>198.04812834224597</v>
      </c>
      <c r="Q334" s="61">
        <v>173.27985739750443</v>
      </c>
      <c r="R334" s="61">
        <v>161.31907308377896</v>
      </c>
      <c r="S334" s="61">
        <v>196.32798573975043</v>
      </c>
      <c r="T334" s="61" t="s">
        <v>23</v>
      </c>
      <c r="U334" s="61">
        <v>227.0</v>
      </c>
      <c r="V334" s="62">
        <v>179.03743315508018</v>
      </c>
      <c r="W334" s="62">
        <v>173.79679144385025</v>
      </c>
      <c r="X334" s="62">
        <v>182.66</v>
      </c>
      <c r="Y334" s="63">
        <v>154.18894830659536</v>
      </c>
      <c r="Z334" s="63">
        <v>157.23707664884134</v>
      </c>
    </row>
    <row r="335" ht="14.25" customHeight="1">
      <c r="A335" s="64">
        <v>43649.0</v>
      </c>
      <c r="B335" s="65">
        <v>225.61</v>
      </c>
      <c r="C335" s="65">
        <v>198.33</v>
      </c>
      <c r="D335" s="65">
        <v>180.0</v>
      </c>
      <c r="E335" s="65">
        <v>221.11</v>
      </c>
      <c r="F335" s="65" t="s">
        <v>23</v>
      </c>
      <c r="G335" s="65" t="s">
        <v>23</v>
      </c>
      <c r="H335" s="66">
        <v>199.99</v>
      </c>
      <c r="I335" s="66">
        <v>194.0</v>
      </c>
      <c r="J335" s="66">
        <v>205.71328799999998</v>
      </c>
      <c r="K335" s="67">
        <v>170.0</v>
      </c>
      <c r="L335" s="67">
        <v>180.28</v>
      </c>
      <c r="M335" s="4"/>
      <c r="N335" s="59">
        <v>1.1293</v>
      </c>
      <c r="P335" s="68">
        <v>199.77862392632605</v>
      </c>
      <c r="Q335" s="68">
        <v>175.62206676702382</v>
      </c>
      <c r="R335" s="68">
        <v>159.39077304524926</v>
      </c>
      <c r="S335" s="68">
        <v>195.79385460019483</v>
      </c>
      <c r="T335" s="68" t="s">
        <v>23</v>
      </c>
      <c r="U335" s="68" t="s">
        <v>23</v>
      </c>
      <c r="V335" s="66">
        <v>177.0920038962189</v>
      </c>
      <c r="W335" s="66">
        <v>171.7878331709909</v>
      </c>
      <c r="X335" s="66">
        <v>182.16</v>
      </c>
      <c r="Y335" s="57">
        <v>150.53573009829097</v>
      </c>
      <c r="Z335" s="57">
        <v>159.6387142477641</v>
      </c>
    </row>
    <row r="336" ht="14.25" customHeight="1">
      <c r="A336" s="54">
        <v>43642.0</v>
      </c>
      <c r="B336" s="55">
        <v>238.37</v>
      </c>
      <c r="C336" s="55">
        <v>219.6</v>
      </c>
      <c r="D336" s="55">
        <v>182.0</v>
      </c>
      <c r="E336" s="55">
        <v>231.12</v>
      </c>
      <c r="F336" s="55" t="s">
        <v>23</v>
      </c>
      <c r="G336" s="55" t="s">
        <v>23</v>
      </c>
      <c r="H336" s="56">
        <v>204.03</v>
      </c>
      <c r="I336" s="56">
        <v>192.0</v>
      </c>
      <c r="J336" s="56">
        <v>205.91352600000002</v>
      </c>
      <c r="K336" s="57">
        <v>167.0</v>
      </c>
      <c r="L336" s="57">
        <v>187.75</v>
      </c>
      <c r="M336" s="4"/>
      <c r="N336" s="59">
        <v>1.1362</v>
      </c>
      <c r="P336" s="61">
        <v>209.79581059672591</v>
      </c>
      <c r="Q336" s="61">
        <v>193.27583171976764</v>
      </c>
      <c r="R336" s="61">
        <v>160.18306636155606</v>
      </c>
      <c r="S336" s="61">
        <v>203.4148917444112</v>
      </c>
      <c r="T336" s="61" t="s">
        <v>23</v>
      </c>
      <c r="U336" s="61" t="s">
        <v>23</v>
      </c>
      <c r="V336" s="62">
        <v>179.57225840521033</v>
      </c>
      <c r="W336" s="62">
        <v>168.98433374405914</v>
      </c>
      <c r="X336" s="62">
        <v>181.23</v>
      </c>
      <c r="Y336" s="63">
        <v>146.98116528780142</v>
      </c>
      <c r="Z336" s="63">
        <v>165.24379510649533</v>
      </c>
    </row>
    <row r="337" ht="14.25" customHeight="1">
      <c r="A337" s="64">
        <v>43635.0</v>
      </c>
      <c r="B337" s="65">
        <v>230.47</v>
      </c>
      <c r="C337" s="65">
        <v>215.38</v>
      </c>
      <c r="D337" s="65">
        <v>180.0</v>
      </c>
      <c r="E337" s="65">
        <v>225.06</v>
      </c>
      <c r="F337" s="65" t="s">
        <v>23</v>
      </c>
      <c r="G337" s="65" t="s">
        <v>23</v>
      </c>
      <c r="H337" s="66">
        <v>201.57</v>
      </c>
      <c r="I337" s="66">
        <v>185.5</v>
      </c>
      <c r="J337" s="66" t="s">
        <v>23</v>
      </c>
      <c r="K337" s="67">
        <v>168.0</v>
      </c>
      <c r="L337" s="67">
        <v>186.22</v>
      </c>
      <c r="M337" s="4"/>
      <c r="N337" s="59">
        <v>1.1207</v>
      </c>
      <c r="P337" s="68">
        <v>205.64825555456412</v>
      </c>
      <c r="Q337" s="68">
        <v>192.18345676809136</v>
      </c>
      <c r="R337" s="68">
        <v>160.61390202551976</v>
      </c>
      <c r="S337" s="68">
        <v>200.82091549924155</v>
      </c>
      <c r="T337" s="68" t="s">
        <v>23</v>
      </c>
      <c r="U337" s="68" t="s">
        <v>23</v>
      </c>
      <c r="V337" s="66">
        <v>179.86080128491122</v>
      </c>
      <c r="W337" s="66">
        <v>165.52154903185507</v>
      </c>
      <c r="X337" s="66" t="s">
        <v>23</v>
      </c>
      <c r="Y337" s="57">
        <v>149.9063085571518</v>
      </c>
      <c r="Z337" s="57">
        <v>166.16400463995717</v>
      </c>
    </row>
    <row r="338" ht="14.25" customHeight="1">
      <c r="A338" s="54">
        <v>43628.0</v>
      </c>
      <c r="B338" s="55">
        <v>230.11</v>
      </c>
      <c r="C338" s="55">
        <v>212.23</v>
      </c>
      <c r="D338" s="55">
        <v>179.0</v>
      </c>
      <c r="E338" s="55">
        <v>225.15</v>
      </c>
      <c r="F338" s="55" t="s">
        <v>23</v>
      </c>
      <c r="G338" s="55" t="s">
        <v>23</v>
      </c>
      <c r="H338" s="56">
        <v>196.84</v>
      </c>
      <c r="I338" s="56">
        <v>180.0</v>
      </c>
      <c r="J338" s="56">
        <v>200.677529</v>
      </c>
      <c r="K338" s="57">
        <v>170.0</v>
      </c>
      <c r="L338" s="57">
        <v>190.78</v>
      </c>
      <c r="M338" s="4"/>
      <c r="N338" s="59">
        <v>1.1323</v>
      </c>
      <c r="P338" s="61">
        <v>203.22352733374547</v>
      </c>
      <c r="Q338" s="61">
        <v>187.43265918926076</v>
      </c>
      <c r="R338" s="61">
        <v>158.08531307957253</v>
      </c>
      <c r="S338" s="61">
        <v>198.84306279254614</v>
      </c>
      <c r="T338" s="61" t="s">
        <v>23</v>
      </c>
      <c r="U338" s="61" t="s">
        <v>23</v>
      </c>
      <c r="V338" s="62">
        <v>173.84085489711205</v>
      </c>
      <c r="W338" s="62">
        <v>158.96847125320144</v>
      </c>
      <c r="X338" s="62">
        <v>177.23</v>
      </c>
      <c r="Y338" s="63">
        <v>150.13688951691248</v>
      </c>
      <c r="Z338" s="63">
        <v>168.48891636492095</v>
      </c>
    </row>
    <row r="339" ht="14.25" customHeight="1">
      <c r="A339" s="64">
        <v>43621.0</v>
      </c>
      <c r="B339" s="65">
        <v>218.9</v>
      </c>
      <c r="C339" s="65">
        <v>214.02</v>
      </c>
      <c r="D339" s="65">
        <v>183.0</v>
      </c>
      <c r="E339" s="65">
        <v>218.9</v>
      </c>
      <c r="F339" s="65" t="s">
        <v>23</v>
      </c>
      <c r="G339" s="65" t="s">
        <v>23</v>
      </c>
      <c r="H339" s="66">
        <v>190.84</v>
      </c>
      <c r="I339" s="66">
        <v>179.0</v>
      </c>
      <c r="J339" s="66">
        <v>197.25641099999999</v>
      </c>
      <c r="K339" s="67">
        <v>172.0</v>
      </c>
      <c r="L339" s="67">
        <v>190.37</v>
      </c>
      <c r="M339" s="4"/>
      <c r="N339" s="59">
        <v>1.1257</v>
      </c>
      <c r="P339" s="68">
        <v>194.45678244647777</v>
      </c>
      <c r="Q339" s="68">
        <v>190.12170205205652</v>
      </c>
      <c r="R339" s="68">
        <v>162.56551479079684</v>
      </c>
      <c r="S339" s="68">
        <v>194.45678244647777</v>
      </c>
      <c r="T339" s="68" t="s">
        <v>23</v>
      </c>
      <c r="U339" s="68" t="s">
        <v>23</v>
      </c>
      <c r="V339" s="66">
        <v>169.53007017855558</v>
      </c>
      <c r="W339" s="66">
        <v>159.01217020520565</v>
      </c>
      <c r="X339" s="66">
        <v>175.23</v>
      </c>
      <c r="Y339" s="57">
        <v>152.7938171804211</v>
      </c>
      <c r="Z339" s="57">
        <v>169.1125521897486</v>
      </c>
    </row>
    <row r="340" ht="14.25" customHeight="1">
      <c r="A340" s="54">
        <v>43614.0</v>
      </c>
      <c r="B340" s="55">
        <v>218.81</v>
      </c>
      <c r="C340" s="55">
        <v>214.04</v>
      </c>
      <c r="D340" s="55">
        <v>190.0</v>
      </c>
      <c r="E340" s="55">
        <v>223.49</v>
      </c>
      <c r="F340" s="55" t="s">
        <v>23</v>
      </c>
      <c r="G340" s="55">
        <v>249.95992000000004</v>
      </c>
      <c r="H340" s="56">
        <v>191.62</v>
      </c>
      <c r="I340" s="56">
        <v>179.0</v>
      </c>
      <c r="J340" s="56">
        <v>187.55352000000002</v>
      </c>
      <c r="K340" s="57">
        <v>175.0</v>
      </c>
      <c r="L340" s="57">
        <v>192.31</v>
      </c>
      <c r="M340" s="4"/>
      <c r="N340" s="59">
        <v>1.1156</v>
      </c>
      <c r="P340" s="61">
        <v>196.13660810326283</v>
      </c>
      <c r="Q340" s="61">
        <v>191.86088203657226</v>
      </c>
      <c r="R340" s="61">
        <v>170.31193976335607</v>
      </c>
      <c r="S340" s="61">
        <v>200.3316600932234</v>
      </c>
      <c r="T340" s="61" t="s">
        <v>23</v>
      </c>
      <c r="U340" s="61">
        <v>224.0587307278595</v>
      </c>
      <c r="V340" s="62">
        <v>171.76407314449625</v>
      </c>
      <c r="W340" s="62">
        <v>160.45177482968808</v>
      </c>
      <c r="X340" s="62">
        <v>168.1189673718179</v>
      </c>
      <c r="Y340" s="63">
        <v>156.86626030835427</v>
      </c>
      <c r="Z340" s="63">
        <v>172.38257439942632</v>
      </c>
    </row>
    <row r="341" ht="14.25" customHeight="1">
      <c r="A341" s="64">
        <v>43607.0</v>
      </c>
      <c r="B341" s="65">
        <v>210.45</v>
      </c>
      <c r="C341" s="65">
        <v>209.26</v>
      </c>
      <c r="D341" s="65">
        <v>187.0</v>
      </c>
      <c r="E341" s="65">
        <v>215.78</v>
      </c>
      <c r="F341" s="65" t="s">
        <v>23</v>
      </c>
      <c r="G341" s="65" t="s">
        <v>23</v>
      </c>
      <c r="H341" s="66">
        <v>180.9</v>
      </c>
      <c r="I341" s="66">
        <v>174.0</v>
      </c>
      <c r="J341" s="66">
        <v>184.78887</v>
      </c>
      <c r="K341" s="67">
        <v>175.0</v>
      </c>
      <c r="L341" s="67">
        <v>184.16</v>
      </c>
      <c r="M341" s="4"/>
      <c r="N341" s="59">
        <v>1.1171</v>
      </c>
      <c r="P341" s="68">
        <v>188.38958016292185</v>
      </c>
      <c r="Q341" s="68">
        <v>187.32432190493242</v>
      </c>
      <c r="R341" s="68">
        <v>167.39772625548295</v>
      </c>
      <c r="S341" s="68">
        <v>193.16086294870647</v>
      </c>
      <c r="T341" s="68" t="s">
        <v>23</v>
      </c>
      <c r="U341" s="68" t="s">
        <v>23</v>
      </c>
      <c r="V341" s="66">
        <v>161.9371587145287</v>
      </c>
      <c r="W341" s="66">
        <v>155.7604511682034</v>
      </c>
      <c r="X341" s="66">
        <v>165.41837794288784</v>
      </c>
      <c r="Y341" s="57">
        <v>156.6556261749172</v>
      </c>
      <c r="Z341" s="57">
        <v>164.85542923641572</v>
      </c>
    </row>
    <row r="342" ht="14.25" customHeight="1">
      <c r="A342" s="54">
        <v>43600.0</v>
      </c>
      <c r="B342" s="55">
        <v>197.96</v>
      </c>
      <c r="C342" s="55">
        <v>211.36</v>
      </c>
      <c r="D342" s="55">
        <v>189.0</v>
      </c>
      <c r="E342" s="55">
        <v>200.99</v>
      </c>
      <c r="F342" s="55" t="s">
        <v>23</v>
      </c>
      <c r="G342" s="55">
        <v>250.83469000000002</v>
      </c>
      <c r="H342" s="56">
        <v>171.05</v>
      </c>
      <c r="I342" s="56">
        <v>169.0</v>
      </c>
      <c r="J342" s="56">
        <v>187.65074</v>
      </c>
      <c r="K342" s="57">
        <v>182.0</v>
      </c>
      <c r="L342" s="57">
        <v>185.03</v>
      </c>
      <c r="M342" s="4"/>
      <c r="N342" s="59">
        <v>1.1183</v>
      </c>
      <c r="P342" s="61">
        <v>177.01868908164178</v>
      </c>
      <c r="Q342" s="61">
        <v>189.0011624787624</v>
      </c>
      <c r="R342" s="61">
        <v>169.00652776535813</v>
      </c>
      <c r="S342" s="61">
        <v>179.72815881248323</v>
      </c>
      <c r="T342" s="61" t="s">
        <v>23</v>
      </c>
      <c r="U342" s="61">
        <v>224.3</v>
      </c>
      <c r="V342" s="62">
        <v>152.95537869981223</v>
      </c>
      <c r="W342" s="62">
        <v>151.12223911293927</v>
      </c>
      <c r="X342" s="62">
        <v>167.8</v>
      </c>
      <c r="Y342" s="63">
        <v>162.74702673701154</v>
      </c>
      <c r="Z342" s="63">
        <v>165.456496467853</v>
      </c>
    </row>
    <row r="343" ht="14.25" customHeight="1">
      <c r="A343" s="64">
        <v>43593.0</v>
      </c>
      <c r="B343" s="65">
        <v>193.36</v>
      </c>
      <c r="C343" s="65">
        <v>210.5</v>
      </c>
      <c r="D343" s="65">
        <v>190.0</v>
      </c>
      <c r="E343" s="65">
        <v>201.81</v>
      </c>
      <c r="F343" s="65" t="s">
        <v>23</v>
      </c>
      <c r="G343" s="65" t="s">
        <v>23</v>
      </c>
      <c r="H343" s="66">
        <v>166.63</v>
      </c>
      <c r="I343" s="66">
        <v>168.0</v>
      </c>
      <c r="J343" s="66" t="s">
        <v>23</v>
      </c>
      <c r="K343" s="67">
        <v>186.0</v>
      </c>
      <c r="L343" s="67">
        <v>187.0</v>
      </c>
      <c r="M343" s="4"/>
      <c r="N343" s="59">
        <v>1.1202</v>
      </c>
      <c r="P343" s="68">
        <v>172.61203356543476</v>
      </c>
      <c r="Q343" s="68">
        <v>187.91287270130331</v>
      </c>
      <c r="R343" s="68">
        <v>169.61256918407426</v>
      </c>
      <c r="S343" s="68">
        <v>180.1553294054633</v>
      </c>
      <c r="T343" s="68" t="s">
        <v>23</v>
      </c>
      <c r="U343" s="68" t="s">
        <v>23</v>
      </c>
      <c r="V343" s="66">
        <v>148.75022317443313</v>
      </c>
      <c r="W343" s="66">
        <v>149.97321906802355</v>
      </c>
      <c r="X343" s="66" t="s">
        <v>23</v>
      </c>
      <c r="Y343" s="57">
        <v>166.04177825388322</v>
      </c>
      <c r="Z343" s="57">
        <v>166.93447598643098</v>
      </c>
    </row>
    <row r="344" ht="14.25" customHeight="1">
      <c r="A344" s="54">
        <v>43586.0</v>
      </c>
      <c r="B344" s="55">
        <v>191.07</v>
      </c>
      <c r="C344" s="55">
        <v>213.13</v>
      </c>
      <c r="D344" s="55">
        <v>201.0</v>
      </c>
      <c r="E344" s="55">
        <v>201.81</v>
      </c>
      <c r="F344" s="55" t="s">
        <v>23</v>
      </c>
      <c r="G344" s="55" t="s">
        <v>23</v>
      </c>
      <c r="H344" s="56">
        <v>166.92</v>
      </c>
      <c r="I344" s="56">
        <v>169.0</v>
      </c>
      <c r="J344" s="56" t="s">
        <v>23</v>
      </c>
      <c r="K344" s="57">
        <v>187.0</v>
      </c>
      <c r="L344" s="57">
        <v>191.21</v>
      </c>
      <c r="M344" s="4"/>
      <c r="N344" s="59">
        <v>1.1218</v>
      </c>
      <c r="P344" s="61">
        <v>170.32447851666964</v>
      </c>
      <c r="Q344" s="61">
        <v>189.98930290604386</v>
      </c>
      <c r="R344" s="61">
        <v>179.17632376537708</v>
      </c>
      <c r="S344" s="61">
        <v>179.89837760741668</v>
      </c>
      <c r="T344" s="61" t="s">
        <v>23</v>
      </c>
      <c r="U344" s="61" t="s">
        <v>23</v>
      </c>
      <c r="V344" s="62">
        <v>148.79657692993405</v>
      </c>
      <c r="W344" s="62">
        <v>150.65073988233198</v>
      </c>
      <c r="X344" s="62" t="s">
        <v>23</v>
      </c>
      <c r="Y344" s="63">
        <v>166.69638081654486</v>
      </c>
      <c r="Z344" s="63">
        <v>170.449277946158</v>
      </c>
    </row>
    <row r="345" ht="14.25" customHeight="1">
      <c r="A345" s="64">
        <v>43579.0</v>
      </c>
      <c r="B345" s="65">
        <v>193.73</v>
      </c>
      <c r="C345" s="65">
        <v>208.73</v>
      </c>
      <c r="D345" s="65">
        <v>206.0</v>
      </c>
      <c r="E345" s="65">
        <v>207.42</v>
      </c>
      <c r="F345" s="65" t="s">
        <v>23</v>
      </c>
      <c r="G345" s="65">
        <v>256.540383</v>
      </c>
      <c r="H345" s="66">
        <v>160.52</v>
      </c>
      <c r="I345" s="66">
        <v>171.0</v>
      </c>
      <c r="J345" s="66">
        <v>188.725933</v>
      </c>
      <c r="K345" s="67">
        <v>188.0</v>
      </c>
      <c r="L345" s="67">
        <v>189.77</v>
      </c>
      <c r="M345" s="4"/>
      <c r="N345" s="59">
        <v>1.1209</v>
      </c>
      <c r="P345" s="68">
        <v>172.8343295566063</v>
      </c>
      <c r="Q345" s="68">
        <v>186.2164332233027</v>
      </c>
      <c r="R345" s="68">
        <v>183.78089035596395</v>
      </c>
      <c r="S345" s="68">
        <v>185.04772950307787</v>
      </c>
      <c r="T345" s="68" t="s">
        <v>23</v>
      </c>
      <c r="U345" s="68">
        <v>228.87</v>
      </c>
      <c r="V345" s="66">
        <v>143.20635203854047</v>
      </c>
      <c r="W345" s="66">
        <v>152.55598180033903</v>
      </c>
      <c r="X345" s="66">
        <v>168.37</v>
      </c>
      <c r="Y345" s="57">
        <v>167.72236595592827</v>
      </c>
      <c r="Z345" s="57">
        <v>169.30145418859846</v>
      </c>
    </row>
    <row r="346" ht="14.25" customHeight="1">
      <c r="A346" s="54">
        <v>43572.0</v>
      </c>
      <c r="B346" s="55">
        <v>199.15</v>
      </c>
      <c r="C346" s="55">
        <v>216.63</v>
      </c>
      <c r="D346" s="55">
        <v>210.0</v>
      </c>
      <c r="E346" s="55">
        <v>215.13</v>
      </c>
      <c r="F346" s="55" t="s">
        <v>23</v>
      </c>
      <c r="G346" s="55">
        <v>252.43043700000004</v>
      </c>
      <c r="H346" s="56">
        <v>165.05</v>
      </c>
      <c r="I346" s="56">
        <v>173.0</v>
      </c>
      <c r="J346" s="56">
        <v>191.40503700000002</v>
      </c>
      <c r="K346" s="57">
        <v>193.0</v>
      </c>
      <c r="L346" s="57">
        <v>195.72</v>
      </c>
      <c r="M346" s="4"/>
      <c r="N346" s="59">
        <v>1.1301</v>
      </c>
      <c r="P346" s="61">
        <v>176.22334306698522</v>
      </c>
      <c r="Q346" s="61">
        <v>191.6910007963897</v>
      </c>
      <c r="R346" s="61">
        <v>185.82426333952745</v>
      </c>
      <c r="S346" s="61">
        <v>190.36368462967877</v>
      </c>
      <c r="T346" s="61" t="s">
        <v>23</v>
      </c>
      <c r="U346" s="61">
        <v>223.37</v>
      </c>
      <c r="V346" s="62">
        <v>146.04902221042386</v>
      </c>
      <c r="W346" s="62">
        <v>153.08379789399166</v>
      </c>
      <c r="X346" s="62">
        <v>169.37</v>
      </c>
      <c r="Y346" s="63">
        <v>170.78134678347047</v>
      </c>
      <c r="Z346" s="63">
        <v>173.1882134324396</v>
      </c>
    </row>
    <row r="347" ht="14.25" customHeight="1">
      <c r="A347" s="64">
        <v>43565.0</v>
      </c>
      <c r="B347" s="65">
        <v>205.03</v>
      </c>
      <c r="C347" s="65">
        <v>219.59</v>
      </c>
      <c r="D347" s="65">
        <v>214.0</v>
      </c>
      <c r="E347" s="65">
        <v>217.25</v>
      </c>
      <c r="F347" s="65" t="s">
        <v>23</v>
      </c>
      <c r="G347" s="65">
        <v>254.758773</v>
      </c>
      <c r="H347" s="66">
        <v>168.4</v>
      </c>
      <c r="I347" s="66">
        <v>174.0</v>
      </c>
      <c r="J347" s="66">
        <v>196.671923</v>
      </c>
      <c r="K347" s="67">
        <v>193.0</v>
      </c>
      <c r="L347" s="67">
        <v>201.59</v>
      </c>
      <c r="M347" s="4"/>
      <c r="N347" s="59">
        <v>1.1279</v>
      </c>
      <c r="P347" s="68">
        <v>181.78029967195675</v>
      </c>
      <c r="Q347" s="68">
        <v>194.68924550048766</v>
      </c>
      <c r="R347" s="68">
        <v>189.73313236989097</v>
      </c>
      <c r="S347" s="68">
        <v>192.6145934923309</v>
      </c>
      <c r="T347" s="68" t="s">
        <v>23</v>
      </c>
      <c r="U347" s="68">
        <v>225.87</v>
      </c>
      <c r="V347" s="66">
        <v>149.30401631350298</v>
      </c>
      <c r="W347" s="66">
        <v>154.26899547832255</v>
      </c>
      <c r="X347" s="66">
        <v>174.37</v>
      </c>
      <c r="Y347" s="57">
        <v>171.11446050181755</v>
      </c>
      <c r="Z347" s="57">
        <v>178.73038389928186</v>
      </c>
    </row>
    <row r="348" ht="14.25" customHeight="1">
      <c r="A348" s="54">
        <v>43558.0</v>
      </c>
      <c r="B348" s="55">
        <v>213.48</v>
      </c>
      <c r="C348" s="55">
        <v>219.17</v>
      </c>
      <c r="D348" s="55">
        <v>215.0</v>
      </c>
      <c r="E348" s="55">
        <v>222.94</v>
      </c>
      <c r="F348" s="55" t="s">
        <v>23</v>
      </c>
      <c r="G348" s="55" t="s">
        <v>23</v>
      </c>
      <c r="H348" s="56">
        <v>169.58</v>
      </c>
      <c r="I348" s="56">
        <v>174.0</v>
      </c>
      <c r="J348" s="56">
        <v>193.79559100000003</v>
      </c>
      <c r="K348" s="57">
        <v>195.0</v>
      </c>
      <c r="L348" s="57">
        <v>201.2</v>
      </c>
      <c r="M348" s="4"/>
      <c r="N348" s="59">
        <v>1.1243</v>
      </c>
      <c r="P348" s="61">
        <v>189.8781464022058</v>
      </c>
      <c r="Q348" s="61">
        <v>194.93907320110287</v>
      </c>
      <c r="R348" s="61">
        <v>191.23009872809746</v>
      </c>
      <c r="S348" s="61">
        <v>198.29227074624208</v>
      </c>
      <c r="T348" s="61" t="s">
        <v>23</v>
      </c>
      <c r="U348" s="61" t="s">
        <v>23</v>
      </c>
      <c r="V348" s="62">
        <v>150.8316285688873</v>
      </c>
      <c r="W348" s="62">
        <v>154.76296362180912</v>
      </c>
      <c r="X348" s="62">
        <v>172.37</v>
      </c>
      <c r="Y348" s="63">
        <v>173.44125233478607</v>
      </c>
      <c r="Z348" s="63">
        <v>178.9557947167126</v>
      </c>
    </row>
    <row r="349" ht="14.25" customHeight="1">
      <c r="A349" s="64">
        <v>43551.0</v>
      </c>
      <c r="B349" s="65">
        <v>211.09</v>
      </c>
      <c r="C349" s="65">
        <v>217.44</v>
      </c>
      <c r="D349" s="65">
        <v>215.0</v>
      </c>
      <c r="E349" s="65">
        <v>223.95</v>
      </c>
      <c r="F349" s="65" t="s">
        <v>23</v>
      </c>
      <c r="G349" s="65" t="s">
        <v>23</v>
      </c>
      <c r="H349" s="66">
        <v>175.48</v>
      </c>
      <c r="I349" s="66">
        <v>173.0</v>
      </c>
      <c r="J349" s="66">
        <v>193.05858400000002</v>
      </c>
      <c r="K349" s="67">
        <v>207.0</v>
      </c>
      <c r="L349" s="67">
        <v>200.56</v>
      </c>
      <c r="M349" s="4"/>
      <c r="N349" s="59">
        <v>1.1261</v>
      </c>
      <c r="P349" s="68">
        <v>187.4522688926383</v>
      </c>
      <c r="Q349" s="68">
        <v>193.0911997158334</v>
      </c>
      <c r="R349" s="68">
        <v>190.92442944676316</v>
      </c>
      <c r="S349" s="68">
        <v>198.87221383536095</v>
      </c>
      <c r="T349" s="68" t="s">
        <v>23</v>
      </c>
      <c r="U349" s="68" t="s">
        <v>23</v>
      </c>
      <c r="V349" s="66">
        <v>155.82985525264183</v>
      </c>
      <c r="W349" s="66">
        <v>153.6275641594885</v>
      </c>
      <c r="X349" s="66">
        <v>171.44</v>
      </c>
      <c r="Y349" s="57">
        <v>183.8202646301394</v>
      </c>
      <c r="Z349" s="57">
        <v>178.1014119527573</v>
      </c>
    </row>
    <row r="350" ht="14.25" customHeight="1">
      <c r="A350" s="54">
        <v>43544.0</v>
      </c>
      <c r="B350" s="55">
        <v>209.35</v>
      </c>
      <c r="C350" s="55">
        <v>221.64</v>
      </c>
      <c r="D350" s="55">
        <v>213.0</v>
      </c>
      <c r="E350" s="55">
        <v>223.77</v>
      </c>
      <c r="F350" s="55" t="s">
        <v>23</v>
      </c>
      <c r="G350" s="55">
        <v>252.55837599999998</v>
      </c>
      <c r="H350" s="56">
        <v>172.24</v>
      </c>
      <c r="I350" s="56">
        <v>171.0</v>
      </c>
      <c r="J350" s="56">
        <v>193.517576</v>
      </c>
      <c r="K350" s="57">
        <v>208.0</v>
      </c>
      <c r="L350" s="57">
        <v>204.61</v>
      </c>
      <c r="M350" s="4"/>
      <c r="N350" s="59">
        <v>1.1354</v>
      </c>
      <c r="P350" s="61">
        <v>184.38435793552932</v>
      </c>
      <c r="Q350" s="61">
        <v>195.2087370089836</v>
      </c>
      <c r="R350" s="61">
        <v>187.59908402325172</v>
      </c>
      <c r="S350" s="61">
        <v>197.08472784921614</v>
      </c>
      <c r="T350" s="61" t="s">
        <v>23</v>
      </c>
      <c r="U350" s="61">
        <v>222.44</v>
      </c>
      <c r="V350" s="62">
        <v>151.6998414655628</v>
      </c>
      <c r="W350" s="62">
        <v>150.60771534261053</v>
      </c>
      <c r="X350" s="62">
        <v>170.44</v>
      </c>
      <c r="Y350" s="63">
        <v>183.19534965650874</v>
      </c>
      <c r="Z350" s="63">
        <v>180.20961775585698</v>
      </c>
    </row>
    <row r="351" ht="14.25" customHeight="1">
      <c r="A351" s="64">
        <v>43537.0</v>
      </c>
      <c r="B351" s="65">
        <v>204.75</v>
      </c>
      <c r="C351" s="65">
        <v>216.85</v>
      </c>
      <c r="D351" s="65">
        <v>212.0</v>
      </c>
      <c r="E351" s="65">
        <v>221.11</v>
      </c>
      <c r="F351" s="65" t="s">
        <v>23</v>
      </c>
      <c r="G351" s="65">
        <v>250.293632</v>
      </c>
      <c r="H351" s="66">
        <v>169.87</v>
      </c>
      <c r="I351" s="66">
        <v>170.0</v>
      </c>
      <c r="J351" s="66">
        <v>194.90893200000002</v>
      </c>
      <c r="K351" s="67">
        <v>213.0</v>
      </c>
      <c r="L351" s="67">
        <v>195.36</v>
      </c>
      <c r="M351" s="4"/>
      <c r="N351" s="59">
        <v>1.1303</v>
      </c>
      <c r="P351" s="68">
        <v>181.14659824825267</v>
      </c>
      <c r="Q351" s="68">
        <v>191.85172078209322</v>
      </c>
      <c r="R351" s="68">
        <v>187.56082455985134</v>
      </c>
      <c r="S351" s="68">
        <v>195.62063169070157</v>
      </c>
      <c r="T351" s="68" t="s">
        <v>23</v>
      </c>
      <c r="U351" s="68">
        <v>221.44</v>
      </c>
      <c r="V351" s="66">
        <v>150.28753428293373</v>
      </c>
      <c r="W351" s="66">
        <v>150.40254799610722</v>
      </c>
      <c r="X351" s="66">
        <v>172.44</v>
      </c>
      <c r="Y351" s="57">
        <v>188.4455454304167</v>
      </c>
      <c r="Z351" s="57">
        <v>172.83906927364416</v>
      </c>
    </row>
    <row r="352" ht="14.25" customHeight="1">
      <c r="A352" s="54">
        <v>43530.0</v>
      </c>
      <c r="B352" s="55">
        <v>207.79</v>
      </c>
      <c r="C352" s="55">
        <v>218.13</v>
      </c>
      <c r="D352" s="55">
        <v>218.0</v>
      </c>
      <c r="E352" s="55">
        <v>220.92</v>
      </c>
      <c r="F352" s="55" t="s">
        <v>23</v>
      </c>
      <c r="G352" s="55">
        <v>251.46842</v>
      </c>
      <c r="H352" s="56">
        <v>172.24</v>
      </c>
      <c r="I352" s="56">
        <v>172.0</v>
      </c>
      <c r="J352" s="56">
        <v>195.50867</v>
      </c>
      <c r="K352" s="57">
        <v>213.0</v>
      </c>
      <c r="L352" s="57">
        <v>193.8</v>
      </c>
      <c r="M352" s="4"/>
      <c r="N352" s="59">
        <v>1.1305</v>
      </c>
      <c r="P352" s="61">
        <v>183.8036267138434</v>
      </c>
      <c r="Q352" s="61">
        <v>192.95002211410878</v>
      </c>
      <c r="R352" s="61">
        <v>192.83502874834144</v>
      </c>
      <c r="S352" s="61">
        <v>195.41795665634672</v>
      </c>
      <c r="T352" s="61" t="s">
        <v>23</v>
      </c>
      <c r="U352" s="61">
        <v>222.44</v>
      </c>
      <c r="V352" s="62">
        <v>152.35736399823088</v>
      </c>
      <c r="W352" s="62">
        <v>152.14506855373727</v>
      </c>
      <c r="X352" s="62">
        <v>172.94</v>
      </c>
      <c r="Y352" s="63">
        <v>188.41220698805836</v>
      </c>
      <c r="Z352" s="63">
        <v>171.42857142857142</v>
      </c>
    </row>
    <row r="353" ht="14.25" customHeight="1">
      <c r="A353" s="64">
        <v>43523.0</v>
      </c>
      <c r="B353" s="65">
        <v>215.32</v>
      </c>
      <c r="C353" s="65">
        <v>222.32</v>
      </c>
      <c r="D353" s="65">
        <v>221.0</v>
      </c>
      <c r="E353" s="65">
        <v>221.84</v>
      </c>
      <c r="F353" s="65" t="s">
        <v>23</v>
      </c>
      <c r="G353" s="65" t="s">
        <v>23</v>
      </c>
      <c r="H353" s="66">
        <v>175.48</v>
      </c>
      <c r="I353" s="66">
        <v>174.0</v>
      </c>
      <c r="J353" s="66">
        <v>198.127786</v>
      </c>
      <c r="K353" s="67">
        <v>221.0</v>
      </c>
      <c r="L353" s="67">
        <v>196.14</v>
      </c>
      <c r="M353" s="4"/>
      <c r="N353" s="59">
        <v>1.1386</v>
      </c>
      <c r="P353" s="68">
        <v>189.1094326365712</v>
      </c>
      <c r="Q353" s="68">
        <v>195.25733356753906</v>
      </c>
      <c r="R353" s="68">
        <v>194.09801510627085</v>
      </c>
      <c r="S353" s="68">
        <v>194.835763217987</v>
      </c>
      <c r="T353" s="68" t="s">
        <v>23</v>
      </c>
      <c r="U353" s="68" t="s">
        <v>23</v>
      </c>
      <c r="V353" s="66">
        <v>154.11909362374846</v>
      </c>
      <c r="W353" s="66">
        <v>152.81925171262955</v>
      </c>
      <c r="X353" s="66">
        <v>174.01</v>
      </c>
      <c r="Y353" s="57">
        <v>194.09801510627085</v>
      </c>
      <c r="Z353" s="57">
        <v>172.26418408571928</v>
      </c>
    </row>
    <row r="354" ht="14.25" customHeight="1">
      <c r="A354" s="54">
        <v>43516.0</v>
      </c>
      <c r="B354" s="55">
        <v>215.23</v>
      </c>
      <c r="C354" s="55">
        <v>223.94</v>
      </c>
      <c r="D354" s="55">
        <v>226.0</v>
      </c>
      <c r="E354" s="55">
        <v>225.97</v>
      </c>
      <c r="F354" s="55" t="s">
        <v>23</v>
      </c>
      <c r="G354" s="55">
        <v>251.23664200000002</v>
      </c>
      <c r="H354" s="56">
        <v>174.7</v>
      </c>
      <c r="I354" s="56">
        <v>176.0</v>
      </c>
      <c r="J354" s="56">
        <v>201.898942</v>
      </c>
      <c r="K354" s="57">
        <v>223.0</v>
      </c>
      <c r="L354" s="57">
        <v>198.97</v>
      </c>
      <c r="M354" s="4"/>
      <c r="N354" s="59">
        <v>1.1342</v>
      </c>
      <c r="P354" s="61">
        <v>189.76371010403807</v>
      </c>
      <c r="Q354" s="61">
        <v>197.4431317228002</v>
      </c>
      <c r="R354" s="61">
        <v>199.2593898783283</v>
      </c>
      <c r="S354" s="61">
        <v>199.23293951684005</v>
      </c>
      <c r="T354" s="61" t="s">
        <v>23</v>
      </c>
      <c r="U354" s="61">
        <v>221.51</v>
      </c>
      <c r="V354" s="62">
        <v>154.02927173338034</v>
      </c>
      <c r="W354" s="62">
        <v>155.17545406453888</v>
      </c>
      <c r="X354" s="62">
        <v>178.01</v>
      </c>
      <c r="Y354" s="63">
        <v>196.61435372950095</v>
      </c>
      <c r="Z354" s="63">
        <v>175.42761417739374</v>
      </c>
    </row>
    <row r="355" ht="14.25" customHeight="1">
      <c r="A355" s="64">
        <v>43509.0</v>
      </c>
      <c r="B355" s="65">
        <v>230.47</v>
      </c>
      <c r="C355" s="65">
        <v>233.45</v>
      </c>
      <c r="D355" s="65">
        <v>228.0</v>
      </c>
      <c r="E355" s="65">
        <v>240.3</v>
      </c>
      <c r="F355" s="65" t="s">
        <v>23</v>
      </c>
      <c r="G355" s="65" t="s">
        <v>23</v>
      </c>
      <c r="H355" s="66">
        <v>177.45</v>
      </c>
      <c r="I355" s="66">
        <v>178.0</v>
      </c>
      <c r="J355" s="66">
        <v>205.197055</v>
      </c>
      <c r="K355" s="67">
        <v>231.0</v>
      </c>
      <c r="L355" s="67">
        <v>209.18</v>
      </c>
      <c r="M355" s="4"/>
      <c r="N355" s="59">
        <v>1.1305</v>
      </c>
      <c r="P355" s="68">
        <v>203.8655462184874</v>
      </c>
      <c r="Q355" s="68">
        <v>206.50154798761608</v>
      </c>
      <c r="R355" s="68">
        <v>201.68067226890756</v>
      </c>
      <c r="S355" s="68">
        <v>212.56081379920388</v>
      </c>
      <c r="T355" s="68" t="s">
        <v>23</v>
      </c>
      <c r="U355" s="68" t="s">
        <v>23</v>
      </c>
      <c r="V355" s="66">
        <v>156.9659442724458</v>
      </c>
      <c r="W355" s="66">
        <v>157.45245466607696</v>
      </c>
      <c r="X355" s="66">
        <v>181.51</v>
      </c>
      <c r="Y355" s="57">
        <v>204.33436532507739</v>
      </c>
      <c r="Z355" s="57">
        <v>185.03317116320213</v>
      </c>
    </row>
    <row r="356" ht="14.25" customHeight="1">
      <c r="A356" s="54">
        <v>43502.0</v>
      </c>
      <c r="B356" s="55">
        <v>231.85</v>
      </c>
      <c r="C356" s="55">
        <v>237.01</v>
      </c>
      <c r="D356" s="55">
        <v>229.0</v>
      </c>
      <c r="E356" s="55">
        <v>245.91</v>
      </c>
      <c r="F356" s="55" t="s">
        <v>23</v>
      </c>
      <c r="G356" s="55" t="s">
        <v>23</v>
      </c>
      <c r="H356" s="56">
        <v>175.19</v>
      </c>
      <c r="I356" s="56">
        <v>180.0</v>
      </c>
      <c r="J356" s="56">
        <v>206.812494</v>
      </c>
      <c r="K356" s="57">
        <v>234.0</v>
      </c>
      <c r="L356" s="57">
        <v>219.95</v>
      </c>
      <c r="M356" s="4"/>
      <c r="N356" s="59">
        <v>1.1394</v>
      </c>
      <c r="P356" s="61">
        <v>203.48428997718096</v>
      </c>
      <c r="Q356" s="61">
        <v>208.01298929261014</v>
      </c>
      <c r="R356" s="61">
        <v>200.98297349482183</v>
      </c>
      <c r="S356" s="61">
        <v>215.82411795681938</v>
      </c>
      <c r="T356" s="61" t="s">
        <v>23</v>
      </c>
      <c r="U356" s="61" t="s">
        <v>23</v>
      </c>
      <c r="V356" s="62">
        <v>153.75636299806916</v>
      </c>
      <c r="W356" s="62">
        <v>157.97788309636653</v>
      </c>
      <c r="X356" s="62">
        <v>181.51</v>
      </c>
      <c r="Y356" s="63">
        <v>205.37124802527646</v>
      </c>
      <c r="Z356" s="63">
        <v>193.04019659469895</v>
      </c>
    </row>
    <row r="357" ht="14.25" customHeight="1">
      <c r="A357" s="64">
        <v>43495.0</v>
      </c>
      <c r="B357" s="65">
        <v>227.35</v>
      </c>
      <c r="C357" s="65">
        <v>240.38</v>
      </c>
      <c r="D357" s="65">
        <v>228.0</v>
      </c>
      <c r="E357" s="65">
        <v>241.5</v>
      </c>
      <c r="F357" s="65" t="s">
        <v>23</v>
      </c>
      <c r="G357" s="65" t="s">
        <v>23</v>
      </c>
      <c r="H357" s="66">
        <v>174.5</v>
      </c>
      <c r="I357" s="66">
        <v>183.0</v>
      </c>
      <c r="J357" s="66">
        <v>208.956407</v>
      </c>
      <c r="K357" s="67">
        <v>234.0</v>
      </c>
      <c r="L357" s="67">
        <v>227.81</v>
      </c>
      <c r="M357" s="4"/>
      <c r="N357" s="59">
        <v>1.1429</v>
      </c>
      <c r="P357" s="68">
        <v>198.92379035786158</v>
      </c>
      <c r="Q357" s="68">
        <v>210.32461282701897</v>
      </c>
      <c r="R357" s="68">
        <v>199.49251903053636</v>
      </c>
      <c r="S357" s="68">
        <v>211.30457607839705</v>
      </c>
      <c r="T357" s="68" t="s">
        <v>23</v>
      </c>
      <c r="U357" s="68" t="s">
        <v>23</v>
      </c>
      <c r="V357" s="66">
        <v>152.68177443345874</v>
      </c>
      <c r="W357" s="66">
        <v>160.11899553766733</v>
      </c>
      <c r="X357" s="66">
        <v>182.83</v>
      </c>
      <c r="Y357" s="57">
        <v>204.7423221629189</v>
      </c>
      <c r="Z357" s="57">
        <v>199.32627526467758</v>
      </c>
    </row>
    <row r="358" ht="14.25" customHeight="1">
      <c r="A358" s="54">
        <v>43488.0</v>
      </c>
      <c r="B358" s="55">
        <v>229.28</v>
      </c>
      <c r="C358" s="55">
        <v>239.96</v>
      </c>
      <c r="D358" s="55">
        <v>227.0</v>
      </c>
      <c r="E358" s="55">
        <v>244.35</v>
      </c>
      <c r="F358" s="55" t="s">
        <v>23</v>
      </c>
      <c r="G358" s="55">
        <v>250.73328600000002</v>
      </c>
      <c r="H358" s="56">
        <v>171.55</v>
      </c>
      <c r="I358" s="56">
        <v>178.0</v>
      </c>
      <c r="J358" s="56">
        <v>213.22218600000002</v>
      </c>
      <c r="K358" s="57">
        <v>234.0</v>
      </c>
      <c r="L358" s="57">
        <v>229.15</v>
      </c>
      <c r="M358" s="4"/>
      <c r="N358" s="59">
        <v>1.1367</v>
      </c>
      <c r="P358" s="61">
        <v>201.70669481833377</v>
      </c>
      <c r="Q358" s="61">
        <v>211.10231371514033</v>
      </c>
      <c r="R358" s="61">
        <v>199.70088853699303</v>
      </c>
      <c r="S358" s="61">
        <v>214.96437054631826</v>
      </c>
      <c r="T358" s="61" t="s">
        <v>23</v>
      </c>
      <c r="U358" s="61">
        <v>220.58</v>
      </c>
      <c r="V358" s="62">
        <v>150.91932787894783</v>
      </c>
      <c r="W358" s="62">
        <v>156.59364828010908</v>
      </c>
      <c r="X358" s="62">
        <v>187.58</v>
      </c>
      <c r="Y358" s="63">
        <v>205.8590657165479</v>
      </c>
      <c r="Z358" s="63">
        <v>201.59232867071347</v>
      </c>
    </row>
    <row r="359" ht="14.25" customHeight="1">
      <c r="A359" s="64">
        <v>43481.0</v>
      </c>
      <c r="B359" s="65">
        <v>223.95</v>
      </c>
      <c r="C359" s="65">
        <v>237.49</v>
      </c>
      <c r="D359" s="65">
        <v>225.0</v>
      </c>
      <c r="E359" s="65">
        <v>237.18</v>
      </c>
      <c r="F359" s="65" t="s">
        <v>23</v>
      </c>
      <c r="G359" s="65">
        <v>256.913062</v>
      </c>
      <c r="H359" s="66">
        <v>168.1</v>
      </c>
      <c r="I359" s="66">
        <v>177.0</v>
      </c>
      <c r="J359" s="66">
        <v>210.218162</v>
      </c>
      <c r="K359" s="67">
        <v>235.0</v>
      </c>
      <c r="L359" s="67">
        <v>231.79</v>
      </c>
      <c r="M359" s="4"/>
      <c r="N359" s="59">
        <v>1.1389</v>
      </c>
      <c r="P359" s="68">
        <v>196.63710597945385</v>
      </c>
      <c r="Q359" s="68">
        <v>208.525770480288</v>
      </c>
      <c r="R359" s="68">
        <v>197.55904820440776</v>
      </c>
      <c r="S359" s="68">
        <v>208.25357801387304</v>
      </c>
      <c r="T359" s="68" t="s">
        <v>23</v>
      </c>
      <c r="U359" s="68">
        <v>225.58</v>
      </c>
      <c r="V359" s="66">
        <v>147.59856001404864</v>
      </c>
      <c r="W359" s="66">
        <v>155.41311792080077</v>
      </c>
      <c r="X359" s="66">
        <v>184.58</v>
      </c>
      <c r="Y359" s="57">
        <v>206.33945034682588</v>
      </c>
      <c r="Z359" s="57">
        <v>203.52094125910966</v>
      </c>
    </row>
    <row r="360" ht="14.25" customHeight="1">
      <c r="A360" s="54">
        <v>43474.0</v>
      </c>
      <c r="B360" s="55">
        <v>226.71</v>
      </c>
      <c r="C360" s="55">
        <v>243.33</v>
      </c>
      <c r="D360" s="55">
        <v>225.0</v>
      </c>
      <c r="E360" s="55">
        <v>240.12</v>
      </c>
      <c r="F360" s="55" t="s">
        <v>23</v>
      </c>
      <c r="G360" s="55">
        <v>246.94689</v>
      </c>
      <c r="H360" s="56">
        <v>170.86</v>
      </c>
      <c r="I360" s="56">
        <v>173.0</v>
      </c>
      <c r="J360" s="56">
        <v>216.01839</v>
      </c>
      <c r="K360" s="57">
        <v>236.0</v>
      </c>
      <c r="L360" s="57">
        <v>242.18</v>
      </c>
      <c r="M360" s="4"/>
      <c r="N360" s="59">
        <v>1.1455</v>
      </c>
      <c r="P360" s="61">
        <v>197.91357485814055</v>
      </c>
      <c r="Q360" s="61">
        <v>212.42252291575733</v>
      </c>
      <c r="R360" s="61">
        <v>196.4207769532955</v>
      </c>
      <c r="S360" s="61">
        <v>209.62025316455697</v>
      </c>
      <c r="T360" s="61" t="s">
        <v>23</v>
      </c>
      <c r="U360" s="61">
        <v>215.58</v>
      </c>
      <c r="V360" s="62">
        <v>149.1575731121781</v>
      </c>
      <c r="W360" s="62">
        <v>151.02575294631166</v>
      </c>
      <c r="X360" s="62">
        <v>188.58</v>
      </c>
      <c r="Y360" s="63">
        <v>206.02357049323442</v>
      </c>
      <c r="Z360" s="63">
        <v>211.41859450021826</v>
      </c>
    </row>
    <row r="361" ht="14.25" customHeight="1">
      <c r="A361" s="64">
        <v>43467.0</v>
      </c>
      <c r="B361" s="65">
        <v>221.11</v>
      </c>
      <c r="C361" s="65">
        <v>237.74</v>
      </c>
      <c r="D361" s="65">
        <v>222.0</v>
      </c>
      <c r="E361" s="65">
        <v>232.4</v>
      </c>
      <c r="F361" s="65" t="s">
        <v>23</v>
      </c>
      <c r="G361" s="65">
        <v>251.395026</v>
      </c>
      <c r="H361" s="66">
        <v>168.4</v>
      </c>
      <c r="I361" s="66">
        <v>172.0</v>
      </c>
      <c r="J361" s="66">
        <v>209.795976</v>
      </c>
      <c r="K361" s="67">
        <v>236.0</v>
      </c>
      <c r="L361" s="67">
        <v>237.74</v>
      </c>
      <c r="M361" s="4"/>
      <c r="N361" s="59">
        <v>1.1397</v>
      </c>
      <c r="P361" s="68">
        <v>194.00719487584453</v>
      </c>
      <c r="Q361" s="68">
        <v>208.5987540580855</v>
      </c>
      <c r="R361" s="68">
        <v>194.78810213214004</v>
      </c>
      <c r="S361" s="68">
        <v>203.9133105203124</v>
      </c>
      <c r="T361" s="68" t="s">
        <v>23</v>
      </c>
      <c r="U361" s="68">
        <v>220.58</v>
      </c>
      <c r="V361" s="66">
        <v>147.75818197771343</v>
      </c>
      <c r="W361" s="66">
        <v>150.91690795823465</v>
      </c>
      <c r="X361" s="66">
        <v>184.08</v>
      </c>
      <c r="Y361" s="57">
        <v>207.07203650083358</v>
      </c>
      <c r="Z361" s="57">
        <v>208.5987540580855</v>
      </c>
    </row>
    <row r="362" ht="14.25" customHeight="1">
      <c r="A362" s="54">
        <v>43460.0</v>
      </c>
      <c r="B362" s="55">
        <v>222.3</v>
      </c>
      <c r="C362" s="55">
        <v>240.08</v>
      </c>
      <c r="D362" s="55">
        <v>220.0</v>
      </c>
      <c r="E362" s="55">
        <v>233.51</v>
      </c>
      <c r="F362" s="55" t="s">
        <v>23</v>
      </c>
      <c r="G362" s="55" t="s">
        <v>23</v>
      </c>
      <c r="H362" s="56">
        <v>167.41</v>
      </c>
      <c r="I362" s="56">
        <v>171.0</v>
      </c>
      <c r="J362" s="56" t="s">
        <v>23</v>
      </c>
      <c r="K362" s="57">
        <v>236.0</v>
      </c>
      <c r="L362" s="57">
        <v>240.08</v>
      </c>
      <c r="M362" s="4"/>
      <c r="N362" s="59">
        <v>1.1408</v>
      </c>
      <c r="P362" s="61">
        <v>194.8632538569425</v>
      </c>
      <c r="Q362" s="61">
        <v>210.44880785413744</v>
      </c>
      <c r="R362" s="61">
        <v>192.8471248246844</v>
      </c>
      <c r="S362" s="61">
        <v>204.68969144460027</v>
      </c>
      <c r="T362" s="61" t="s">
        <v>23</v>
      </c>
      <c r="U362" s="61" t="s">
        <v>23</v>
      </c>
      <c r="V362" s="62">
        <v>146.74789621318374</v>
      </c>
      <c r="W362" s="62">
        <v>149.89481065918653</v>
      </c>
      <c r="X362" s="62" t="s">
        <v>23</v>
      </c>
      <c r="Y362" s="63">
        <v>206.87237026647966</v>
      </c>
      <c r="Z362" s="63">
        <v>210.44880785413744</v>
      </c>
    </row>
    <row r="363" ht="14.25" customHeight="1">
      <c r="A363" s="64">
        <v>43453.0</v>
      </c>
      <c r="B363" s="65">
        <v>225.06</v>
      </c>
      <c r="C363" s="65">
        <v>240.38</v>
      </c>
      <c r="D363" s="65">
        <v>220.0</v>
      </c>
      <c r="E363" s="65">
        <v>243.79</v>
      </c>
      <c r="F363" s="65" t="s">
        <v>23</v>
      </c>
      <c r="G363" s="65" t="s">
        <v>23</v>
      </c>
      <c r="H363" s="66">
        <v>171.55</v>
      </c>
      <c r="I363" s="66">
        <v>170.0</v>
      </c>
      <c r="J363" s="66">
        <v>208.31232500000002</v>
      </c>
      <c r="K363" s="67">
        <v>237.0</v>
      </c>
      <c r="L363" s="67">
        <v>240.38</v>
      </c>
      <c r="M363" s="4"/>
      <c r="N363" s="59">
        <v>1.1405</v>
      </c>
      <c r="P363" s="68">
        <v>197.33450241122313</v>
      </c>
      <c r="Q363" s="68">
        <v>210.7672073651907</v>
      </c>
      <c r="R363" s="68">
        <v>192.89785181937745</v>
      </c>
      <c r="S363" s="68">
        <v>213.75712406839105</v>
      </c>
      <c r="T363" s="68" t="s">
        <v>23</v>
      </c>
      <c r="U363" s="68" t="s">
        <v>23</v>
      </c>
      <c r="V363" s="66">
        <v>150.41648399824638</v>
      </c>
      <c r="W363" s="66">
        <v>149.05743095133712</v>
      </c>
      <c r="X363" s="66">
        <v>182.65</v>
      </c>
      <c r="Y363" s="57">
        <v>207.80359491451117</v>
      </c>
      <c r="Z363" s="57">
        <v>210.7672073651907</v>
      </c>
    </row>
    <row r="364" ht="14.25" customHeight="1">
      <c r="A364" s="54">
        <v>43446.0</v>
      </c>
      <c r="B364" s="55">
        <v>224.69</v>
      </c>
      <c r="C364" s="55">
        <v>238.07</v>
      </c>
      <c r="D364" s="55">
        <v>218.0</v>
      </c>
      <c r="E364" s="55">
        <v>243.7</v>
      </c>
      <c r="F364" s="55" t="s">
        <v>23</v>
      </c>
      <c r="G364" s="55">
        <v>249.21489000000003</v>
      </c>
      <c r="H364" s="56">
        <v>172.92</v>
      </c>
      <c r="I364" s="56">
        <v>167.0</v>
      </c>
      <c r="J364" s="56">
        <v>206.10009000000002</v>
      </c>
      <c r="K364" s="57">
        <v>238.0</v>
      </c>
      <c r="L364" s="57">
        <v>239.2</v>
      </c>
      <c r="M364" s="4"/>
      <c r="N364" s="59">
        <v>1.1346</v>
      </c>
      <c r="P364" s="61">
        <v>198.0345496210118</v>
      </c>
      <c r="Q364" s="61">
        <v>209.82725189494093</v>
      </c>
      <c r="R364" s="61">
        <v>192.13819848404722</v>
      </c>
      <c r="S364" s="61">
        <v>214.78935307597388</v>
      </c>
      <c r="T364" s="61" t="s">
        <v>23</v>
      </c>
      <c r="U364" s="61">
        <v>219.65</v>
      </c>
      <c r="V364" s="62">
        <v>152.40613432046536</v>
      </c>
      <c r="W364" s="62">
        <v>147.18843645337563</v>
      </c>
      <c r="X364" s="62">
        <v>181.65</v>
      </c>
      <c r="Y364" s="63">
        <v>209.76555614313415</v>
      </c>
      <c r="Z364" s="63">
        <v>210.82319760267933</v>
      </c>
    </row>
    <row r="365" ht="14.25" customHeight="1">
      <c r="A365" s="64">
        <v>43439.0</v>
      </c>
      <c r="B365" s="65">
        <v>222.12</v>
      </c>
      <c r="C365" s="65">
        <v>232.99</v>
      </c>
      <c r="D365" s="65">
        <v>217.0</v>
      </c>
      <c r="E365" s="65">
        <v>235.71</v>
      </c>
      <c r="F365" s="65" t="s">
        <v>23</v>
      </c>
      <c r="G365" s="65" t="s">
        <v>23</v>
      </c>
      <c r="H365" s="66">
        <v>169.38</v>
      </c>
      <c r="I365" s="66">
        <v>166.0</v>
      </c>
      <c r="J365" s="66">
        <v>204.54231</v>
      </c>
      <c r="K365" s="67">
        <v>238.0</v>
      </c>
      <c r="L365" s="67">
        <v>234.12</v>
      </c>
      <c r="M365" s="4"/>
      <c r="N365" s="59">
        <v>1.1354</v>
      </c>
      <c r="P365" s="68">
        <v>195.63149550819097</v>
      </c>
      <c r="Q365" s="68">
        <v>205.20521402149024</v>
      </c>
      <c r="R365" s="68">
        <v>191.12207151664612</v>
      </c>
      <c r="S365" s="68">
        <v>207.60084551699842</v>
      </c>
      <c r="T365" s="68" t="s">
        <v>23</v>
      </c>
      <c r="U365" s="68" t="s">
        <v>23</v>
      </c>
      <c r="V365" s="66">
        <v>149.18090540778581</v>
      </c>
      <c r="W365" s="66">
        <v>146.20398097586755</v>
      </c>
      <c r="X365" s="66">
        <v>180.15</v>
      </c>
      <c r="Y365" s="57">
        <v>209.6177558569667</v>
      </c>
      <c r="Z365" s="57">
        <v>206.20045798837415</v>
      </c>
    </row>
    <row r="366" ht="14.25" customHeight="1">
      <c r="A366" s="54">
        <v>43432.0</v>
      </c>
      <c r="B366" s="55">
        <v>215.87</v>
      </c>
      <c r="C366" s="55">
        <v>232.01</v>
      </c>
      <c r="D366" s="55">
        <v>215.0</v>
      </c>
      <c r="E366" s="55">
        <v>230.38</v>
      </c>
      <c r="F366" s="55" t="s">
        <v>23</v>
      </c>
      <c r="G366" s="55">
        <v>241.161648</v>
      </c>
      <c r="H366" s="56">
        <v>162.39</v>
      </c>
      <c r="I366" s="56">
        <v>164.0</v>
      </c>
      <c r="J366" s="56">
        <v>202.231848</v>
      </c>
      <c r="K366" s="57">
        <v>239.0</v>
      </c>
      <c r="L366" s="57">
        <v>232.01</v>
      </c>
      <c r="M366" s="4"/>
      <c r="N366" s="59">
        <v>1.1284</v>
      </c>
      <c r="P366" s="61">
        <v>191.3062743707905</v>
      </c>
      <c r="Q366" s="61">
        <v>205.60971286777738</v>
      </c>
      <c r="R366" s="61">
        <v>190.53527118043246</v>
      </c>
      <c r="S366" s="61">
        <v>204.1651896490606</v>
      </c>
      <c r="T366" s="61" t="s">
        <v>23</v>
      </c>
      <c r="U366" s="61">
        <v>213.72</v>
      </c>
      <c r="V366" s="62">
        <v>143.91173342786243</v>
      </c>
      <c r="W366" s="62">
        <v>145.33853243530663</v>
      </c>
      <c r="X366" s="62">
        <v>179.22</v>
      </c>
      <c r="Y366" s="63">
        <v>211.8043247075505</v>
      </c>
      <c r="Z366" s="63">
        <v>205.60971286777738</v>
      </c>
    </row>
    <row r="367" ht="14.25" customHeight="1">
      <c r="A367" s="64">
        <v>43425.0</v>
      </c>
      <c r="B367" s="65">
        <v>216.33</v>
      </c>
      <c r="C367" s="65">
        <v>231.88</v>
      </c>
      <c r="D367" s="65">
        <v>214.0</v>
      </c>
      <c r="E367" s="65">
        <v>229.28</v>
      </c>
      <c r="F367" s="65" t="s">
        <v>23</v>
      </c>
      <c r="G367" s="65" t="s">
        <v>23</v>
      </c>
      <c r="H367" s="66">
        <v>162.89</v>
      </c>
      <c r="I367" s="66">
        <v>166.0</v>
      </c>
      <c r="J367" s="66">
        <v>202.760748</v>
      </c>
      <c r="K367" s="67">
        <v>238.0</v>
      </c>
      <c r="L367" s="67">
        <v>233.02</v>
      </c>
      <c r="M367" s="4"/>
      <c r="N367" s="59">
        <v>1.1409</v>
      </c>
      <c r="P367" s="68">
        <v>189.61346305548253</v>
      </c>
      <c r="Q367" s="68">
        <v>203.2430537295118</v>
      </c>
      <c r="R367" s="68">
        <v>187.57121570689804</v>
      </c>
      <c r="S367" s="68">
        <v>200.96415110877376</v>
      </c>
      <c r="T367" s="68" t="s">
        <v>23</v>
      </c>
      <c r="U367" s="68" t="s">
        <v>23</v>
      </c>
      <c r="V367" s="66">
        <v>142.77324918923657</v>
      </c>
      <c r="W367" s="66">
        <v>145.49916732404242</v>
      </c>
      <c r="X367" s="66">
        <v>177.72</v>
      </c>
      <c r="Y367" s="57">
        <v>208.60723989832587</v>
      </c>
      <c r="Z367" s="57">
        <v>204.2422648786046</v>
      </c>
    </row>
    <row r="368" ht="14.25" customHeight="1">
      <c r="A368" s="54">
        <v>43418.0</v>
      </c>
      <c r="B368" s="55">
        <v>216.05</v>
      </c>
      <c r="C368" s="55">
        <v>233.54</v>
      </c>
      <c r="D368" s="55">
        <v>214.0</v>
      </c>
      <c r="E368" s="55">
        <v>230.02</v>
      </c>
      <c r="F368" s="55" t="s">
        <v>23</v>
      </c>
      <c r="G368" s="55" t="s">
        <v>23</v>
      </c>
      <c r="H368" s="56">
        <v>164.95</v>
      </c>
      <c r="I368" s="56">
        <v>165.0</v>
      </c>
      <c r="J368" s="56">
        <v>201.88211199999998</v>
      </c>
      <c r="K368" s="57">
        <v>237.0</v>
      </c>
      <c r="L368" s="57">
        <v>235.8</v>
      </c>
      <c r="M368" s="4"/>
      <c r="N368" s="59">
        <v>1.1296</v>
      </c>
      <c r="P368" s="61">
        <v>191.2623937677054</v>
      </c>
      <c r="Q368" s="61">
        <v>206.7457507082153</v>
      </c>
      <c r="R368" s="61">
        <v>189.44759206798867</v>
      </c>
      <c r="S368" s="61">
        <v>203.62960339943345</v>
      </c>
      <c r="T368" s="61" t="s">
        <v>23</v>
      </c>
      <c r="U368" s="61" t="s">
        <v>23</v>
      </c>
      <c r="V368" s="62">
        <v>146.0251416430595</v>
      </c>
      <c r="W368" s="62">
        <v>146.06940509915015</v>
      </c>
      <c r="X368" s="62">
        <v>178.72</v>
      </c>
      <c r="Y368" s="63">
        <v>209.8087818696884</v>
      </c>
      <c r="Z368" s="63">
        <v>208.74645892351276</v>
      </c>
    </row>
    <row r="369" ht="14.25" customHeight="1">
      <c r="A369" s="64">
        <v>43411.0</v>
      </c>
      <c r="B369" s="65">
        <v>218.72</v>
      </c>
      <c r="C369" s="65">
        <v>235.17</v>
      </c>
      <c r="D369" s="65">
        <v>215.0</v>
      </c>
      <c r="E369" s="65">
        <v>237.82</v>
      </c>
      <c r="F369" s="65" t="s">
        <v>23</v>
      </c>
      <c r="G369" s="65" t="s">
        <v>23</v>
      </c>
      <c r="H369" s="66">
        <v>166.23</v>
      </c>
      <c r="I369" s="66">
        <v>166.0</v>
      </c>
      <c r="J369" s="66">
        <v>199.552164</v>
      </c>
      <c r="K369" s="67">
        <v>238.0</v>
      </c>
      <c r="L369" s="67">
        <v>240.33</v>
      </c>
      <c r="M369" s="4"/>
      <c r="N369" s="59">
        <v>1.1487</v>
      </c>
      <c r="P369" s="68">
        <v>190.40654653086096</v>
      </c>
      <c r="Q369" s="68">
        <v>204.72708278924</v>
      </c>
      <c r="R369" s="68">
        <v>187.16810307303908</v>
      </c>
      <c r="S369" s="68">
        <v>207.03403847827977</v>
      </c>
      <c r="T369" s="68" t="s">
        <v>23</v>
      </c>
      <c r="U369" s="68" t="s">
        <v>23</v>
      </c>
      <c r="V369" s="66">
        <v>144.71141290154085</v>
      </c>
      <c r="W369" s="66">
        <v>144.51118655871855</v>
      </c>
      <c r="X369" s="66">
        <v>173.72</v>
      </c>
      <c r="Y369" s="57">
        <v>207.19073735527115</v>
      </c>
      <c r="Z369" s="57">
        <v>209.21911726299294</v>
      </c>
    </row>
    <row r="370" ht="14.25" customHeight="1">
      <c r="A370" s="54">
        <v>43404.0</v>
      </c>
      <c r="B370" s="55">
        <v>213.3</v>
      </c>
      <c r="C370" s="55">
        <v>228.4</v>
      </c>
      <c r="D370" s="55">
        <v>214.0</v>
      </c>
      <c r="E370" s="55">
        <v>234.52</v>
      </c>
      <c r="F370" s="55" t="s">
        <v>23</v>
      </c>
      <c r="G370" s="55">
        <v>237.44032199999998</v>
      </c>
      <c r="H370" s="56">
        <v>163.48</v>
      </c>
      <c r="I370" s="56">
        <v>162.0</v>
      </c>
      <c r="J370" s="56">
        <v>196.12962199999998</v>
      </c>
      <c r="K370" s="57">
        <v>238.0</v>
      </c>
      <c r="L370" s="57">
        <v>232.94</v>
      </c>
      <c r="M370" s="4"/>
      <c r="N370" s="59">
        <v>1.1318</v>
      </c>
      <c r="P370" s="61">
        <v>188.46085880897687</v>
      </c>
      <c r="Q370" s="61">
        <v>201.8024385933911</v>
      </c>
      <c r="R370" s="61">
        <v>189.07934264004243</v>
      </c>
      <c r="S370" s="61">
        <v>207.20975437356427</v>
      </c>
      <c r="T370" s="61" t="s">
        <v>23</v>
      </c>
      <c r="U370" s="61">
        <v>209.79</v>
      </c>
      <c r="V370" s="62">
        <v>144.4424810037109</v>
      </c>
      <c r="W370" s="62">
        <v>143.1348294751723</v>
      </c>
      <c r="X370" s="62">
        <v>173.29</v>
      </c>
      <c r="Y370" s="63">
        <v>210.28450256229019</v>
      </c>
      <c r="Z370" s="63">
        <v>205.81374801201628</v>
      </c>
    </row>
    <row r="371" ht="14.25" customHeight="1">
      <c r="A371" s="64">
        <v>43397.0</v>
      </c>
      <c r="B371" s="65">
        <v>212.93</v>
      </c>
      <c r="C371" s="65">
        <v>232.01</v>
      </c>
      <c r="D371" s="65">
        <v>215.0</v>
      </c>
      <c r="E371" s="65">
        <v>235.89</v>
      </c>
      <c r="F371" s="65" t="s">
        <v>23</v>
      </c>
      <c r="G371" s="65" t="s">
        <v>23</v>
      </c>
      <c r="H371" s="66">
        <v>164.66</v>
      </c>
      <c r="I371" s="66">
        <v>162.0</v>
      </c>
      <c r="J371" s="66">
        <v>195.651631</v>
      </c>
      <c r="K371" s="67">
        <v>236.0</v>
      </c>
      <c r="L371" s="67">
        <v>237.71</v>
      </c>
      <c r="M371" s="4"/>
      <c r="N371" s="59">
        <v>1.1389</v>
      </c>
      <c r="P371" s="68">
        <v>186.9611028185091</v>
      </c>
      <c r="Q371" s="68">
        <v>203.71411010624286</v>
      </c>
      <c r="R371" s="68">
        <v>188.77864606198963</v>
      </c>
      <c r="S371" s="68">
        <v>207.1209061375011</v>
      </c>
      <c r="T371" s="68" t="s">
        <v>23</v>
      </c>
      <c r="U371" s="68" t="s">
        <v>23</v>
      </c>
      <c r="V371" s="66">
        <v>144.5781016770568</v>
      </c>
      <c r="W371" s="66">
        <v>142.2425147071736</v>
      </c>
      <c r="X371" s="66">
        <v>171.79</v>
      </c>
      <c r="Y371" s="57">
        <v>207.2174905610677</v>
      </c>
      <c r="Z371" s="57">
        <v>208.7189393274212</v>
      </c>
    </row>
    <row r="372" ht="14.25" customHeight="1">
      <c r="A372" s="54">
        <v>43390.0</v>
      </c>
      <c r="B372" s="55">
        <v>219.54</v>
      </c>
      <c r="C372" s="55">
        <v>237.05</v>
      </c>
      <c r="D372" s="55">
        <v>213.0</v>
      </c>
      <c r="E372" s="55">
        <v>241.04</v>
      </c>
      <c r="F372" s="55" t="s">
        <v>23</v>
      </c>
      <c r="G372" s="55">
        <v>236.12287</v>
      </c>
      <c r="H372" s="56">
        <v>168.59</v>
      </c>
      <c r="I372" s="56">
        <v>166.0</v>
      </c>
      <c r="J372" s="56" t="s">
        <v>23</v>
      </c>
      <c r="K372" s="57">
        <v>236.0</v>
      </c>
      <c r="L372" s="57">
        <v>241.66</v>
      </c>
      <c r="M372" s="4"/>
      <c r="N372" s="59">
        <v>1.153</v>
      </c>
      <c r="P372" s="61">
        <v>190.40763226366002</v>
      </c>
      <c r="Q372" s="61">
        <v>205.59410234171727</v>
      </c>
      <c r="R372" s="61">
        <v>184.7354726799653</v>
      </c>
      <c r="S372" s="61">
        <v>209.0546400693842</v>
      </c>
      <c r="T372" s="61" t="s">
        <v>23</v>
      </c>
      <c r="U372" s="61">
        <v>204.79</v>
      </c>
      <c r="V372" s="62">
        <v>146.21856027753685</v>
      </c>
      <c r="W372" s="62">
        <v>143.97224631396358</v>
      </c>
      <c r="X372" s="62" t="s">
        <v>23</v>
      </c>
      <c r="Y372" s="63">
        <v>204.683434518647</v>
      </c>
      <c r="Z372" s="63">
        <v>209.59236773633998</v>
      </c>
    </row>
    <row r="373" ht="14.25" customHeight="1">
      <c r="A373" s="64">
        <v>43383.0</v>
      </c>
      <c r="B373" s="65">
        <v>215.13</v>
      </c>
      <c r="C373" s="65">
        <v>238.25</v>
      </c>
      <c r="D373" s="65">
        <v>209.0</v>
      </c>
      <c r="E373" s="65">
        <v>237.46</v>
      </c>
      <c r="F373" s="65" t="s">
        <v>23</v>
      </c>
      <c r="G373" s="65">
        <v>244.70849999999996</v>
      </c>
      <c r="H373" s="66">
        <v>164.46</v>
      </c>
      <c r="I373" s="66">
        <v>167.0</v>
      </c>
      <c r="J373" s="66">
        <v>202.15849999999998</v>
      </c>
      <c r="K373" s="67">
        <v>236.0</v>
      </c>
      <c r="L373" s="67">
        <v>241.71</v>
      </c>
      <c r="M373" s="4"/>
      <c r="N373" s="59">
        <v>1.15</v>
      </c>
      <c r="P373" s="68">
        <v>187.06956521739133</v>
      </c>
      <c r="Q373" s="68">
        <v>207.17391304347828</v>
      </c>
      <c r="R373" s="68">
        <v>181.73913043478262</v>
      </c>
      <c r="S373" s="68">
        <v>206.48695652173916</v>
      </c>
      <c r="T373" s="68" t="s">
        <v>23</v>
      </c>
      <c r="U373" s="68">
        <v>212.79</v>
      </c>
      <c r="V373" s="66">
        <v>143.00869565217394</v>
      </c>
      <c r="W373" s="66">
        <v>145.21739130434784</v>
      </c>
      <c r="X373" s="66">
        <v>175.79</v>
      </c>
      <c r="Y373" s="57">
        <v>205.21739130434784</v>
      </c>
      <c r="Z373" s="57">
        <v>210.1826086956522</v>
      </c>
    </row>
    <row r="374" ht="14.25" customHeight="1">
      <c r="A374" s="54">
        <v>43376.0</v>
      </c>
      <c r="B374" s="55">
        <v>215.04</v>
      </c>
      <c r="C374" s="55">
        <v>236.06</v>
      </c>
      <c r="D374" s="55">
        <v>208.0</v>
      </c>
      <c r="E374" s="55">
        <v>240.21</v>
      </c>
      <c r="F374" s="55" t="s">
        <v>23</v>
      </c>
      <c r="G374" s="55" t="s">
        <v>23</v>
      </c>
      <c r="H374" s="56">
        <v>161.31</v>
      </c>
      <c r="I374" s="56">
        <v>169.0</v>
      </c>
      <c r="J374" s="56">
        <v>206.466692</v>
      </c>
      <c r="K374" s="57">
        <v>235.0</v>
      </c>
      <c r="L374" s="57">
        <v>237.21</v>
      </c>
      <c r="M374" s="4"/>
      <c r="N374" s="59">
        <v>1.1548</v>
      </c>
      <c r="P374" s="61">
        <v>186.21406304121925</v>
      </c>
      <c r="Q374" s="61">
        <v>204.4163491513682</v>
      </c>
      <c r="R374" s="61">
        <v>180.11776931070315</v>
      </c>
      <c r="S374" s="61">
        <v>208.01004502944232</v>
      </c>
      <c r="T374" s="61" t="s">
        <v>23</v>
      </c>
      <c r="U374" s="61" t="s">
        <v>23</v>
      </c>
      <c r="V374" s="62">
        <v>139.68652580533424</v>
      </c>
      <c r="W374" s="62">
        <v>146.3456875649463</v>
      </c>
      <c r="X374" s="62">
        <v>178.79</v>
      </c>
      <c r="Y374" s="63">
        <v>203.4984412885348</v>
      </c>
      <c r="Z374" s="63">
        <v>205.41219258746102</v>
      </c>
    </row>
    <row r="375" ht="14.25" customHeight="1">
      <c r="A375" s="64">
        <v>43369.0</v>
      </c>
      <c r="B375" s="65">
        <v>215.87</v>
      </c>
      <c r="C375" s="65">
        <v>241.02</v>
      </c>
      <c r="D375" s="65">
        <v>201.0</v>
      </c>
      <c r="E375" s="65">
        <v>242.88</v>
      </c>
      <c r="F375" s="65" t="s">
        <v>23</v>
      </c>
      <c r="G375" s="65" t="s">
        <v>23</v>
      </c>
      <c r="H375" s="66">
        <v>161.41</v>
      </c>
      <c r="I375" s="66">
        <v>169.0</v>
      </c>
      <c r="J375" s="66">
        <v>208.67212299999997</v>
      </c>
      <c r="K375" s="67">
        <v>234.0</v>
      </c>
      <c r="L375" s="67">
        <v>241.61</v>
      </c>
      <c r="M375" s="4"/>
      <c r="N375" s="59">
        <v>1.1737</v>
      </c>
      <c r="P375" s="68">
        <v>183.92263781204738</v>
      </c>
      <c r="Q375" s="68">
        <v>205.35060066456506</v>
      </c>
      <c r="R375" s="68">
        <v>171.2533015250916</v>
      </c>
      <c r="S375" s="68">
        <v>206.9353327085286</v>
      </c>
      <c r="T375" s="68" t="s">
        <v>23</v>
      </c>
      <c r="U375" s="68" t="s">
        <v>23</v>
      </c>
      <c r="V375" s="66">
        <v>137.5223651699753</v>
      </c>
      <c r="W375" s="66">
        <v>143.9890943171168</v>
      </c>
      <c r="X375" s="66">
        <v>177.79</v>
      </c>
      <c r="Y375" s="57">
        <v>199.3695152083156</v>
      </c>
      <c r="Z375" s="57">
        <v>205.8532844849621</v>
      </c>
    </row>
    <row r="376" ht="14.25" customHeight="1">
      <c r="A376" s="54">
        <v>43362.0</v>
      </c>
      <c r="B376" s="55">
        <v>219.54</v>
      </c>
      <c r="C376" s="55">
        <v>238.84</v>
      </c>
      <c r="D376" s="55">
        <v>197.0</v>
      </c>
      <c r="E376" s="55">
        <v>244.8</v>
      </c>
      <c r="F376" s="55" t="s">
        <v>23</v>
      </c>
      <c r="G376" s="55" t="s">
        <v>23</v>
      </c>
      <c r="H376" s="56">
        <v>152.26</v>
      </c>
      <c r="I376" s="56">
        <v>168.0</v>
      </c>
      <c r="J376" s="56">
        <v>205.67754300000001</v>
      </c>
      <c r="K376" s="57">
        <v>234.0</v>
      </c>
      <c r="L376" s="57">
        <v>239.42</v>
      </c>
      <c r="M376" s="4"/>
      <c r="N376" s="59">
        <v>1.1667</v>
      </c>
      <c r="P376" s="61">
        <v>188.17176652095654</v>
      </c>
      <c r="Q376" s="61">
        <v>204.71415102425644</v>
      </c>
      <c r="R376" s="61">
        <v>168.85231850518556</v>
      </c>
      <c r="S376" s="61">
        <v>209.82257649781434</v>
      </c>
      <c r="T376" s="61" t="s">
        <v>23</v>
      </c>
      <c r="U376" s="61" t="s">
        <v>23</v>
      </c>
      <c r="V376" s="62">
        <v>130.50484271877946</v>
      </c>
      <c r="W376" s="62">
        <v>143.99588583183336</v>
      </c>
      <c r="X376" s="62">
        <v>176.29</v>
      </c>
      <c r="Y376" s="63">
        <v>200.56569812291076</v>
      </c>
      <c r="Z376" s="63">
        <v>205.21127967772347</v>
      </c>
    </row>
    <row r="377" ht="14.25" customHeight="1">
      <c r="A377" s="64">
        <v>43355.0</v>
      </c>
      <c r="B377" s="65">
        <v>209.35</v>
      </c>
      <c r="C377" s="65">
        <v>236.18</v>
      </c>
      <c r="D377" s="65">
        <v>201.0</v>
      </c>
      <c r="E377" s="65">
        <v>234.24</v>
      </c>
      <c r="F377" s="65" t="s">
        <v>23</v>
      </c>
      <c r="G377" s="65" t="s">
        <v>23</v>
      </c>
      <c r="H377" s="66">
        <v>157.67</v>
      </c>
      <c r="I377" s="66">
        <v>178.0</v>
      </c>
      <c r="J377" s="66">
        <v>210.024465</v>
      </c>
      <c r="K377" s="67">
        <v>235.0</v>
      </c>
      <c r="L377" s="67">
        <v>239.08</v>
      </c>
      <c r="M377" s="4"/>
      <c r="N377" s="59">
        <v>1.1585</v>
      </c>
      <c r="P377" s="68">
        <v>180.70781182563658</v>
      </c>
      <c r="Q377" s="68">
        <v>203.86706948640483</v>
      </c>
      <c r="R377" s="68">
        <v>173.5002157962883</v>
      </c>
      <c r="S377" s="68">
        <v>202.192490289167</v>
      </c>
      <c r="T377" s="68" t="s">
        <v>23</v>
      </c>
      <c r="U377" s="68" t="s">
        <v>23</v>
      </c>
      <c r="V377" s="66">
        <v>136.09840310746654</v>
      </c>
      <c r="W377" s="66">
        <v>153.6469572723349</v>
      </c>
      <c r="X377" s="66">
        <v>181.29</v>
      </c>
      <c r="Y377" s="57">
        <v>202.84851100561067</v>
      </c>
      <c r="Z377" s="57">
        <v>206.37030643072939</v>
      </c>
    </row>
    <row r="378" ht="14.25" customHeight="1">
      <c r="A378" s="54">
        <v>43348.0</v>
      </c>
      <c r="B378" s="55">
        <v>214.49</v>
      </c>
      <c r="C378" s="55">
        <v>237.92</v>
      </c>
      <c r="D378" s="55">
        <v>201.0</v>
      </c>
      <c r="E378" s="55">
        <v>241.31</v>
      </c>
      <c r="F378" s="55" t="s">
        <v>23</v>
      </c>
      <c r="G378" s="55" t="s">
        <v>23</v>
      </c>
      <c r="H378" s="56">
        <v>164.85</v>
      </c>
      <c r="I378" s="56">
        <v>181.0</v>
      </c>
      <c r="J378" s="56">
        <v>212.86557799999997</v>
      </c>
      <c r="K378" s="57">
        <v>235.0</v>
      </c>
      <c r="L378" s="57">
        <v>239.08</v>
      </c>
      <c r="M378" s="4"/>
      <c r="N378" s="59">
        <v>1.1582</v>
      </c>
      <c r="P378" s="61">
        <v>185.19254014850634</v>
      </c>
      <c r="Q378" s="61">
        <v>205.42220687273357</v>
      </c>
      <c r="R378" s="61">
        <v>173.54515627698154</v>
      </c>
      <c r="S378" s="61">
        <v>208.34916249352446</v>
      </c>
      <c r="T378" s="61" t="s">
        <v>23</v>
      </c>
      <c r="U378" s="61" t="s">
        <v>23</v>
      </c>
      <c r="V378" s="62">
        <v>142.33293040925574</v>
      </c>
      <c r="W378" s="62">
        <v>156.27698152305302</v>
      </c>
      <c r="X378" s="62">
        <v>183.79</v>
      </c>
      <c r="Y378" s="63">
        <v>202.90105335866002</v>
      </c>
      <c r="Z378" s="63">
        <v>206.42376100846144</v>
      </c>
    </row>
    <row r="379" ht="14.25" customHeight="1">
      <c r="A379" s="64">
        <v>43341.0</v>
      </c>
      <c r="B379" s="65">
        <v>222.57</v>
      </c>
      <c r="C379" s="65">
        <v>242.32</v>
      </c>
      <c r="D379" s="65">
        <v>205.5</v>
      </c>
      <c r="E379" s="65">
        <v>247.93</v>
      </c>
      <c r="F379" s="65" t="s">
        <v>23</v>
      </c>
      <c r="G379" s="65" t="s">
        <v>23</v>
      </c>
      <c r="H379" s="66">
        <v>160.72</v>
      </c>
      <c r="I379" s="66">
        <v>186.0</v>
      </c>
      <c r="J379" s="66">
        <v>216.33963999999997</v>
      </c>
      <c r="K379" s="67">
        <v>233.0</v>
      </c>
      <c r="L379" s="67">
        <v>242.9</v>
      </c>
      <c r="M379" s="4"/>
      <c r="N379" s="59">
        <v>1.166</v>
      </c>
      <c r="P379" s="68">
        <v>190.8833619210978</v>
      </c>
      <c r="Q379" s="68">
        <v>207.82161234991423</v>
      </c>
      <c r="R379" s="68">
        <v>176.2435677530017</v>
      </c>
      <c r="S379" s="68">
        <v>212.63293310463123</v>
      </c>
      <c r="T379" s="68" t="s">
        <v>23</v>
      </c>
      <c r="U379" s="68" t="s">
        <v>23</v>
      </c>
      <c r="V379" s="66">
        <v>137.83876500857633</v>
      </c>
      <c r="W379" s="66">
        <v>159.5197255574614</v>
      </c>
      <c r="X379" s="66">
        <v>185.54</v>
      </c>
      <c r="Y379" s="57">
        <v>199.8284734133791</v>
      </c>
      <c r="Z379" s="57">
        <v>208.31903945111495</v>
      </c>
    </row>
    <row r="380" ht="14.25" customHeight="1">
      <c r="A380" s="54">
        <v>43334.0</v>
      </c>
      <c r="B380" s="55">
        <v>221.93</v>
      </c>
      <c r="C380" s="55">
        <v>243.25</v>
      </c>
      <c r="D380" s="55">
        <v>202.0</v>
      </c>
      <c r="E380" s="55">
        <v>244.35</v>
      </c>
      <c r="F380" s="55" t="s">
        <v>23</v>
      </c>
      <c r="G380" s="55" t="s">
        <v>23</v>
      </c>
      <c r="H380" s="56">
        <v>166.33</v>
      </c>
      <c r="I380" s="56">
        <v>187.0</v>
      </c>
      <c r="J380" s="56">
        <v>216.97526399999998</v>
      </c>
      <c r="K380" s="57">
        <v>231.0</v>
      </c>
      <c r="L380" s="57">
        <v>244.41</v>
      </c>
      <c r="M380" s="4"/>
      <c r="N380" s="59">
        <v>1.1616</v>
      </c>
      <c r="P380" s="61">
        <v>191.05544077134988</v>
      </c>
      <c r="Q380" s="61">
        <v>209.40943526170798</v>
      </c>
      <c r="R380" s="61">
        <v>173.89807162534436</v>
      </c>
      <c r="S380" s="61">
        <v>210.3564049586777</v>
      </c>
      <c r="T380" s="61" t="s">
        <v>23</v>
      </c>
      <c r="U380" s="61" t="s">
        <v>23</v>
      </c>
      <c r="V380" s="62">
        <v>143.1904269972452</v>
      </c>
      <c r="W380" s="62">
        <v>160.9848484848485</v>
      </c>
      <c r="X380" s="62">
        <v>186.79</v>
      </c>
      <c r="Y380" s="63">
        <v>198.86363636363637</v>
      </c>
      <c r="Z380" s="63">
        <v>210.40805785123968</v>
      </c>
    </row>
    <row r="381" ht="14.25" customHeight="1">
      <c r="A381" s="64">
        <v>43327.0</v>
      </c>
      <c r="B381" s="65">
        <v>223.13</v>
      </c>
      <c r="C381" s="65">
        <v>239.51</v>
      </c>
      <c r="D381" s="65">
        <v>205.0</v>
      </c>
      <c r="E381" s="65">
        <v>246.27</v>
      </c>
      <c r="F381" s="65" t="s">
        <v>23</v>
      </c>
      <c r="G381" s="65" t="s">
        <v>23</v>
      </c>
      <c r="H381" s="66">
        <v>171.05</v>
      </c>
      <c r="I381" s="66">
        <v>191.0</v>
      </c>
      <c r="J381" s="66" t="s">
        <v>23</v>
      </c>
      <c r="K381" s="67">
        <v>232.0</v>
      </c>
      <c r="L381" s="67">
        <v>239.51</v>
      </c>
      <c r="M381" s="4"/>
      <c r="N381" s="59">
        <v>1.1321</v>
      </c>
      <c r="P381" s="68">
        <v>197.0938962989135</v>
      </c>
      <c r="Q381" s="68">
        <v>211.56258281070575</v>
      </c>
      <c r="R381" s="68">
        <v>181.0794099461178</v>
      </c>
      <c r="S381" s="68">
        <v>217.53378676795336</v>
      </c>
      <c r="T381" s="68" t="s">
        <v>23</v>
      </c>
      <c r="U381" s="68" t="s">
        <v>23</v>
      </c>
      <c r="V381" s="66">
        <v>151.090893030651</v>
      </c>
      <c r="W381" s="66">
        <v>168.71301121809026</v>
      </c>
      <c r="X381" s="66" t="s">
        <v>23</v>
      </c>
      <c r="Y381" s="57">
        <v>204.92889320731382</v>
      </c>
      <c r="Z381" s="57">
        <v>211.56258281070575</v>
      </c>
    </row>
    <row r="382" ht="14.25" customHeight="1">
      <c r="A382" s="54">
        <v>43320.0</v>
      </c>
      <c r="B382" s="55">
        <v>237.0</v>
      </c>
      <c r="C382" s="55">
        <v>258.45</v>
      </c>
      <c r="D382" s="55">
        <v>207.0</v>
      </c>
      <c r="E382" s="55">
        <v>264.28</v>
      </c>
      <c r="F382" s="55" t="s">
        <v>23</v>
      </c>
      <c r="G382" s="55" t="s">
        <v>23</v>
      </c>
      <c r="H382" s="56">
        <v>174.89</v>
      </c>
      <c r="I382" s="56">
        <v>191.0</v>
      </c>
      <c r="J382" s="56">
        <v>228.639381</v>
      </c>
      <c r="K382" s="57">
        <v>230.0</v>
      </c>
      <c r="L382" s="57">
        <v>256.13</v>
      </c>
      <c r="M382" s="4"/>
      <c r="N382" s="59">
        <v>1.1589</v>
      </c>
      <c r="P382" s="61">
        <v>204.50427129174216</v>
      </c>
      <c r="Q382" s="61">
        <v>223.01320217447577</v>
      </c>
      <c r="R382" s="61">
        <v>178.6176546725343</v>
      </c>
      <c r="S382" s="61">
        <v>228.0438346708085</v>
      </c>
      <c r="T382" s="61" t="s">
        <v>23</v>
      </c>
      <c r="U382" s="61" t="s">
        <v>23</v>
      </c>
      <c r="V382" s="62">
        <v>150.91034601777545</v>
      </c>
      <c r="W382" s="62">
        <v>164.8114591422901</v>
      </c>
      <c r="X382" s="62">
        <v>197.29</v>
      </c>
      <c r="Y382" s="63">
        <v>198.46406074726033</v>
      </c>
      <c r="Z382" s="63">
        <v>221.01130382259038</v>
      </c>
    </row>
    <row r="383" ht="14.25" customHeight="1">
      <c r="A383" s="64">
        <v>43313.0</v>
      </c>
      <c r="B383" s="65">
        <v>232.68</v>
      </c>
      <c r="C383" s="65">
        <v>249.48</v>
      </c>
      <c r="D383" s="65">
        <v>202.0</v>
      </c>
      <c r="E383" s="65">
        <v>256.75</v>
      </c>
      <c r="F383" s="65">
        <v>280.0</v>
      </c>
      <c r="G383" s="65">
        <v>269.772426</v>
      </c>
      <c r="H383" s="66">
        <v>170.46</v>
      </c>
      <c r="I383" s="66">
        <v>186.0</v>
      </c>
      <c r="J383" s="66">
        <v>229.07233799999997</v>
      </c>
      <c r="K383" s="67">
        <v>225.0</v>
      </c>
      <c r="L383" s="67">
        <v>245.98</v>
      </c>
      <c r="M383" s="4"/>
      <c r="N383" s="59">
        <v>1.1696</v>
      </c>
      <c r="P383" s="68">
        <v>198.93980848153217</v>
      </c>
      <c r="Q383" s="68">
        <v>213.30369357045143</v>
      </c>
      <c r="R383" s="68">
        <v>172.70861833105334</v>
      </c>
      <c r="S383" s="68">
        <v>219.51949384404926</v>
      </c>
      <c r="T383" s="68">
        <v>239.39808481532148</v>
      </c>
      <c r="U383" s="68">
        <v>230.653579001368</v>
      </c>
      <c r="V383" s="66">
        <v>145.7421340629275</v>
      </c>
      <c r="W383" s="66">
        <v>159.02872777017785</v>
      </c>
      <c r="X383" s="66">
        <v>195.8552821477428</v>
      </c>
      <c r="Y383" s="57">
        <v>192.3734610123119</v>
      </c>
      <c r="Z383" s="57">
        <v>210.31121751025992</v>
      </c>
    </row>
    <row r="384" ht="14.25" customHeight="1">
      <c r="A384" s="54">
        <v>43306.0</v>
      </c>
      <c r="B384" s="55">
        <v>228.82</v>
      </c>
      <c r="C384" s="55">
        <v>239.08</v>
      </c>
      <c r="D384" s="55">
        <v>191.0</v>
      </c>
      <c r="E384" s="55">
        <v>249.77</v>
      </c>
      <c r="F384" s="55">
        <v>280.0</v>
      </c>
      <c r="G384" s="55" t="s">
        <v>23</v>
      </c>
      <c r="H384" s="56">
        <v>168.99</v>
      </c>
      <c r="I384" s="56">
        <v>181.0</v>
      </c>
      <c r="J384" s="56">
        <v>214.11404000000002</v>
      </c>
      <c r="K384" s="57">
        <v>213.0</v>
      </c>
      <c r="L384" s="57">
        <v>235.58</v>
      </c>
      <c r="M384" s="4"/>
      <c r="N384" s="59">
        <v>1.169</v>
      </c>
      <c r="P384" s="61">
        <v>195.7399486740804</v>
      </c>
      <c r="Q384" s="61">
        <v>204.51668092386655</v>
      </c>
      <c r="R384" s="61">
        <v>163.38751069289992</v>
      </c>
      <c r="S384" s="61">
        <v>213.66124893071</v>
      </c>
      <c r="T384" s="61">
        <v>239.52095808383234</v>
      </c>
      <c r="U384" s="61" t="s">
        <v>23</v>
      </c>
      <c r="V384" s="62">
        <v>144.55945252352439</v>
      </c>
      <c r="W384" s="62">
        <v>154.83319076133446</v>
      </c>
      <c r="X384" s="62">
        <v>183.16</v>
      </c>
      <c r="Y384" s="63">
        <v>182.20701454234387</v>
      </c>
      <c r="Z384" s="63">
        <v>201.52266894781866</v>
      </c>
    </row>
    <row r="385" ht="14.25" customHeight="1">
      <c r="A385" s="64">
        <v>43299.0</v>
      </c>
      <c r="B385" s="65">
        <v>210.73</v>
      </c>
      <c r="C385" s="65">
        <v>223.89</v>
      </c>
      <c r="D385" s="65">
        <v>187.0</v>
      </c>
      <c r="E385" s="65">
        <v>229.56</v>
      </c>
      <c r="F385" s="65">
        <v>280.0</v>
      </c>
      <c r="G385" s="65" t="s">
        <v>23</v>
      </c>
      <c r="H385" s="66">
        <v>160.72</v>
      </c>
      <c r="I385" s="66">
        <v>181.0</v>
      </c>
      <c r="J385" s="66">
        <v>203.378276</v>
      </c>
      <c r="K385" s="67">
        <v>207.0</v>
      </c>
      <c r="L385" s="67">
        <v>216.32</v>
      </c>
      <c r="M385" s="4"/>
      <c r="N385" s="59">
        <v>1.1611</v>
      </c>
      <c r="P385" s="68">
        <v>181.4916889156834</v>
      </c>
      <c r="Q385" s="68">
        <v>192.82576866764273</v>
      </c>
      <c r="R385" s="68">
        <v>161.0541727672035</v>
      </c>
      <c r="S385" s="68">
        <v>197.70906898630608</v>
      </c>
      <c r="T385" s="68">
        <v>241.15063302041168</v>
      </c>
      <c r="U385" s="68" t="s">
        <v>23</v>
      </c>
      <c r="V385" s="66">
        <v>138.4204633537163</v>
      </c>
      <c r="W385" s="66">
        <v>155.88665920248042</v>
      </c>
      <c r="X385" s="66">
        <v>175.16</v>
      </c>
      <c r="Y385" s="57">
        <v>178.27921798294722</v>
      </c>
      <c r="Z385" s="57">
        <v>186.30608905348376</v>
      </c>
    </row>
    <row r="386" ht="14.25" customHeight="1">
      <c r="A386" s="54">
        <v>43292.0</v>
      </c>
      <c r="B386" s="55">
        <v>203.84</v>
      </c>
      <c r="C386" s="55">
        <v>216.01</v>
      </c>
      <c r="D386" s="55">
        <v>185.0</v>
      </c>
      <c r="E386" s="55">
        <v>223.4</v>
      </c>
      <c r="F386" s="55">
        <v>280.0</v>
      </c>
      <c r="G386" s="55">
        <v>271.147</v>
      </c>
      <c r="H386" s="56">
        <v>156.29</v>
      </c>
      <c r="I386" s="56">
        <v>179.0</v>
      </c>
      <c r="J386" s="56">
        <v>201.19107400000001</v>
      </c>
      <c r="K386" s="57">
        <v>205.0</v>
      </c>
      <c r="L386" s="57">
        <v>206.05</v>
      </c>
      <c r="M386" s="4"/>
      <c r="N386" s="59">
        <v>1.1735</v>
      </c>
      <c r="P386" s="61">
        <v>173.70259906263314</v>
      </c>
      <c r="Q386" s="61">
        <v>184.07328504473796</v>
      </c>
      <c r="R386" s="61">
        <v>157.64806135492117</v>
      </c>
      <c r="S386" s="61">
        <v>190.37068598210482</v>
      </c>
      <c r="T386" s="61">
        <v>238.6024712398807</v>
      </c>
      <c r="U386" s="61">
        <v>231.05837239028546</v>
      </c>
      <c r="V386" s="62">
        <v>133.1827865360034</v>
      </c>
      <c r="W386" s="62">
        <v>152.53515125692374</v>
      </c>
      <c r="X386" s="62">
        <v>171.44531231359184</v>
      </c>
      <c r="Y386" s="63">
        <v>174.69109501491266</v>
      </c>
      <c r="Z386" s="63">
        <v>175.58585428206223</v>
      </c>
    </row>
    <row r="387" ht="14.25" customHeight="1">
      <c r="A387" s="64">
        <v>43285.0</v>
      </c>
      <c r="B387" s="65">
        <v>211.83</v>
      </c>
      <c r="C387" s="65">
        <v>216.35</v>
      </c>
      <c r="D387" s="65">
        <v>186.0</v>
      </c>
      <c r="E387" s="65">
        <v>223.13</v>
      </c>
      <c r="F387" s="65" t="s">
        <v>23</v>
      </c>
      <c r="G387" s="65">
        <v>262.08000000000004</v>
      </c>
      <c r="H387" s="66">
        <v>161.7</v>
      </c>
      <c r="I387" s="66">
        <v>180.0</v>
      </c>
      <c r="J387" s="66">
        <v>201.69676800000002</v>
      </c>
      <c r="K387" s="67">
        <v>194.0</v>
      </c>
      <c r="L387" s="67">
        <v>204.7</v>
      </c>
      <c r="M387" s="4"/>
      <c r="N387" s="59">
        <v>1.1642</v>
      </c>
      <c r="P387" s="68">
        <v>181.95327263356813</v>
      </c>
      <c r="Q387" s="68">
        <v>185.835767050335</v>
      </c>
      <c r="R387" s="68">
        <v>159.76636316784058</v>
      </c>
      <c r="S387" s="68">
        <v>191.6595086754853</v>
      </c>
      <c r="T387" s="68" t="s">
        <v>23</v>
      </c>
      <c r="U387" s="68">
        <v>225.115959457138</v>
      </c>
      <c r="V387" s="66">
        <v>138.8936608830098</v>
      </c>
      <c r="W387" s="66">
        <v>154.6126095172651</v>
      </c>
      <c r="X387" s="66">
        <v>173.2492423982134</v>
      </c>
      <c r="Y387" s="57">
        <v>166.63803470194125</v>
      </c>
      <c r="Z387" s="57">
        <v>175.8288953788009</v>
      </c>
    </row>
    <row r="388" ht="14.25" customHeight="1">
      <c r="A388" s="54">
        <v>43278.0</v>
      </c>
      <c r="B388" s="55">
        <v>208.52</v>
      </c>
      <c r="C388" s="55">
        <v>202.69</v>
      </c>
      <c r="D388" s="55">
        <v>186.0</v>
      </c>
      <c r="E388" s="55">
        <v>226.07</v>
      </c>
      <c r="F388" s="55" t="s">
        <v>23</v>
      </c>
      <c r="G388" s="55" t="s">
        <v>23</v>
      </c>
      <c r="H388" s="56">
        <v>166.33</v>
      </c>
      <c r="I388" s="56">
        <v>178.0</v>
      </c>
      <c r="J388" s="56">
        <v>192.511968</v>
      </c>
      <c r="K388" s="57">
        <v>189.0</v>
      </c>
      <c r="L388" s="57">
        <v>191.09</v>
      </c>
      <c r="M388" s="4"/>
      <c r="N388" s="59">
        <v>1.1616</v>
      </c>
      <c r="P388" s="61">
        <v>179.51101928374658</v>
      </c>
      <c r="Q388" s="61">
        <v>174.49207988980717</v>
      </c>
      <c r="R388" s="61">
        <v>160.12396694214877</v>
      </c>
      <c r="S388" s="61">
        <v>194.6194903581267</v>
      </c>
      <c r="T388" s="61" t="s">
        <v>23</v>
      </c>
      <c r="U388" s="61" t="s">
        <v>23</v>
      </c>
      <c r="V388" s="62">
        <v>143.1904269972452</v>
      </c>
      <c r="W388" s="62">
        <v>153.23691460055096</v>
      </c>
      <c r="X388" s="62">
        <v>165.73</v>
      </c>
      <c r="Y388" s="63">
        <v>162.70661157024793</v>
      </c>
      <c r="Z388" s="63">
        <v>164.50585399449037</v>
      </c>
    </row>
    <row r="389" ht="14.25" customHeight="1">
      <c r="A389" s="64">
        <v>43271.0</v>
      </c>
      <c r="B389" s="65">
        <v>210.63</v>
      </c>
      <c r="C389" s="65">
        <v>206.12</v>
      </c>
      <c r="D389" s="65">
        <v>189.0</v>
      </c>
      <c r="E389" s="65">
        <v>236.54</v>
      </c>
      <c r="F389" s="65" t="s">
        <v>23</v>
      </c>
      <c r="G389" s="65" t="s">
        <v>23</v>
      </c>
      <c r="H389" s="66">
        <v>167.02</v>
      </c>
      <c r="I389" s="66">
        <v>178.0</v>
      </c>
      <c r="J389" s="66" t="s">
        <v>23</v>
      </c>
      <c r="K389" s="67">
        <v>190.0</v>
      </c>
      <c r="L389" s="67">
        <v>191.07</v>
      </c>
      <c r="M389" s="4"/>
      <c r="N389" s="59">
        <v>1.1578</v>
      </c>
      <c r="P389" s="68">
        <v>181.92261185006046</v>
      </c>
      <c r="Q389" s="68">
        <v>178.0272931421662</v>
      </c>
      <c r="R389" s="68">
        <v>163.24062877871827</v>
      </c>
      <c r="S389" s="68">
        <v>204.30126101226463</v>
      </c>
      <c r="T389" s="68" t="s">
        <v>23</v>
      </c>
      <c r="U389" s="68" t="s">
        <v>23</v>
      </c>
      <c r="V389" s="66">
        <v>144.25634824667475</v>
      </c>
      <c r="W389" s="66">
        <v>153.73985144239074</v>
      </c>
      <c r="X389" s="66" t="s">
        <v>23</v>
      </c>
      <c r="Y389" s="57">
        <v>164.1043358092935</v>
      </c>
      <c r="Z389" s="57">
        <v>165.028502332009</v>
      </c>
    </row>
    <row r="390" ht="14.25" customHeight="1">
      <c r="A390" s="54">
        <v>43264.0</v>
      </c>
      <c r="B390" s="55">
        <v>221.75</v>
      </c>
      <c r="C390" s="55">
        <v>215.48</v>
      </c>
      <c r="D390" s="55">
        <v>193.0</v>
      </c>
      <c r="E390" s="55">
        <v>253.16</v>
      </c>
      <c r="F390" s="55" t="s">
        <v>23</v>
      </c>
      <c r="G390" s="55" t="s">
        <v>23</v>
      </c>
      <c r="H390" s="56">
        <v>175.58</v>
      </c>
      <c r="I390" s="56">
        <v>186.0</v>
      </c>
      <c r="J390" s="56">
        <v>199.67037199999996</v>
      </c>
      <c r="K390" s="57">
        <v>200.0</v>
      </c>
      <c r="L390" s="57">
        <v>202.53</v>
      </c>
      <c r="M390" s="4"/>
      <c r="N390" s="59">
        <v>1.1764</v>
      </c>
      <c r="P390" s="61">
        <v>188.49880992859573</v>
      </c>
      <c r="Q390" s="61">
        <v>183.16899013940838</v>
      </c>
      <c r="R390" s="61">
        <v>164.05984359061546</v>
      </c>
      <c r="S390" s="61">
        <v>215.1989119347161</v>
      </c>
      <c r="T390" s="61" t="s">
        <v>23</v>
      </c>
      <c r="U390" s="61" t="s">
        <v>23</v>
      </c>
      <c r="V390" s="62">
        <v>149.25195511730706</v>
      </c>
      <c r="W390" s="62">
        <v>158.10948656919416</v>
      </c>
      <c r="X390" s="62">
        <v>169.73</v>
      </c>
      <c r="Y390" s="63">
        <v>170.01020061203673</v>
      </c>
      <c r="Z390" s="63">
        <v>172.160829649779</v>
      </c>
    </row>
    <row r="391" ht="14.25" customHeight="1">
      <c r="A391" s="64">
        <v>43257.0</v>
      </c>
      <c r="B391" s="65">
        <v>222.94</v>
      </c>
      <c r="C391" s="65">
        <v>215.63</v>
      </c>
      <c r="D391" s="65">
        <v>197.0</v>
      </c>
      <c r="E391" s="65">
        <v>252.7</v>
      </c>
      <c r="F391" s="65" t="s">
        <v>23</v>
      </c>
      <c r="G391" s="65">
        <v>243.806095</v>
      </c>
      <c r="H391" s="66">
        <v>176.86</v>
      </c>
      <c r="I391" s="66">
        <v>189.0</v>
      </c>
      <c r="J391" s="66">
        <v>201.452095</v>
      </c>
      <c r="K391" s="67">
        <v>204.0</v>
      </c>
      <c r="L391" s="67">
        <v>205.03</v>
      </c>
      <c r="M391" s="4"/>
      <c r="N391" s="59">
        <v>1.1765</v>
      </c>
      <c r="P391" s="68">
        <v>189.4942626434339</v>
      </c>
      <c r="Q391" s="68">
        <v>183.28091797705056</v>
      </c>
      <c r="R391" s="68">
        <v>167.4458138546536</v>
      </c>
      <c r="S391" s="68">
        <v>214.7896302592435</v>
      </c>
      <c r="T391" s="68" t="s">
        <v>23</v>
      </c>
      <c r="U391" s="68">
        <v>207.23</v>
      </c>
      <c r="V391" s="66">
        <v>150.32724181895452</v>
      </c>
      <c r="W391" s="66">
        <v>160.64598385040372</v>
      </c>
      <c r="X391" s="66">
        <v>171.23</v>
      </c>
      <c r="Y391" s="57">
        <v>173.39566510837227</v>
      </c>
      <c r="Z391" s="57">
        <v>174.27114322141946</v>
      </c>
    </row>
    <row r="392" ht="14.25" customHeight="1">
      <c r="A392" s="54">
        <v>43250.0</v>
      </c>
      <c r="B392" s="55">
        <v>224.87</v>
      </c>
      <c r="C392" s="55">
        <v>209.15</v>
      </c>
      <c r="D392" s="55">
        <v>198.0</v>
      </c>
      <c r="E392" s="55">
        <v>253.81</v>
      </c>
      <c r="F392" s="55">
        <v>280.0</v>
      </c>
      <c r="G392" s="55">
        <v>239.96816</v>
      </c>
      <c r="H392" s="56">
        <v>186.41</v>
      </c>
      <c r="I392" s="56">
        <v>193.0</v>
      </c>
      <c r="J392" s="56">
        <v>202.74576000000002</v>
      </c>
      <c r="K392" s="57">
        <v>208.0</v>
      </c>
      <c r="L392" s="57">
        <v>206.83</v>
      </c>
      <c r="M392" s="4"/>
      <c r="N392" s="59">
        <v>1.1632</v>
      </c>
      <c r="P392" s="61">
        <v>193.32015130674003</v>
      </c>
      <c r="Q392" s="61">
        <v>179.8057083906465</v>
      </c>
      <c r="R392" s="61">
        <v>170.2200825309491</v>
      </c>
      <c r="S392" s="61">
        <v>218.19979367262724</v>
      </c>
      <c r="T392" s="61">
        <v>240.7152682255846</v>
      </c>
      <c r="U392" s="61">
        <v>206.3</v>
      </c>
      <c r="V392" s="62">
        <v>160.25618982118294</v>
      </c>
      <c r="W392" s="62">
        <v>165.92159559834937</v>
      </c>
      <c r="X392" s="62">
        <v>174.3</v>
      </c>
      <c r="Y392" s="63">
        <v>178.81705639614856</v>
      </c>
      <c r="Z392" s="63">
        <v>177.81121045392024</v>
      </c>
    </row>
    <row r="393" ht="14.25" customHeight="1">
      <c r="A393" s="64">
        <v>43243.0</v>
      </c>
      <c r="B393" s="65">
        <v>230.02</v>
      </c>
      <c r="C393" s="65">
        <v>206.11</v>
      </c>
      <c r="D393" s="65">
        <v>199.0</v>
      </c>
      <c r="E393" s="65">
        <v>254.17</v>
      </c>
      <c r="F393" s="65" t="s">
        <v>23</v>
      </c>
      <c r="G393" s="65" t="s">
        <v>23</v>
      </c>
      <c r="H393" s="66">
        <v>192.71</v>
      </c>
      <c r="I393" s="66">
        <v>196.0</v>
      </c>
      <c r="J393" s="66">
        <v>202.12416000000002</v>
      </c>
      <c r="K393" s="67">
        <v>205.0</v>
      </c>
      <c r="L393" s="67">
        <v>206.11</v>
      </c>
      <c r="M393" s="4"/>
      <c r="N393" s="59">
        <v>1.1708</v>
      </c>
      <c r="P393" s="68">
        <v>196.46395626921762</v>
      </c>
      <c r="Q393" s="68">
        <v>176.04202254868466</v>
      </c>
      <c r="R393" s="68">
        <v>169.96925179364536</v>
      </c>
      <c r="S393" s="68">
        <v>217.09087803211477</v>
      </c>
      <c r="T393" s="68" t="s">
        <v>23</v>
      </c>
      <c r="U393" s="68" t="s">
        <v>23</v>
      </c>
      <c r="V393" s="66">
        <v>164.59685685001708</v>
      </c>
      <c r="W393" s="66">
        <v>167.4069012640929</v>
      </c>
      <c r="X393" s="66">
        <v>172.63764947044757</v>
      </c>
      <c r="Y393" s="57">
        <v>175.09395285275025</v>
      </c>
      <c r="Z393" s="57">
        <v>176.04202254868466</v>
      </c>
    </row>
    <row r="394" ht="14.25" customHeight="1">
      <c r="A394" s="54">
        <v>43236.0</v>
      </c>
      <c r="B394" s="55">
        <v>218.35</v>
      </c>
      <c r="C394" s="55">
        <v>202.26</v>
      </c>
      <c r="D394" s="55">
        <v>201.0</v>
      </c>
      <c r="E394" s="55">
        <v>242.14</v>
      </c>
      <c r="F394" s="55" t="s">
        <v>23</v>
      </c>
      <c r="G394" s="55" t="s">
        <v>23</v>
      </c>
      <c r="H394" s="56">
        <v>188.67</v>
      </c>
      <c r="I394" s="56">
        <v>199.0</v>
      </c>
      <c r="J394" s="56">
        <v>200.09232</v>
      </c>
      <c r="K394" s="57">
        <v>209.0</v>
      </c>
      <c r="L394" s="57">
        <v>204.62</v>
      </c>
      <c r="M394" s="4"/>
      <c r="N394" s="59">
        <v>1.1784</v>
      </c>
      <c r="P394" s="61">
        <v>185.29361846571624</v>
      </c>
      <c r="Q394" s="61">
        <v>171.63951120162935</v>
      </c>
      <c r="R394" s="61">
        <v>170.57026476578412</v>
      </c>
      <c r="S394" s="61">
        <v>205.48200950441276</v>
      </c>
      <c r="T394" s="61" t="s">
        <v>23</v>
      </c>
      <c r="U394" s="61" t="s">
        <v>23</v>
      </c>
      <c r="V394" s="62">
        <v>160.10692464358453</v>
      </c>
      <c r="W394" s="62">
        <v>168.87304820095045</v>
      </c>
      <c r="X394" s="62">
        <v>169.8</v>
      </c>
      <c r="Y394" s="63">
        <v>177.3591310251188</v>
      </c>
      <c r="Z394" s="63">
        <v>173.64222674813308</v>
      </c>
    </row>
    <row r="395" ht="14.25" customHeight="1">
      <c r="A395" s="64">
        <v>43229.0</v>
      </c>
      <c r="B395" s="65">
        <v>229.46</v>
      </c>
      <c r="C395" s="65">
        <v>202.85</v>
      </c>
      <c r="D395" s="65">
        <v>201.0</v>
      </c>
      <c r="E395" s="65">
        <v>245.08</v>
      </c>
      <c r="F395" s="65" t="s">
        <v>23</v>
      </c>
      <c r="G395" s="65" t="s">
        <v>23</v>
      </c>
      <c r="H395" s="66">
        <v>196.35</v>
      </c>
      <c r="I395" s="66">
        <v>205.0</v>
      </c>
      <c r="J395" s="66">
        <v>204.08122</v>
      </c>
      <c r="K395" s="67">
        <v>214.0</v>
      </c>
      <c r="L395" s="67">
        <v>211.14</v>
      </c>
      <c r="M395" s="4"/>
      <c r="N395" s="59">
        <v>1.1879</v>
      </c>
      <c r="P395" s="68">
        <v>193.16440777843255</v>
      </c>
      <c r="Q395" s="68">
        <v>170.76353228386228</v>
      </c>
      <c r="R395" s="68">
        <v>169.20616213485985</v>
      </c>
      <c r="S395" s="68">
        <v>206.31366276622614</v>
      </c>
      <c r="T395" s="68" t="s">
        <v>23</v>
      </c>
      <c r="U395" s="68" t="s">
        <v>23</v>
      </c>
      <c r="V395" s="66">
        <v>165.29169121979965</v>
      </c>
      <c r="W395" s="66">
        <v>172.57344894351377</v>
      </c>
      <c r="X395" s="66">
        <v>171.8</v>
      </c>
      <c r="Y395" s="57">
        <v>180.1498442629851</v>
      </c>
      <c r="Z395" s="57">
        <v>177.74223419479753</v>
      </c>
    </row>
    <row r="396" ht="14.25" customHeight="1">
      <c r="A396" s="54">
        <v>43222.0</v>
      </c>
      <c r="B396" s="55">
        <v>235.44</v>
      </c>
      <c r="C396" s="55">
        <v>209.35</v>
      </c>
      <c r="D396" s="55">
        <v>201.0</v>
      </c>
      <c r="E396" s="55">
        <v>253.81</v>
      </c>
      <c r="F396" s="55" t="s">
        <v>23</v>
      </c>
      <c r="G396" s="55" t="s">
        <v>23</v>
      </c>
      <c r="H396" s="56">
        <v>196.05</v>
      </c>
      <c r="I396" s="56">
        <v>205.0</v>
      </c>
      <c r="J396" s="56">
        <v>204.47921000000002</v>
      </c>
      <c r="K396" s="57">
        <v>214.0</v>
      </c>
      <c r="L396" s="57">
        <v>214.13</v>
      </c>
      <c r="M396" s="4"/>
      <c r="N396" s="59">
        <v>1.2007</v>
      </c>
      <c r="P396" s="61">
        <v>196.08561672357789</v>
      </c>
      <c r="Q396" s="61">
        <v>174.3566253019072</v>
      </c>
      <c r="R396" s="61">
        <v>167.40234862996584</v>
      </c>
      <c r="S396" s="61">
        <v>211.3850254018489</v>
      </c>
      <c r="T396" s="61" t="s">
        <v>23</v>
      </c>
      <c r="U396" s="61" t="s">
        <v>23</v>
      </c>
      <c r="V396" s="62">
        <v>163.27975347713834</v>
      </c>
      <c r="W396" s="62">
        <v>170.73373865245273</v>
      </c>
      <c r="X396" s="62">
        <v>170.3</v>
      </c>
      <c r="Y396" s="63">
        <v>178.22936620304822</v>
      </c>
      <c r="Z396" s="63">
        <v>178.33763637877902</v>
      </c>
    </row>
    <row r="397" ht="14.25" customHeight="1">
      <c r="A397" s="64">
        <v>43215.0</v>
      </c>
      <c r="B397" s="65">
        <v>222.76</v>
      </c>
      <c r="C397" s="65">
        <v>205.93</v>
      </c>
      <c r="D397" s="65">
        <v>201.0</v>
      </c>
      <c r="E397" s="65">
        <v>245.08</v>
      </c>
      <c r="F397" s="65" t="s">
        <v>23</v>
      </c>
      <c r="G397" s="65" t="s">
        <v>23</v>
      </c>
      <c r="H397" s="66">
        <v>195.46</v>
      </c>
      <c r="I397" s="66">
        <v>204.0</v>
      </c>
      <c r="J397" s="66">
        <v>200.894095</v>
      </c>
      <c r="K397" s="67">
        <v>216.0</v>
      </c>
      <c r="L397" s="67">
        <v>210.8</v>
      </c>
      <c r="M397" s="4"/>
      <c r="N397" s="59">
        <v>1.2185</v>
      </c>
      <c r="P397" s="68">
        <v>182.8149363972097</v>
      </c>
      <c r="Q397" s="68">
        <v>169.0028723840788</v>
      </c>
      <c r="R397" s="68">
        <v>164.95691423881823</v>
      </c>
      <c r="S397" s="68">
        <v>201.13254000820683</v>
      </c>
      <c r="T397" s="68" t="s">
        <v>23</v>
      </c>
      <c r="U397" s="68" t="s">
        <v>23</v>
      </c>
      <c r="V397" s="66">
        <v>160.41034058268363</v>
      </c>
      <c r="W397" s="66">
        <v>167.41895773491999</v>
      </c>
      <c r="X397" s="66">
        <v>164.87</v>
      </c>
      <c r="Y397" s="57">
        <v>177.26713171932704</v>
      </c>
      <c r="Z397" s="57">
        <v>172.99958965941732</v>
      </c>
    </row>
    <row r="398" ht="14.25" customHeight="1">
      <c r="A398" s="54">
        <v>43208.0</v>
      </c>
      <c r="B398" s="55">
        <v>216.88</v>
      </c>
      <c r="C398" s="55">
        <v>209.99</v>
      </c>
      <c r="D398" s="55">
        <v>203.0</v>
      </c>
      <c r="E398" s="55">
        <v>238.37</v>
      </c>
      <c r="F398" s="55">
        <v>282.0</v>
      </c>
      <c r="G398" s="55">
        <v>261.120321</v>
      </c>
      <c r="H398" s="56">
        <v>194.09</v>
      </c>
      <c r="I398" s="56">
        <v>205.0</v>
      </c>
      <c r="J398" s="56">
        <v>209.111721</v>
      </c>
      <c r="K398" s="57">
        <v>218.0</v>
      </c>
      <c r="L398" s="57">
        <v>218.03</v>
      </c>
      <c r="M398" s="4"/>
      <c r="N398" s="59">
        <v>1.2388</v>
      </c>
      <c r="P398" s="61">
        <v>175.07265095253473</v>
      </c>
      <c r="Q398" s="61">
        <v>169.51081691959962</v>
      </c>
      <c r="R398" s="61">
        <v>163.8682596060704</v>
      </c>
      <c r="S398" s="61">
        <v>192.42008395221183</v>
      </c>
      <c r="T398" s="61">
        <v>227.63965127542784</v>
      </c>
      <c r="U398" s="61">
        <v>210.7848894091056</v>
      </c>
      <c r="V398" s="62">
        <v>156.67581530513402</v>
      </c>
      <c r="W398" s="62">
        <v>165.48272521795286</v>
      </c>
      <c r="X398" s="62">
        <v>168.80184129803035</v>
      </c>
      <c r="Y398" s="63">
        <v>175.9767516951889</v>
      </c>
      <c r="Z398" s="63">
        <v>176.00096867936713</v>
      </c>
    </row>
    <row r="399" ht="14.25" customHeight="1">
      <c r="A399" s="64">
        <v>43201.0</v>
      </c>
      <c r="B399" s="65">
        <v>217.61</v>
      </c>
      <c r="C399" s="65">
        <v>213.21</v>
      </c>
      <c r="D399" s="65">
        <v>202.0</v>
      </c>
      <c r="E399" s="65">
        <v>247.56</v>
      </c>
      <c r="F399" s="65">
        <v>283.0</v>
      </c>
      <c r="G399" s="65">
        <v>259.903008</v>
      </c>
      <c r="H399" s="66">
        <v>192.9</v>
      </c>
      <c r="I399" s="66">
        <v>206.0</v>
      </c>
      <c r="J399" s="66">
        <v>212.224608</v>
      </c>
      <c r="K399" s="67">
        <v>219.0</v>
      </c>
      <c r="L399" s="67">
        <v>222.5</v>
      </c>
      <c r="M399" s="4"/>
      <c r="N399" s="59">
        <v>1.2384</v>
      </c>
      <c r="P399" s="68">
        <v>175.718669250646</v>
      </c>
      <c r="Q399" s="68">
        <v>172.16569767441862</v>
      </c>
      <c r="R399" s="68">
        <v>163.11369509043928</v>
      </c>
      <c r="S399" s="68">
        <v>199.90310077519382</v>
      </c>
      <c r="T399" s="68">
        <v>228.52067183462535</v>
      </c>
      <c r="U399" s="68">
        <v>209.87</v>
      </c>
      <c r="V399" s="66">
        <v>155.76550387596902</v>
      </c>
      <c r="W399" s="66">
        <v>166.343669250646</v>
      </c>
      <c r="X399" s="66">
        <v>171.37</v>
      </c>
      <c r="Y399" s="57">
        <v>176.84108527131784</v>
      </c>
      <c r="Z399" s="57">
        <v>179.66731266149873</v>
      </c>
    </row>
    <row r="400" ht="14.25" customHeight="1">
      <c r="A400" s="54">
        <v>43194.0</v>
      </c>
      <c r="B400" s="55">
        <v>206.04</v>
      </c>
      <c r="C400" s="55">
        <v>209.29</v>
      </c>
      <c r="D400" s="55">
        <v>200.0</v>
      </c>
      <c r="E400" s="55">
        <v>237.36</v>
      </c>
      <c r="F400" s="55" t="s">
        <v>23</v>
      </c>
      <c r="G400" s="55">
        <v>261.933012</v>
      </c>
      <c r="H400" s="56">
        <v>185.42</v>
      </c>
      <c r="I400" s="56">
        <v>204.0</v>
      </c>
      <c r="J400" s="56">
        <v>207.918612</v>
      </c>
      <c r="K400" s="57">
        <v>219.0</v>
      </c>
      <c r="L400" s="57">
        <v>218.51</v>
      </c>
      <c r="M400" s="4"/>
      <c r="N400" s="59">
        <v>1.2276</v>
      </c>
      <c r="P400" s="61">
        <v>167.8396871945259</v>
      </c>
      <c r="Q400" s="61">
        <v>170.4871293580971</v>
      </c>
      <c r="R400" s="61">
        <v>162.91951775822744</v>
      </c>
      <c r="S400" s="61">
        <v>193.35288367546434</v>
      </c>
      <c r="T400" s="61" t="s">
        <v>23</v>
      </c>
      <c r="U400" s="61">
        <v>213.37</v>
      </c>
      <c r="V400" s="62">
        <v>151.04268491365264</v>
      </c>
      <c r="W400" s="62">
        <v>166.177908113392</v>
      </c>
      <c r="X400" s="62">
        <v>169.37</v>
      </c>
      <c r="Y400" s="63">
        <v>178.39687194525905</v>
      </c>
      <c r="Z400" s="63">
        <v>177.99771912675138</v>
      </c>
    </row>
    <row r="401" ht="14.25" customHeight="1">
      <c r="A401" s="64">
        <v>43187.0</v>
      </c>
      <c r="B401" s="65">
        <v>202.27</v>
      </c>
      <c r="C401" s="65">
        <v>206.55</v>
      </c>
      <c r="D401" s="65">
        <v>200.0</v>
      </c>
      <c r="E401" s="65">
        <v>230.02</v>
      </c>
      <c r="F401" s="65">
        <v>285.0</v>
      </c>
      <c r="G401" s="65" t="s">
        <v>23</v>
      </c>
      <c r="H401" s="66">
        <v>180.9</v>
      </c>
      <c r="I401" s="66">
        <v>199.0</v>
      </c>
      <c r="J401" s="66">
        <v>203.872712</v>
      </c>
      <c r="K401" s="67">
        <v>218.0</v>
      </c>
      <c r="L401" s="67">
        <v>215.19</v>
      </c>
      <c r="M401" s="4"/>
      <c r="N401" s="59">
        <v>1.2398</v>
      </c>
      <c r="P401" s="68">
        <v>163.14728181964833</v>
      </c>
      <c r="Q401" s="68">
        <v>166.59945152443944</v>
      </c>
      <c r="R401" s="68">
        <v>161.31634134537828</v>
      </c>
      <c r="S401" s="68">
        <v>185.5299241813196</v>
      </c>
      <c r="T401" s="68">
        <v>229.87578641716405</v>
      </c>
      <c r="U401" s="68" t="s">
        <v>23</v>
      </c>
      <c r="V401" s="66">
        <v>145.91063074689467</v>
      </c>
      <c r="W401" s="66">
        <v>160.5097596386514</v>
      </c>
      <c r="X401" s="66">
        <v>164.44</v>
      </c>
      <c r="Y401" s="57">
        <v>175.83481206646232</v>
      </c>
      <c r="Z401" s="57">
        <v>173.56831747055978</v>
      </c>
    </row>
    <row r="402" ht="14.25" customHeight="1">
      <c r="A402" s="69"/>
      <c r="M402" s="4"/>
    </row>
    <row r="403" ht="14.25" customHeight="1">
      <c r="A403" s="70"/>
      <c r="M403" s="4"/>
    </row>
    <row r="404" ht="14.25" customHeight="1">
      <c r="M404" s="4"/>
    </row>
    <row r="405" ht="14.25" customHeight="1">
      <c r="M405" s="4"/>
    </row>
    <row r="406" ht="14.25" customHeight="1">
      <c r="M406" s="4"/>
    </row>
    <row r="407" ht="14.25" customHeight="1">
      <c r="M407" s="4"/>
    </row>
    <row r="408" ht="14.25" customHeight="1">
      <c r="M408" s="4"/>
    </row>
    <row r="409" ht="14.25" customHeight="1">
      <c r="M409" s="4"/>
    </row>
    <row r="410" ht="14.25" customHeight="1">
      <c r="M410" s="4"/>
    </row>
    <row r="411" ht="14.25" customHeight="1">
      <c r="M411" s="4"/>
    </row>
    <row r="412" ht="14.25" customHeight="1">
      <c r="M412" s="4"/>
    </row>
    <row r="413" ht="14.25" customHeight="1">
      <c r="M413" s="4"/>
    </row>
    <row r="414" ht="14.25" customHeight="1">
      <c r="M414" s="4"/>
    </row>
    <row r="415" ht="14.25" customHeight="1">
      <c r="M415" s="4"/>
    </row>
    <row r="416" ht="14.25" customHeight="1">
      <c r="M416" s="4"/>
    </row>
    <row r="417" ht="14.25" customHeight="1">
      <c r="M417" s="4"/>
    </row>
    <row r="418" ht="14.25" customHeight="1">
      <c r="M418" s="4"/>
    </row>
    <row r="419" ht="14.25" customHeight="1">
      <c r="M419" s="4"/>
    </row>
    <row r="420" ht="14.25" customHeight="1">
      <c r="M420" s="4"/>
    </row>
    <row r="421" ht="14.25" customHeight="1">
      <c r="M421" s="4"/>
    </row>
    <row r="422" ht="14.25" customHeight="1">
      <c r="M422" s="4"/>
    </row>
    <row r="423" ht="14.25" customHeight="1">
      <c r="M423" s="4"/>
    </row>
    <row r="424" ht="14.25" customHeight="1">
      <c r="M424" s="4"/>
    </row>
    <row r="425" ht="14.25" customHeight="1">
      <c r="M425" s="4"/>
    </row>
    <row r="426" ht="14.25" customHeight="1">
      <c r="M426" s="4"/>
    </row>
    <row r="427" ht="14.25" customHeight="1">
      <c r="M427" s="4"/>
    </row>
    <row r="428" ht="14.25" customHeight="1">
      <c r="M428" s="4"/>
    </row>
    <row r="429" ht="14.25" customHeight="1">
      <c r="M429" s="4"/>
    </row>
    <row r="430" ht="14.25" customHeight="1">
      <c r="M430" s="4"/>
    </row>
    <row r="431" ht="14.25" customHeight="1">
      <c r="M431" s="4"/>
    </row>
    <row r="432" ht="14.25" customHeight="1">
      <c r="M432" s="4"/>
    </row>
    <row r="433" ht="14.25" customHeight="1">
      <c r="M433" s="4"/>
    </row>
    <row r="434" ht="14.25" customHeight="1">
      <c r="M434" s="4"/>
    </row>
    <row r="435" ht="14.25" customHeight="1">
      <c r="M435" s="4"/>
    </row>
    <row r="436" ht="14.25" customHeight="1">
      <c r="M436" s="4"/>
    </row>
    <row r="437" ht="14.25" customHeight="1">
      <c r="M437" s="4"/>
    </row>
    <row r="438" ht="14.25" customHeight="1">
      <c r="M438" s="4"/>
    </row>
    <row r="439" ht="14.25" customHeight="1">
      <c r="M439" s="4"/>
    </row>
    <row r="440" ht="14.25" customHeight="1">
      <c r="M440" s="4"/>
    </row>
    <row r="441" ht="14.25" customHeight="1">
      <c r="M441" s="4"/>
    </row>
    <row r="442" ht="14.25" customHeight="1">
      <c r="M442" s="4"/>
    </row>
    <row r="443" ht="14.25" customHeight="1">
      <c r="M443" s="4"/>
    </row>
    <row r="444" ht="14.25" customHeight="1">
      <c r="M444" s="4"/>
    </row>
    <row r="445" ht="14.25" customHeight="1">
      <c r="M445" s="4"/>
    </row>
    <row r="446" ht="14.25" customHeight="1">
      <c r="M446" s="4"/>
    </row>
    <row r="447" ht="14.25" customHeight="1">
      <c r="M447" s="4"/>
    </row>
    <row r="448" ht="14.25" customHeight="1">
      <c r="M448" s="4"/>
    </row>
    <row r="449" ht="14.25" customHeight="1">
      <c r="M449" s="4"/>
    </row>
    <row r="450" ht="14.25" customHeight="1">
      <c r="M450" s="4"/>
    </row>
    <row r="451" ht="14.25" customHeight="1">
      <c r="M451" s="4"/>
    </row>
    <row r="452" ht="14.25" customHeight="1">
      <c r="M452" s="4"/>
    </row>
    <row r="453" ht="14.25" customHeight="1">
      <c r="M453" s="4"/>
    </row>
    <row r="454" ht="14.25" customHeight="1">
      <c r="M454" s="4"/>
    </row>
    <row r="455" ht="14.25" customHeight="1">
      <c r="M455" s="4"/>
    </row>
    <row r="456" ht="14.25" customHeight="1">
      <c r="M456" s="4"/>
    </row>
    <row r="457" ht="14.25" customHeight="1">
      <c r="M457" s="4"/>
    </row>
    <row r="458" ht="14.25" customHeight="1">
      <c r="M458" s="4"/>
    </row>
    <row r="459" ht="14.25" customHeight="1">
      <c r="M459" s="4"/>
    </row>
    <row r="460" ht="14.25" customHeight="1">
      <c r="M460" s="4"/>
    </row>
    <row r="461" ht="14.25" customHeight="1">
      <c r="M461" s="4"/>
    </row>
    <row r="462" ht="14.25" customHeight="1">
      <c r="M462" s="4"/>
    </row>
    <row r="463" ht="14.25" customHeight="1">
      <c r="M463" s="4"/>
    </row>
    <row r="464" ht="14.25" customHeight="1">
      <c r="M464" s="4"/>
    </row>
    <row r="465" ht="14.25" customHeight="1">
      <c r="M465" s="4"/>
    </row>
    <row r="466" ht="14.25" customHeight="1">
      <c r="M466" s="4"/>
    </row>
    <row r="467" ht="14.25" customHeight="1">
      <c r="M467" s="4"/>
    </row>
    <row r="468" ht="14.25" customHeight="1">
      <c r="M468" s="4"/>
    </row>
    <row r="469" ht="14.25" customHeight="1">
      <c r="M469" s="4"/>
    </row>
    <row r="470" ht="14.25" customHeight="1">
      <c r="M470" s="4"/>
    </row>
    <row r="471" ht="14.25" customHeight="1">
      <c r="M471" s="4"/>
    </row>
    <row r="472" ht="14.25" customHeight="1">
      <c r="M472" s="4"/>
    </row>
    <row r="473" ht="14.25" customHeight="1">
      <c r="M473" s="4"/>
    </row>
    <row r="474" ht="14.25" customHeight="1">
      <c r="M474" s="4"/>
    </row>
    <row r="475" ht="14.25" customHeight="1">
      <c r="M475" s="4"/>
    </row>
    <row r="476" ht="14.25" customHeight="1">
      <c r="M476" s="4"/>
    </row>
    <row r="477" ht="14.25" customHeight="1">
      <c r="M477" s="4"/>
    </row>
    <row r="478" ht="14.25" customHeight="1">
      <c r="M478" s="4"/>
    </row>
    <row r="479" ht="14.25" customHeight="1">
      <c r="M479" s="4"/>
    </row>
    <row r="480" ht="14.25" customHeight="1">
      <c r="M480" s="4"/>
    </row>
    <row r="481" ht="14.25" customHeight="1">
      <c r="M481" s="4"/>
    </row>
    <row r="482" ht="14.25" customHeight="1">
      <c r="M482" s="4"/>
    </row>
    <row r="483" ht="14.25" customHeight="1">
      <c r="M483" s="4"/>
    </row>
    <row r="484" ht="14.25" customHeight="1">
      <c r="M484" s="4"/>
    </row>
    <row r="485" ht="14.25" customHeight="1">
      <c r="M485" s="4"/>
    </row>
    <row r="486" ht="14.25" customHeight="1">
      <c r="M486" s="4"/>
    </row>
    <row r="487" ht="14.25" customHeight="1">
      <c r="M487" s="4"/>
    </row>
    <row r="488" ht="14.25" customHeight="1">
      <c r="M488" s="4"/>
    </row>
    <row r="489" ht="14.25" customHeight="1">
      <c r="M489" s="4"/>
    </row>
    <row r="490" ht="14.25" customHeight="1">
      <c r="M490" s="4"/>
    </row>
    <row r="491" ht="14.25" customHeight="1">
      <c r="M491" s="4"/>
    </row>
    <row r="492" ht="14.25" customHeight="1">
      <c r="M492" s="4"/>
    </row>
    <row r="493" ht="14.25" customHeight="1">
      <c r="M493" s="4"/>
    </row>
    <row r="494" ht="14.25" customHeight="1">
      <c r="M494" s="4"/>
    </row>
    <row r="495" ht="14.25" customHeight="1">
      <c r="M495" s="4"/>
    </row>
    <row r="496" ht="14.25" customHeight="1">
      <c r="M496" s="4"/>
    </row>
    <row r="497" ht="14.25" customHeight="1">
      <c r="M497" s="4"/>
    </row>
    <row r="498" ht="14.25" customHeight="1">
      <c r="M498" s="4"/>
    </row>
    <row r="499" ht="14.25" customHeight="1">
      <c r="M499" s="4"/>
    </row>
    <row r="500" ht="14.25" customHeight="1">
      <c r="M500" s="4"/>
    </row>
    <row r="501" ht="14.25" customHeight="1">
      <c r="M501" s="4"/>
    </row>
    <row r="502" ht="14.25" customHeight="1">
      <c r="M502" s="4"/>
    </row>
    <row r="503" ht="14.25" customHeight="1">
      <c r="M503" s="4"/>
    </row>
    <row r="504" ht="14.25" customHeight="1">
      <c r="M504" s="4"/>
    </row>
    <row r="505" ht="14.25" customHeight="1">
      <c r="M505" s="4"/>
    </row>
    <row r="506" ht="14.25" customHeight="1">
      <c r="M506" s="4"/>
    </row>
    <row r="507" ht="14.25" customHeight="1">
      <c r="M507" s="4"/>
    </row>
    <row r="508" ht="14.25" customHeight="1">
      <c r="M508" s="4"/>
    </row>
    <row r="509" ht="14.25" customHeight="1">
      <c r="M509" s="4"/>
    </row>
    <row r="510" ht="14.25" customHeight="1">
      <c r="M510" s="4"/>
    </row>
    <row r="511" ht="14.25" customHeight="1">
      <c r="M511" s="4"/>
    </row>
    <row r="512" ht="14.25" customHeight="1">
      <c r="M512" s="4"/>
    </row>
    <row r="513" ht="14.25" customHeight="1">
      <c r="M513" s="4"/>
    </row>
    <row r="514" ht="14.25" customHeight="1">
      <c r="M514" s="4"/>
    </row>
    <row r="515" ht="14.25" customHeight="1">
      <c r="M515" s="4"/>
    </row>
    <row r="516" ht="14.25" customHeight="1">
      <c r="M516" s="4"/>
    </row>
    <row r="517" ht="14.25" customHeight="1">
      <c r="M517" s="4"/>
    </row>
    <row r="518" ht="14.25" customHeight="1">
      <c r="M518" s="4"/>
    </row>
    <row r="519" ht="14.25" customHeight="1">
      <c r="M519" s="4"/>
    </row>
    <row r="520" ht="14.25" customHeight="1">
      <c r="M520" s="4"/>
    </row>
    <row r="521" ht="14.25" customHeight="1">
      <c r="M521" s="4"/>
    </row>
    <row r="522" ht="14.25" customHeight="1">
      <c r="M522" s="4"/>
    </row>
    <row r="523" ht="14.25" customHeight="1">
      <c r="M523" s="4"/>
    </row>
    <row r="524" ht="14.25" customHeight="1">
      <c r="M524" s="4"/>
    </row>
    <row r="525" ht="14.25" customHeight="1">
      <c r="M525" s="4"/>
    </row>
    <row r="526" ht="14.25" customHeight="1">
      <c r="M526" s="4"/>
    </row>
    <row r="527" ht="14.25" customHeight="1">
      <c r="M527" s="4"/>
    </row>
    <row r="528" ht="14.25" customHeight="1">
      <c r="M528" s="4"/>
    </row>
    <row r="529" ht="14.25" customHeight="1">
      <c r="M529" s="4"/>
    </row>
    <row r="530" ht="14.25" customHeight="1">
      <c r="M530" s="4"/>
    </row>
    <row r="531" ht="14.25" customHeight="1">
      <c r="M531" s="4"/>
    </row>
    <row r="532" ht="14.25" customHeight="1">
      <c r="M532" s="4"/>
    </row>
    <row r="533" ht="14.25" customHeight="1">
      <c r="M533" s="4"/>
    </row>
    <row r="534" ht="14.25" customHeight="1">
      <c r="M534" s="4"/>
    </row>
    <row r="535" ht="14.25" customHeight="1">
      <c r="M535" s="4"/>
    </row>
    <row r="536" ht="14.25" customHeight="1">
      <c r="M536" s="4"/>
    </row>
    <row r="537" ht="14.25" customHeight="1">
      <c r="M537" s="4"/>
    </row>
    <row r="538" ht="14.25" customHeight="1">
      <c r="M538" s="4"/>
    </row>
    <row r="539" ht="14.25" customHeight="1">
      <c r="M539" s="4"/>
    </row>
    <row r="540" ht="14.25" customHeight="1">
      <c r="M540" s="4"/>
    </row>
    <row r="541" ht="14.25" customHeight="1">
      <c r="M541" s="4"/>
    </row>
    <row r="542" ht="14.25" customHeight="1">
      <c r="M542" s="4"/>
    </row>
    <row r="543" ht="14.25" customHeight="1">
      <c r="M543" s="4"/>
    </row>
    <row r="544" ht="14.25" customHeight="1">
      <c r="M544" s="4"/>
    </row>
    <row r="545" ht="14.25" customHeight="1">
      <c r="M545" s="4"/>
    </row>
    <row r="546" ht="14.25" customHeight="1">
      <c r="M546" s="4"/>
    </row>
    <row r="547" ht="14.25" customHeight="1">
      <c r="M547" s="4"/>
    </row>
    <row r="548" ht="14.25" customHeight="1">
      <c r="M548" s="4"/>
    </row>
    <row r="549" ht="14.25" customHeight="1">
      <c r="M549" s="4"/>
    </row>
    <row r="550" ht="14.25" customHeight="1">
      <c r="M550" s="4"/>
    </row>
    <row r="551" ht="14.25" customHeight="1">
      <c r="M551" s="4"/>
    </row>
    <row r="552" ht="14.25" customHeight="1">
      <c r="M552" s="4"/>
    </row>
    <row r="553" ht="14.25" customHeight="1">
      <c r="M553" s="4"/>
    </row>
    <row r="554" ht="14.25" customHeight="1">
      <c r="M554" s="4"/>
    </row>
    <row r="555" ht="14.25" customHeight="1">
      <c r="M555" s="4"/>
    </row>
    <row r="556" ht="14.25" customHeight="1">
      <c r="M556" s="4"/>
    </row>
    <row r="557" ht="14.25" customHeight="1">
      <c r="M557" s="4"/>
    </row>
    <row r="558" ht="14.25" customHeight="1">
      <c r="M558" s="4"/>
    </row>
    <row r="559" ht="14.25" customHeight="1">
      <c r="M559" s="4"/>
    </row>
    <row r="560" ht="14.25" customHeight="1">
      <c r="M560" s="4"/>
    </row>
    <row r="561" ht="14.25" customHeight="1">
      <c r="M561" s="4"/>
    </row>
    <row r="562" ht="14.25" customHeight="1">
      <c r="M562" s="4"/>
    </row>
    <row r="563" ht="14.25" customHeight="1">
      <c r="M563" s="4"/>
    </row>
    <row r="564" ht="14.25" customHeight="1">
      <c r="M564" s="4"/>
    </row>
    <row r="565" ht="14.25" customHeight="1">
      <c r="M565" s="4"/>
    </row>
    <row r="566" ht="14.25" customHeight="1">
      <c r="M566" s="4"/>
    </row>
    <row r="567" ht="14.25" customHeight="1">
      <c r="M567" s="4"/>
    </row>
    <row r="568" ht="14.25" customHeight="1">
      <c r="M568" s="4"/>
    </row>
    <row r="569" ht="14.25" customHeight="1">
      <c r="M569" s="4"/>
    </row>
    <row r="570" ht="14.25" customHeight="1">
      <c r="M570" s="4"/>
    </row>
    <row r="571" ht="14.25" customHeight="1">
      <c r="M571" s="4"/>
    </row>
    <row r="572" ht="14.25" customHeight="1">
      <c r="M572" s="4"/>
    </row>
    <row r="573" ht="14.25" customHeight="1">
      <c r="M573" s="4"/>
    </row>
    <row r="574" ht="14.25" customHeight="1">
      <c r="M574" s="4"/>
    </row>
    <row r="575" ht="14.25" customHeight="1">
      <c r="M575" s="4"/>
    </row>
    <row r="576" ht="14.25" customHeight="1">
      <c r="M576" s="4"/>
    </row>
    <row r="577" ht="14.25" customHeight="1">
      <c r="M577" s="4"/>
    </row>
    <row r="578" ht="14.25" customHeight="1">
      <c r="M578" s="4"/>
    </row>
    <row r="579" ht="14.25" customHeight="1">
      <c r="M579" s="4"/>
    </row>
    <row r="580" ht="14.25" customHeight="1">
      <c r="M580" s="4"/>
    </row>
    <row r="581" ht="14.25" customHeight="1">
      <c r="M581" s="4"/>
    </row>
    <row r="582" ht="14.25" customHeight="1">
      <c r="M582" s="4"/>
    </row>
    <row r="583" ht="14.25" customHeight="1">
      <c r="M583" s="4"/>
    </row>
    <row r="584" ht="14.25" customHeight="1">
      <c r="M584" s="4"/>
    </row>
    <row r="585" ht="14.25" customHeight="1">
      <c r="M585" s="4"/>
    </row>
    <row r="586" ht="14.25" customHeight="1">
      <c r="M586" s="4"/>
    </row>
    <row r="587" ht="14.25" customHeight="1">
      <c r="M587" s="4"/>
    </row>
    <row r="588" ht="14.25" customHeight="1">
      <c r="M588" s="4"/>
    </row>
    <row r="589" ht="14.25" customHeight="1">
      <c r="M589" s="4"/>
    </row>
    <row r="590" ht="14.25" customHeight="1">
      <c r="M590" s="4"/>
    </row>
    <row r="591" ht="14.25" customHeight="1">
      <c r="M591" s="4"/>
    </row>
    <row r="592" ht="14.25" customHeight="1">
      <c r="M592" s="4"/>
    </row>
    <row r="593" ht="14.25" customHeight="1">
      <c r="M593" s="4"/>
    </row>
    <row r="594" ht="14.25" customHeight="1">
      <c r="M594" s="4"/>
    </row>
    <row r="595" ht="14.25" customHeight="1">
      <c r="M595" s="4"/>
    </row>
    <row r="596" ht="14.25" customHeight="1">
      <c r="M596" s="4"/>
    </row>
    <row r="597" ht="14.25" customHeight="1">
      <c r="M597" s="4"/>
    </row>
    <row r="598" ht="14.25" customHeight="1">
      <c r="M598" s="4"/>
    </row>
    <row r="599" ht="14.25" customHeight="1">
      <c r="M599" s="4"/>
    </row>
    <row r="600" ht="14.25" customHeight="1">
      <c r="M600" s="4"/>
    </row>
    <row r="601" ht="14.25" customHeight="1">
      <c r="M601" s="4"/>
    </row>
    <row r="602" ht="14.25" customHeight="1">
      <c r="M602" s="4"/>
    </row>
    <row r="603" ht="14.25" customHeight="1">
      <c r="M603" s="4"/>
    </row>
    <row r="604" ht="14.25" customHeight="1">
      <c r="M604" s="4"/>
    </row>
    <row r="605" ht="14.25" customHeight="1">
      <c r="M605" s="4"/>
    </row>
    <row r="606" ht="14.25" customHeight="1">
      <c r="M606" s="4"/>
    </row>
    <row r="607" ht="14.25" customHeight="1">
      <c r="M607" s="4"/>
    </row>
    <row r="608" ht="14.25" customHeight="1">
      <c r="M608" s="4"/>
    </row>
    <row r="609" ht="14.25" customHeight="1">
      <c r="M609" s="4"/>
    </row>
    <row r="610" ht="14.25" customHeight="1">
      <c r="M610" s="4"/>
    </row>
    <row r="611" ht="14.25" customHeight="1">
      <c r="M611" s="4"/>
    </row>
    <row r="612" ht="14.25" customHeight="1">
      <c r="M612" s="4"/>
    </row>
    <row r="613" ht="14.25" customHeight="1">
      <c r="M613" s="4"/>
    </row>
    <row r="614" ht="14.25" customHeight="1">
      <c r="M614" s="4"/>
    </row>
    <row r="615" ht="14.25" customHeight="1">
      <c r="M615" s="4"/>
    </row>
    <row r="616" ht="14.25" customHeight="1">
      <c r="M616" s="4"/>
    </row>
    <row r="617" ht="14.25" customHeight="1">
      <c r="M617" s="4"/>
    </row>
    <row r="618" ht="14.25" customHeight="1">
      <c r="M618" s="4"/>
    </row>
    <row r="619" ht="14.25" customHeight="1">
      <c r="M619" s="4"/>
    </row>
    <row r="620" ht="14.25" customHeight="1">
      <c r="M620" s="4"/>
    </row>
    <row r="621" ht="14.25" customHeight="1">
      <c r="M621" s="4"/>
    </row>
    <row r="622" ht="14.25" customHeight="1">
      <c r="M622" s="4"/>
    </row>
    <row r="623" ht="14.25" customHeight="1">
      <c r="M623" s="4"/>
    </row>
    <row r="624" ht="14.25" customHeight="1">
      <c r="M624" s="4"/>
    </row>
    <row r="625" ht="14.25" customHeight="1">
      <c r="M625" s="4"/>
    </row>
    <row r="626" ht="14.25" customHeight="1">
      <c r="M626" s="4"/>
    </row>
    <row r="627" ht="14.25" customHeight="1">
      <c r="M627" s="4"/>
    </row>
    <row r="628" ht="14.25" customHeight="1">
      <c r="M628" s="4"/>
    </row>
    <row r="629" ht="14.25" customHeight="1">
      <c r="M629" s="4"/>
    </row>
    <row r="630" ht="14.25" customHeight="1">
      <c r="M630" s="4"/>
    </row>
    <row r="631" ht="14.25" customHeight="1">
      <c r="M631" s="4"/>
    </row>
    <row r="632" ht="14.25" customHeight="1">
      <c r="M632" s="4"/>
    </row>
    <row r="633" ht="14.25" customHeight="1">
      <c r="M633" s="4"/>
    </row>
    <row r="634" ht="14.25" customHeight="1">
      <c r="M634" s="4"/>
    </row>
    <row r="635" ht="14.25" customHeight="1">
      <c r="M635" s="4"/>
    </row>
    <row r="636" ht="14.25" customHeight="1">
      <c r="M636" s="4"/>
    </row>
    <row r="637" ht="14.25" customHeight="1">
      <c r="M637" s="4"/>
    </row>
    <row r="638" ht="14.25" customHeight="1">
      <c r="M638" s="4"/>
    </row>
    <row r="639" ht="14.25" customHeight="1">
      <c r="M639" s="4"/>
    </row>
    <row r="640" ht="14.25" customHeight="1">
      <c r="M640" s="4"/>
    </row>
    <row r="641" ht="14.25" customHeight="1">
      <c r="M641" s="4"/>
    </row>
    <row r="642" ht="14.25" customHeight="1">
      <c r="M642" s="4"/>
    </row>
    <row r="643" ht="14.25" customHeight="1">
      <c r="M643" s="4"/>
    </row>
    <row r="644" ht="14.25" customHeight="1">
      <c r="M644" s="4"/>
    </row>
    <row r="645" ht="14.25" customHeight="1">
      <c r="M645" s="4"/>
    </row>
    <row r="646" ht="14.25" customHeight="1">
      <c r="M646" s="4"/>
    </row>
    <row r="647" ht="14.25" customHeight="1">
      <c r="M647" s="4"/>
    </row>
    <row r="648" ht="14.25" customHeight="1">
      <c r="M648" s="4"/>
    </row>
    <row r="649" ht="14.25" customHeight="1">
      <c r="M649" s="4"/>
    </row>
    <row r="650" ht="14.25" customHeight="1">
      <c r="M650" s="4"/>
    </row>
    <row r="651" ht="14.25" customHeight="1">
      <c r="M651" s="4"/>
    </row>
    <row r="652" ht="14.25" customHeight="1">
      <c r="M652" s="4"/>
    </row>
    <row r="653" ht="14.25" customHeight="1">
      <c r="M653" s="4"/>
    </row>
    <row r="654" ht="14.25" customHeight="1">
      <c r="M654" s="4"/>
    </row>
    <row r="655" ht="14.25" customHeight="1">
      <c r="M655" s="4"/>
    </row>
    <row r="656" ht="14.25" customHeight="1">
      <c r="M656" s="4"/>
    </row>
    <row r="657" ht="14.25" customHeight="1">
      <c r="M657" s="4"/>
    </row>
    <row r="658" ht="14.25" customHeight="1">
      <c r="M658" s="4"/>
    </row>
    <row r="659" ht="14.25" customHeight="1">
      <c r="M659" s="4"/>
    </row>
    <row r="660" ht="14.25" customHeight="1">
      <c r="M660" s="4"/>
    </row>
    <row r="661" ht="14.25" customHeight="1">
      <c r="M661" s="4"/>
    </row>
    <row r="662" ht="14.25" customHeight="1">
      <c r="M662" s="4"/>
    </row>
    <row r="663" ht="14.25" customHeight="1">
      <c r="M663" s="4"/>
    </row>
    <row r="664" ht="14.25" customHeight="1">
      <c r="M664" s="4"/>
    </row>
    <row r="665" ht="14.25" customHeight="1">
      <c r="M665" s="4"/>
    </row>
    <row r="666" ht="14.25" customHeight="1">
      <c r="M666" s="4"/>
    </row>
    <row r="667" ht="14.25" customHeight="1">
      <c r="M667" s="4"/>
    </row>
    <row r="668" ht="14.25" customHeight="1">
      <c r="M668" s="4"/>
    </row>
    <row r="669" ht="14.25" customHeight="1">
      <c r="M669" s="4"/>
    </row>
    <row r="670" ht="14.25" customHeight="1">
      <c r="M670" s="4"/>
    </row>
    <row r="671" ht="14.25" customHeight="1">
      <c r="M671" s="4"/>
    </row>
    <row r="672" ht="14.25" customHeight="1">
      <c r="M672" s="4"/>
    </row>
    <row r="673" ht="14.25" customHeight="1">
      <c r="M673" s="4"/>
    </row>
    <row r="674" ht="14.25" customHeight="1">
      <c r="M674" s="4"/>
    </row>
    <row r="675" ht="14.25" customHeight="1">
      <c r="M675" s="4"/>
    </row>
    <row r="676" ht="14.25" customHeight="1">
      <c r="M676" s="4"/>
    </row>
    <row r="677" ht="14.25" customHeight="1">
      <c r="M677" s="4"/>
    </row>
    <row r="678" ht="14.25" customHeight="1">
      <c r="M678" s="4"/>
    </row>
    <row r="679" ht="14.25" customHeight="1">
      <c r="M679" s="4"/>
    </row>
    <row r="680" ht="14.25" customHeight="1">
      <c r="M680" s="4"/>
    </row>
    <row r="681" ht="14.25" customHeight="1">
      <c r="M681" s="4"/>
    </row>
    <row r="682" ht="14.25" customHeight="1">
      <c r="M682" s="4"/>
    </row>
    <row r="683" ht="14.25" customHeight="1">
      <c r="M683" s="4"/>
    </row>
    <row r="684" ht="14.25" customHeight="1">
      <c r="M684" s="4"/>
    </row>
    <row r="685" ht="14.25" customHeight="1">
      <c r="M685" s="4"/>
    </row>
    <row r="686" ht="14.25" customHeight="1">
      <c r="M686" s="4"/>
    </row>
    <row r="687" ht="14.25" customHeight="1">
      <c r="M687" s="4"/>
    </row>
    <row r="688" ht="14.25" customHeight="1">
      <c r="M688" s="4"/>
    </row>
    <row r="689" ht="14.25" customHeight="1">
      <c r="M689" s="4"/>
    </row>
    <row r="690" ht="14.25" customHeight="1">
      <c r="M690" s="4"/>
    </row>
    <row r="691" ht="14.25" customHeight="1">
      <c r="M691" s="4"/>
    </row>
    <row r="692" ht="14.25" customHeight="1">
      <c r="M692" s="4"/>
    </row>
    <row r="693" ht="14.25" customHeight="1">
      <c r="M693" s="4"/>
    </row>
    <row r="694" ht="14.25" customHeight="1">
      <c r="M694" s="4"/>
    </row>
    <row r="695" ht="14.25" customHeight="1">
      <c r="M695" s="4"/>
    </row>
    <row r="696" ht="14.25" customHeight="1">
      <c r="M696" s="4"/>
    </row>
    <row r="697" ht="14.25" customHeight="1">
      <c r="M697" s="4"/>
    </row>
    <row r="698" ht="14.25" customHeight="1">
      <c r="M698" s="4"/>
    </row>
    <row r="699" ht="14.25" customHeight="1">
      <c r="M699" s="4"/>
    </row>
    <row r="700" ht="14.25" customHeight="1">
      <c r="M700" s="4"/>
    </row>
    <row r="701" ht="14.25" customHeight="1">
      <c r="M701" s="4"/>
    </row>
    <row r="702" ht="14.25" customHeight="1">
      <c r="M702" s="4"/>
    </row>
    <row r="703" ht="14.25" customHeight="1">
      <c r="M703" s="4"/>
    </row>
    <row r="704" ht="14.25" customHeight="1">
      <c r="M704" s="4"/>
    </row>
    <row r="705" ht="14.25" customHeight="1">
      <c r="M705" s="4"/>
    </row>
    <row r="706" ht="14.25" customHeight="1">
      <c r="M706" s="4"/>
    </row>
    <row r="707" ht="14.25" customHeight="1">
      <c r="M707" s="4"/>
    </row>
    <row r="708" ht="14.25" customHeight="1">
      <c r="M708" s="4"/>
    </row>
    <row r="709" ht="14.25" customHeight="1">
      <c r="M709" s="4"/>
    </row>
    <row r="710" ht="14.25" customHeight="1">
      <c r="M710" s="4"/>
    </row>
    <row r="711" ht="14.25" customHeight="1">
      <c r="M711" s="4"/>
    </row>
    <row r="712" ht="14.25" customHeight="1">
      <c r="M712" s="4"/>
    </row>
    <row r="713" ht="14.25" customHeight="1">
      <c r="M713" s="4"/>
    </row>
    <row r="714" ht="14.25" customHeight="1">
      <c r="M714" s="4"/>
    </row>
    <row r="715" ht="14.25" customHeight="1">
      <c r="M715" s="4"/>
    </row>
    <row r="716" ht="14.25" customHeight="1">
      <c r="M716" s="4"/>
    </row>
    <row r="717" ht="14.25" customHeight="1">
      <c r="M717" s="4"/>
    </row>
    <row r="718" ht="14.25" customHeight="1">
      <c r="M718" s="4"/>
    </row>
    <row r="719" ht="14.25" customHeight="1">
      <c r="M719" s="4"/>
    </row>
    <row r="720" ht="14.25" customHeight="1">
      <c r="M720" s="4"/>
    </row>
    <row r="721" ht="14.25" customHeight="1">
      <c r="M721" s="4"/>
    </row>
    <row r="722" ht="14.25" customHeight="1">
      <c r="M722" s="4"/>
    </row>
    <row r="723" ht="14.25" customHeight="1">
      <c r="M723" s="4"/>
    </row>
    <row r="724" ht="14.25" customHeight="1">
      <c r="M724" s="4"/>
    </row>
    <row r="725" ht="14.25" customHeight="1">
      <c r="M725" s="4"/>
    </row>
    <row r="726" ht="14.25" customHeight="1">
      <c r="M726" s="4"/>
    </row>
    <row r="727" ht="14.25" customHeight="1">
      <c r="M727" s="4"/>
    </row>
    <row r="728" ht="14.25" customHeight="1">
      <c r="M728" s="4"/>
    </row>
    <row r="729" ht="14.25" customHeight="1">
      <c r="M729" s="4"/>
    </row>
    <row r="730" ht="14.25" customHeight="1">
      <c r="M730" s="4"/>
    </row>
    <row r="731" ht="14.25" customHeight="1">
      <c r="M731" s="4"/>
    </row>
    <row r="732" ht="14.25" customHeight="1">
      <c r="M732" s="4"/>
    </row>
    <row r="733" ht="14.25" customHeight="1">
      <c r="M733" s="4"/>
    </row>
    <row r="734" ht="14.25" customHeight="1">
      <c r="M734" s="4"/>
    </row>
    <row r="735" ht="14.25" customHeight="1">
      <c r="M735" s="4"/>
    </row>
    <row r="736" ht="14.25" customHeight="1">
      <c r="M736" s="4"/>
    </row>
    <row r="737" ht="14.25" customHeight="1">
      <c r="M737" s="4"/>
    </row>
    <row r="738" ht="14.25" customHeight="1">
      <c r="M738" s="4"/>
    </row>
    <row r="739" ht="14.25" customHeight="1">
      <c r="M739" s="4"/>
    </row>
    <row r="740" ht="14.25" customHeight="1">
      <c r="M740" s="4"/>
    </row>
    <row r="741" ht="14.25" customHeight="1">
      <c r="M741" s="4"/>
    </row>
    <row r="742" ht="14.25" customHeight="1">
      <c r="M742" s="4"/>
    </row>
    <row r="743" ht="14.25" customHeight="1">
      <c r="M743" s="4"/>
    </row>
    <row r="744" ht="14.25" customHeight="1">
      <c r="M744" s="4"/>
    </row>
    <row r="745" ht="14.25" customHeight="1">
      <c r="M745" s="4"/>
    </row>
    <row r="746" ht="14.25" customHeight="1">
      <c r="M746" s="4"/>
    </row>
    <row r="747" ht="14.25" customHeight="1">
      <c r="M747" s="4"/>
    </row>
    <row r="748" ht="14.25" customHeight="1">
      <c r="M748" s="4"/>
    </row>
    <row r="749" ht="14.25" customHeight="1">
      <c r="M749" s="4"/>
    </row>
    <row r="750" ht="14.25" customHeight="1">
      <c r="M750" s="4"/>
    </row>
    <row r="751" ht="14.25" customHeight="1">
      <c r="M751" s="4"/>
    </row>
    <row r="752" ht="14.25" customHeight="1">
      <c r="M752" s="4"/>
    </row>
    <row r="753" ht="14.25" customHeight="1">
      <c r="M753" s="4"/>
    </row>
    <row r="754" ht="14.25" customHeight="1">
      <c r="M754" s="4"/>
    </row>
    <row r="755" ht="14.25" customHeight="1">
      <c r="M755" s="4"/>
    </row>
    <row r="756" ht="14.25" customHeight="1">
      <c r="M756" s="4"/>
    </row>
    <row r="757" ht="14.25" customHeight="1">
      <c r="M757" s="4"/>
    </row>
    <row r="758" ht="14.25" customHeight="1">
      <c r="M758" s="4"/>
    </row>
    <row r="759" ht="14.25" customHeight="1">
      <c r="M759" s="4"/>
    </row>
    <row r="760" ht="14.25" customHeight="1">
      <c r="M760" s="4"/>
    </row>
    <row r="761" ht="14.25" customHeight="1">
      <c r="M761" s="4"/>
    </row>
    <row r="762" ht="14.25" customHeight="1">
      <c r="M762" s="4"/>
    </row>
    <row r="763" ht="14.25" customHeight="1">
      <c r="M763" s="4"/>
    </row>
    <row r="764" ht="14.25" customHeight="1">
      <c r="M764" s="4"/>
    </row>
    <row r="765" ht="14.25" customHeight="1">
      <c r="M765" s="4"/>
    </row>
    <row r="766" ht="14.25" customHeight="1">
      <c r="M766" s="4"/>
    </row>
    <row r="767" ht="14.25" customHeight="1">
      <c r="M767" s="4"/>
    </row>
    <row r="768" ht="14.25" customHeight="1">
      <c r="M768" s="4"/>
    </row>
    <row r="769" ht="14.25" customHeight="1">
      <c r="M769" s="4"/>
    </row>
    <row r="770" ht="14.25" customHeight="1">
      <c r="M770" s="4"/>
    </row>
    <row r="771" ht="14.25" customHeight="1">
      <c r="M771" s="4"/>
    </row>
    <row r="772" ht="14.25" customHeight="1">
      <c r="M772" s="4"/>
    </row>
    <row r="773" ht="14.25" customHeight="1">
      <c r="M773" s="4"/>
    </row>
    <row r="774" ht="14.25" customHeight="1">
      <c r="M774" s="4"/>
    </row>
    <row r="775" ht="14.25" customHeight="1">
      <c r="M775" s="4"/>
    </row>
    <row r="776" ht="14.25" customHeight="1">
      <c r="M776" s="4"/>
    </row>
    <row r="777" ht="14.25" customHeight="1">
      <c r="M777" s="4"/>
    </row>
    <row r="778" ht="14.25" customHeight="1">
      <c r="M778" s="4"/>
    </row>
    <row r="779" ht="14.25" customHeight="1">
      <c r="M779" s="4"/>
    </row>
    <row r="780" ht="14.25" customHeight="1">
      <c r="M780" s="4"/>
    </row>
    <row r="781" ht="14.25" customHeight="1">
      <c r="M781" s="4"/>
    </row>
    <row r="782" ht="14.25" customHeight="1">
      <c r="M782" s="4"/>
    </row>
    <row r="783" ht="14.25" customHeight="1">
      <c r="M783" s="4"/>
    </row>
    <row r="784" ht="14.25" customHeight="1">
      <c r="M784" s="4"/>
    </row>
    <row r="785" ht="14.25" customHeight="1">
      <c r="M785" s="4"/>
    </row>
    <row r="786" ht="14.25" customHeight="1">
      <c r="M786" s="4"/>
    </row>
    <row r="787" ht="14.25" customHeight="1">
      <c r="M787" s="4"/>
    </row>
    <row r="788" ht="14.25" customHeight="1">
      <c r="M788" s="4"/>
    </row>
    <row r="789" ht="14.25" customHeight="1">
      <c r="M789" s="4"/>
    </row>
    <row r="790" ht="14.25" customHeight="1">
      <c r="M790" s="4"/>
    </row>
    <row r="791" ht="14.25" customHeight="1">
      <c r="M791" s="4"/>
    </row>
    <row r="792" ht="14.25" customHeight="1">
      <c r="M792" s="4"/>
    </row>
    <row r="793" ht="14.25" customHeight="1">
      <c r="M793" s="4"/>
    </row>
    <row r="794" ht="14.25" customHeight="1">
      <c r="M794" s="4"/>
    </row>
    <row r="795" ht="14.25" customHeight="1">
      <c r="M795" s="4"/>
    </row>
    <row r="796" ht="14.25" customHeight="1">
      <c r="M796" s="4"/>
    </row>
    <row r="797" ht="14.25" customHeight="1">
      <c r="M797" s="4"/>
    </row>
    <row r="798" ht="14.25" customHeight="1">
      <c r="M798" s="4"/>
    </row>
    <row r="799" ht="14.25" customHeight="1">
      <c r="M799" s="4"/>
    </row>
    <row r="800" ht="14.25" customHeight="1">
      <c r="M800" s="4"/>
    </row>
    <row r="801" ht="14.25" customHeight="1">
      <c r="M801" s="4"/>
    </row>
    <row r="802" ht="14.25" customHeight="1">
      <c r="M802" s="4"/>
    </row>
    <row r="803" ht="14.25" customHeight="1">
      <c r="M803" s="4"/>
    </row>
    <row r="804" ht="14.25" customHeight="1">
      <c r="M804" s="4"/>
    </row>
    <row r="805" ht="14.25" customHeight="1">
      <c r="M805" s="4"/>
    </row>
    <row r="806" ht="14.25" customHeight="1">
      <c r="M806" s="4"/>
    </row>
    <row r="807" ht="14.25" customHeight="1">
      <c r="M807" s="4"/>
    </row>
    <row r="808" ht="14.25" customHeight="1">
      <c r="M808" s="4"/>
    </row>
    <row r="809" ht="14.25" customHeight="1">
      <c r="M809" s="4"/>
    </row>
    <row r="810" ht="14.25" customHeight="1">
      <c r="M810" s="4"/>
    </row>
    <row r="811" ht="14.25" customHeight="1">
      <c r="M811" s="4"/>
    </row>
    <row r="812" ht="14.25" customHeight="1">
      <c r="M812" s="4"/>
    </row>
    <row r="813" ht="14.25" customHeight="1">
      <c r="M813" s="4"/>
    </row>
    <row r="814" ht="14.25" customHeight="1">
      <c r="M814" s="4"/>
    </row>
    <row r="815" ht="14.25" customHeight="1">
      <c r="M815" s="4"/>
    </row>
    <row r="816" ht="14.25" customHeight="1">
      <c r="M816" s="4"/>
    </row>
    <row r="817" ht="14.25" customHeight="1">
      <c r="M817" s="4"/>
    </row>
    <row r="818" ht="14.25" customHeight="1">
      <c r="M818" s="4"/>
    </row>
    <row r="819" ht="14.25" customHeight="1">
      <c r="M819" s="4"/>
    </row>
    <row r="820" ht="14.25" customHeight="1">
      <c r="M820" s="4"/>
    </row>
    <row r="821" ht="14.25" customHeight="1">
      <c r="M821" s="4"/>
    </row>
    <row r="822" ht="14.25" customHeight="1">
      <c r="M822" s="4"/>
    </row>
    <row r="823" ht="14.25" customHeight="1">
      <c r="M823" s="4"/>
    </row>
    <row r="824" ht="14.25" customHeight="1">
      <c r="M824" s="4"/>
    </row>
    <row r="825" ht="14.25" customHeight="1">
      <c r="M825" s="4"/>
    </row>
    <row r="826" ht="14.25" customHeight="1">
      <c r="M826" s="4"/>
    </row>
    <row r="827" ht="14.25" customHeight="1">
      <c r="M827" s="4"/>
    </row>
    <row r="828" ht="14.25" customHeight="1">
      <c r="M828" s="4"/>
    </row>
    <row r="829" ht="14.25" customHeight="1">
      <c r="M829" s="4"/>
    </row>
    <row r="830" ht="14.25" customHeight="1">
      <c r="M830" s="4"/>
    </row>
    <row r="831" ht="14.25" customHeight="1">
      <c r="M831" s="4"/>
    </row>
    <row r="832" ht="14.25" customHeight="1">
      <c r="M832" s="4"/>
    </row>
    <row r="833" ht="14.25" customHeight="1">
      <c r="M833" s="4"/>
    </row>
    <row r="834" ht="14.25" customHeight="1">
      <c r="M834" s="4"/>
    </row>
    <row r="835" ht="14.25" customHeight="1">
      <c r="M835" s="4"/>
    </row>
    <row r="836" ht="14.25" customHeight="1">
      <c r="M836" s="4"/>
    </row>
    <row r="837" ht="14.25" customHeight="1">
      <c r="M837" s="4"/>
    </row>
    <row r="838" ht="14.25" customHeight="1">
      <c r="M838" s="4"/>
    </row>
    <row r="839" ht="14.25" customHeight="1">
      <c r="M839" s="4"/>
    </row>
    <row r="840" ht="14.25" customHeight="1">
      <c r="M840" s="4"/>
    </row>
    <row r="841" ht="14.25" customHeight="1">
      <c r="M841" s="4"/>
    </row>
    <row r="842" ht="14.25" customHeight="1">
      <c r="M842" s="4"/>
    </row>
    <row r="843" ht="14.25" customHeight="1">
      <c r="M843" s="4"/>
    </row>
    <row r="844" ht="14.25" customHeight="1">
      <c r="M844" s="4"/>
    </row>
    <row r="845" ht="14.25" customHeight="1">
      <c r="M845" s="4"/>
    </row>
    <row r="846" ht="14.25" customHeight="1">
      <c r="M846" s="4"/>
    </row>
    <row r="847" ht="14.25" customHeight="1">
      <c r="M847" s="4"/>
    </row>
    <row r="848" ht="14.25" customHeight="1">
      <c r="M848" s="4"/>
    </row>
    <row r="849" ht="14.25" customHeight="1">
      <c r="M849" s="4"/>
    </row>
    <row r="850" ht="14.25" customHeight="1">
      <c r="M850" s="4"/>
    </row>
    <row r="851" ht="14.25" customHeight="1">
      <c r="M851" s="4"/>
    </row>
    <row r="852" ht="14.25" customHeight="1">
      <c r="M852" s="4"/>
    </row>
    <row r="853" ht="14.25" customHeight="1">
      <c r="M853" s="4"/>
    </row>
    <row r="854" ht="14.25" customHeight="1">
      <c r="M854" s="4"/>
    </row>
    <row r="855" ht="14.25" customHeight="1">
      <c r="M855" s="4"/>
    </row>
    <row r="856" ht="14.25" customHeight="1">
      <c r="M856" s="4"/>
    </row>
    <row r="857" ht="14.25" customHeight="1">
      <c r="M857" s="4"/>
    </row>
    <row r="858" ht="14.25" customHeight="1">
      <c r="M858" s="4"/>
    </row>
    <row r="859" ht="14.25" customHeight="1">
      <c r="M859" s="4"/>
    </row>
    <row r="860" ht="14.25" customHeight="1">
      <c r="M860" s="4"/>
    </row>
    <row r="861" ht="14.25" customHeight="1">
      <c r="M861" s="4"/>
    </row>
    <row r="862" ht="14.25" customHeight="1">
      <c r="M862" s="4"/>
    </row>
    <row r="863" ht="14.25" customHeight="1">
      <c r="M863" s="4"/>
    </row>
    <row r="864" ht="14.25" customHeight="1">
      <c r="M864" s="4"/>
    </row>
    <row r="865" ht="14.25" customHeight="1">
      <c r="M865" s="4"/>
    </row>
    <row r="866" ht="14.25" customHeight="1">
      <c r="M866" s="4"/>
    </row>
    <row r="867" ht="14.25" customHeight="1">
      <c r="M867" s="4"/>
    </row>
    <row r="868" ht="14.25" customHeight="1">
      <c r="M868" s="4"/>
    </row>
    <row r="869" ht="14.25" customHeight="1">
      <c r="M869" s="4"/>
    </row>
    <row r="870" ht="14.25" customHeight="1">
      <c r="M870" s="4"/>
    </row>
    <row r="871" ht="14.25" customHeight="1">
      <c r="M871" s="4"/>
    </row>
    <row r="872" ht="14.25" customHeight="1">
      <c r="M872" s="4"/>
    </row>
    <row r="873" ht="14.25" customHeight="1">
      <c r="M873" s="4"/>
    </row>
    <row r="874" ht="14.25" customHeight="1">
      <c r="M874" s="4"/>
    </row>
    <row r="875" ht="14.25" customHeight="1">
      <c r="M875" s="4"/>
    </row>
    <row r="876" ht="14.25" customHeight="1">
      <c r="M876" s="4"/>
    </row>
    <row r="877" ht="14.25" customHeight="1">
      <c r="M877" s="4"/>
    </row>
    <row r="878" ht="14.25" customHeight="1">
      <c r="M878" s="4"/>
    </row>
    <row r="879" ht="14.25" customHeight="1">
      <c r="M879" s="4"/>
    </row>
    <row r="880" ht="14.25" customHeight="1">
      <c r="M880" s="4"/>
    </row>
    <row r="881" ht="14.25" customHeight="1">
      <c r="M881" s="4"/>
    </row>
    <row r="882" ht="14.25" customHeight="1">
      <c r="M882" s="4"/>
    </row>
    <row r="883" ht="14.25" customHeight="1">
      <c r="M883" s="4"/>
    </row>
    <row r="884" ht="14.25" customHeight="1">
      <c r="M884" s="4"/>
    </row>
    <row r="885" ht="14.25" customHeight="1">
      <c r="M885" s="4"/>
    </row>
    <row r="886" ht="14.25" customHeight="1">
      <c r="M886" s="4"/>
    </row>
    <row r="887" ht="14.25" customHeight="1">
      <c r="M887" s="4"/>
    </row>
    <row r="888" ht="14.25" customHeight="1">
      <c r="M888" s="4"/>
    </row>
    <row r="889" ht="14.25" customHeight="1">
      <c r="M889" s="4"/>
    </row>
    <row r="890" ht="14.25" customHeight="1">
      <c r="M890" s="4"/>
    </row>
    <row r="891" ht="14.25" customHeight="1">
      <c r="M891" s="4"/>
    </row>
    <row r="892" ht="14.25" customHeight="1">
      <c r="M892" s="4"/>
    </row>
    <row r="893" ht="14.25" customHeight="1">
      <c r="M893" s="4"/>
    </row>
    <row r="894" ht="14.25" customHeight="1">
      <c r="M894" s="4"/>
    </row>
    <row r="895" ht="14.25" customHeight="1">
      <c r="M895" s="4"/>
    </row>
    <row r="896" ht="14.25" customHeight="1">
      <c r="M896" s="4"/>
    </row>
    <row r="897" ht="14.25" customHeight="1">
      <c r="M897" s="4"/>
    </row>
    <row r="898" ht="14.25" customHeight="1">
      <c r="M898" s="4"/>
    </row>
    <row r="899" ht="14.25" customHeight="1">
      <c r="M899" s="4"/>
    </row>
    <row r="900" ht="14.25" customHeight="1">
      <c r="M900" s="4"/>
    </row>
    <row r="901" ht="14.25" customHeight="1">
      <c r="M901" s="4"/>
    </row>
    <row r="902" ht="14.25" customHeight="1">
      <c r="M902" s="4"/>
    </row>
    <row r="903" ht="14.25" customHeight="1">
      <c r="M903" s="4"/>
    </row>
    <row r="904" ht="14.25" customHeight="1">
      <c r="M904" s="4"/>
    </row>
    <row r="905" ht="14.25" customHeight="1">
      <c r="M905" s="4"/>
    </row>
    <row r="906" ht="14.25" customHeight="1">
      <c r="M906" s="4"/>
    </row>
    <row r="907" ht="14.25" customHeight="1">
      <c r="M907" s="4"/>
    </row>
    <row r="908" ht="14.25" customHeight="1">
      <c r="M908" s="4"/>
    </row>
    <row r="909" ht="14.25" customHeight="1">
      <c r="M909" s="4"/>
    </row>
    <row r="910" ht="14.25" customHeight="1">
      <c r="M910" s="4"/>
    </row>
    <row r="911" ht="14.25" customHeight="1">
      <c r="M911" s="4"/>
    </row>
    <row r="912" ht="14.25" customHeight="1">
      <c r="M912" s="4"/>
    </row>
    <row r="913" ht="14.25" customHeight="1">
      <c r="M913" s="4"/>
    </row>
    <row r="914" ht="14.25" customHeight="1">
      <c r="M914" s="4"/>
    </row>
    <row r="915" ht="14.25" customHeight="1">
      <c r="M915" s="4"/>
    </row>
    <row r="916" ht="14.25" customHeight="1">
      <c r="M916" s="4"/>
    </row>
    <row r="917" ht="14.25" customHeight="1">
      <c r="M917" s="4"/>
    </row>
    <row r="918" ht="14.25" customHeight="1">
      <c r="M918" s="4"/>
    </row>
    <row r="919" ht="14.25" customHeight="1">
      <c r="M919" s="4"/>
    </row>
    <row r="920" ht="14.25" customHeight="1">
      <c r="M920" s="4"/>
    </row>
    <row r="921" ht="14.25" customHeight="1">
      <c r="M921" s="4"/>
    </row>
    <row r="922" ht="14.25" customHeight="1">
      <c r="M922" s="4"/>
    </row>
    <row r="923" ht="14.25" customHeight="1">
      <c r="M923" s="4"/>
    </row>
    <row r="924" ht="14.25" customHeight="1">
      <c r="M924" s="4"/>
    </row>
    <row r="925" ht="14.25" customHeight="1">
      <c r="M925" s="4"/>
    </row>
    <row r="926" ht="14.25" customHeight="1">
      <c r="M926" s="4"/>
    </row>
    <row r="927" ht="14.25" customHeight="1">
      <c r="M927" s="4"/>
    </row>
    <row r="928" ht="14.25" customHeight="1">
      <c r="M928" s="4"/>
    </row>
    <row r="929" ht="14.25" customHeight="1">
      <c r="M929" s="4"/>
    </row>
    <row r="930" ht="14.25" customHeight="1">
      <c r="M930" s="4"/>
    </row>
    <row r="931" ht="14.25" customHeight="1">
      <c r="M931" s="4"/>
    </row>
    <row r="932" ht="14.25" customHeight="1">
      <c r="M932" s="4"/>
    </row>
    <row r="933" ht="14.25" customHeight="1">
      <c r="M933" s="4"/>
    </row>
    <row r="934" ht="14.25" customHeight="1">
      <c r="M934" s="4"/>
    </row>
    <row r="935" ht="14.25" customHeight="1">
      <c r="M935" s="4"/>
    </row>
    <row r="936" ht="14.25" customHeight="1">
      <c r="M936" s="4"/>
    </row>
    <row r="937" ht="14.25" customHeight="1">
      <c r="M937" s="4"/>
    </row>
    <row r="938" ht="14.25" customHeight="1">
      <c r="M938" s="4"/>
    </row>
    <row r="939" ht="14.25" customHeight="1">
      <c r="M939" s="4"/>
    </row>
    <row r="940" ht="14.25" customHeight="1">
      <c r="M940" s="4"/>
    </row>
    <row r="941" ht="14.25" customHeight="1">
      <c r="M941" s="4"/>
    </row>
    <row r="942" ht="14.25" customHeight="1">
      <c r="M942" s="4"/>
    </row>
    <row r="943" ht="14.25" customHeight="1">
      <c r="M943" s="4"/>
    </row>
    <row r="944" ht="14.25" customHeight="1">
      <c r="M944" s="4"/>
    </row>
    <row r="945" ht="14.25" customHeight="1">
      <c r="M945" s="4"/>
    </row>
    <row r="946" ht="14.25" customHeight="1">
      <c r="M946" s="4"/>
    </row>
    <row r="947" ht="14.25" customHeight="1">
      <c r="M947" s="4"/>
    </row>
    <row r="948" ht="14.25" customHeight="1">
      <c r="M948" s="4"/>
    </row>
    <row r="949" ht="14.25" customHeight="1">
      <c r="M949" s="4"/>
    </row>
    <row r="950" ht="14.25" customHeight="1">
      <c r="M950" s="4"/>
    </row>
    <row r="951" ht="14.25" customHeight="1">
      <c r="M951" s="4"/>
    </row>
    <row r="952" ht="14.25" customHeight="1">
      <c r="M952" s="4"/>
    </row>
    <row r="953" ht="14.25" customHeight="1">
      <c r="M953" s="4"/>
    </row>
    <row r="954" ht="14.25" customHeight="1">
      <c r="M954" s="4"/>
    </row>
    <row r="955" ht="14.25" customHeight="1">
      <c r="M955" s="4"/>
    </row>
    <row r="956" ht="14.25" customHeight="1">
      <c r="M956" s="4"/>
    </row>
    <row r="957" ht="14.25" customHeight="1">
      <c r="M957" s="4"/>
    </row>
    <row r="958" ht="14.25" customHeight="1">
      <c r="M958" s="4"/>
    </row>
    <row r="959" ht="14.25" customHeight="1">
      <c r="M959" s="4"/>
    </row>
    <row r="960" ht="14.25" customHeight="1">
      <c r="M960" s="4"/>
    </row>
    <row r="961" ht="14.25" customHeight="1">
      <c r="M961" s="4"/>
    </row>
    <row r="962" ht="14.25" customHeight="1">
      <c r="M962" s="4"/>
    </row>
    <row r="963" ht="14.25" customHeight="1">
      <c r="M963" s="4"/>
    </row>
    <row r="964" ht="14.25" customHeight="1">
      <c r="M964" s="4"/>
    </row>
    <row r="965" ht="14.25" customHeight="1">
      <c r="M965" s="4"/>
    </row>
    <row r="966" ht="14.25" customHeight="1">
      <c r="M966" s="4"/>
    </row>
    <row r="967" ht="14.25" customHeight="1">
      <c r="M967" s="4"/>
    </row>
    <row r="968" ht="14.25" customHeight="1">
      <c r="M968" s="4"/>
    </row>
    <row r="969" ht="14.25" customHeight="1">
      <c r="M969" s="4"/>
    </row>
    <row r="970" ht="14.25" customHeight="1">
      <c r="M970" s="4"/>
    </row>
    <row r="971" ht="14.25" customHeight="1">
      <c r="M971" s="4"/>
    </row>
    <row r="972" ht="14.25" customHeight="1">
      <c r="M972" s="4"/>
    </row>
    <row r="973" ht="14.25" customHeight="1">
      <c r="M973" s="4"/>
    </row>
    <row r="974" ht="14.25" customHeight="1">
      <c r="M974" s="4"/>
    </row>
    <row r="975" ht="14.25" customHeight="1">
      <c r="M975" s="4"/>
    </row>
    <row r="976" ht="14.25" customHeight="1">
      <c r="M976" s="4"/>
    </row>
    <row r="977" ht="14.25" customHeight="1">
      <c r="M977" s="4"/>
    </row>
    <row r="978" ht="14.25" customHeight="1">
      <c r="M978" s="4"/>
    </row>
    <row r="979" ht="14.25" customHeight="1">
      <c r="M979" s="4"/>
    </row>
    <row r="980" ht="14.25" customHeight="1">
      <c r="M980" s="4"/>
    </row>
    <row r="981" ht="14.25" customHeight="1">
      <c r="M981" s="4"/>
    </row>
    <row r="982" ht="14.25" customHeight="1">
      <c r="M982" s="4"/>
    </row>
    <row r="983" ht="14.25" customHeight="1">
      <c r="M983" s="4"/>
    </row>
    <row r="984" ht="14.25" customHeight="1">
      <c r="M984" s="4"/>
    </row>
    <row r="985" ht="14.25" customHeight="1">
      <c r="M985" s="4"/>
    </row>
    <row r="986" ht="14.25" customHeight="1">
      <c r="M986" s="4"/>
    </row>
    <row r="987" ht="14.25" customHeight="1">
      <c r="M987" s="4"/>
    </row>
    <row r="988" ht="14.25" customHeight="1">
      <c r="M988" s="4"/>
    </row>
    <row r="989" ht="14.25" customHeight="1">
      <c r="M989" s="4"/>
    </row>
    <row r="990" ht="14.25" customHeight="1">
      <c r="M990" s="4"/>
    </row>
    <row r="991" ht="14.25" customHeight="1">
      <c r="M991" s="4"/>
    </row>
    <row r="992" ht="14.25" customHeight="1">
      <c r="M992" s="4"/>
    </row>
    <row r="993" ht="14.25" customHeight="1">
      <c r="M993" s="4"/>
    </row>
    <row r="994" ht="14.25" customHeight="1">
      <c r="M994" s="4"/>
    </row>
    <row r="995" ht="14.25" customHeight="1">
      <c r="M995" s="4"/>
    </row>
    <row r="996" ht="14.25" customHeight="1">
      <c r="M996" s="4"/>
    </row>
    <row r="997" ht="14.25" customHeight="1">
      <c r="M997" s="4"/>
    </row>
    <row r="998" ht="14.25" customHeight="1">
      <c r="M998" s="4"/>
    </row>
    <row r="999" ht="14.25" customHeight="1">
      <c r="M999" s="4"/>
    </row>
    <row r="1000" ht="14.25" customHeight="1">
      <c r="M1000" s="4"/>
    </row>
  </sheetData>
  <mergeCells count="6">
    <mergeCell ref="B2:G2"/>
    <mergeCell ref="H2:J2"/>
    <mergeCell ref="K2:L2"/>
    <mergeCell ref="P2:U2"/>
    <mergeCell ref="V2:X2"/>
    <mergeCell ref="Y2:Z2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26" width="8.71"/>
  </cols>
  <sheetData>
    <row r="1" ht="14.25" customHeight="1"/>
    <row r="2" ht="14.25" customHeight="1">
      <c r="B2" s="71" t="s">
        <v>5</v>
      </c>
    </row>
    <row r="3" ht="14.25" customHeight="1">
      <c r="B3" s="72" t="s">
        <v>17</v>
      </c>
    </row>
    <row r="4" ht="14.25" customHeight="1">
      <c r="B4" s="72" t="s">
        <v>2</v>
      </c>
    </row>
    <row r="5" ht="14.25" customHeight="1">
      <c r="B5" s="72" t="s">
        <v>4</v>
      </c>
    </row>
    <row r="6" ht="14.25" customHeight="1">
      <c r="B6" s="72" t="s">
        <v>3</v>
      </c>
    </row>
    <row r="7" ht="14.25" customHeight="1">
      <c r="B7" s="72" t="s">
        <v>18</v>
      </c>
    </row>
    <row r="8" ht="14.25" customHeight="1">
      <c r="B8" s="72" t="s">
        <v>19</v>
      </c>
    </row>
    <row r="9" ht="14.25" customHeight="1">
      <c r="B9" s="73" t="s">
        <v>6</v>
      </c>
    </row>
    <row r="10" ht="14.25" customHeight="1">
      <c r="B10" s="73" t="s">
        <v>8</v>
      </c>
    </row>
    <row r="11" ht="14.25" customHeight="1">
      <c r="B11" s="73" t="s">
        <v>7</v>
      </c>
    </row>
    <row r="12" ht="14.25" customHeight="1">
      <c r="B12" s="74" t="s">
        <v>20</v>
      </c>
    </row>
    <row r="13" ht="14.25" customHeight="1">
      <c r="B13" s="74" t="s">
        <v>21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